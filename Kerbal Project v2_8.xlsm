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\Desktop\"/>
    </mc:Choice>
  </mc:AlternateContent>
  <xr:revisionPtr revIDLastSave="0" documentId="13_ncr:1_{C18D81C6-A57D-4852-B1A2-4709850D7796}" xr6:coauthVersionLast="45" xr6:coauthVersionMax="45" xr10:uidLastSave="{00000000-0000-0000-0000-000000000000}"/>
  <bookViews>
    <workbookView xWindow="-120" yWindow="-120" windowWidth="38640" windowHeight="15840" xr2:uid="{9A5EBC29-9AF3-4AA8-A481-597E200FBA0B}"/>
  </bookViews>
  <sheets>
    <sheet name="Real" sheetId="15" r:id="rId1"/>
    <sheet name="RPlot" sheetId="18" r:id="rId2"/>
    <sheet name="RData" sheetId="14" r:id="rId3"/>
    <sheet name="Kerbal" sheetId="12" r:id="rId4"/>
    <sheet name="KPlot" sheetId="10" r:id="rId5"/>
    <sheet name="KData" sheetId="19" r:id="rId6"/>
    <sheet name="Version History" sheetId="17" r:id="rId7"/>
    <sheet name="Design Tool" sheetId="2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5" l="1"/>
  <c r="L8" i="15"/>
  <c r="K9" i="15"/>
  <c r="K8" i="15"/>
  <c r="J9" i="15"/>
  <c r="J8" i="15"/>
  <c r="F13" i="14"/>
  <c r="I13" i="14"/>
  <c r="C13" i="14"/>
  <c r="G13" i="14"/>
  <c r="H13" i="14"/>
  <c r="J13" i="14"/>
  <c r="Z30" i="12" l="1"/>
  <c r="Z31" i="12"/>
  <c r="Z32" i="12"/>
  <c r="Z33" i="12"/>
  <c r="Z34" i="12"/>
  <c r="Z35" i="12"/>
  <c r="Z36" i="12"/>
  <c r="Z37" i="12"/>
  <c r="Z29" i="12"/>
  <c r="Y30" i="12"/>
  <c r="Y31" i="12"/>
  <c r="Y32" i="12"/>
  <c r="Y33" i="12"/>
  <c r="Y34" i="12"/>
  <c r="Y35" i="12"/>
  <c r="Y36" i="12"/>
  <c r="Y37" i="12"/>
  <c r="Y29" i="12"/>
  <c r="X37" i="12" l="1"/>
  <c r="X30" i="12"/>
  <c r="X31" i="12"/>
  <c r="X32" i="12"/>
  <c r="X33" i="12"/>
  <c r="X34" i="12"/>
  <c r="X35" i="12"/>
  <c r="X36" i="12"/>
  <c r="X29" i="12"/>
  <c r="K8" i="12"/>
  <c r="L5" i="12"/>
  <c r="A26" i="12" l="1"/>
  <c r="C20" i="20" l="1"/>
  <c r="G5" i="20" s="1"/>
  <c r="K5" i="20"/>
  <c r="K6" i="20"/>
  <c r="J6" i="20"/>
  <c r="I6" i="20"/>
  <c r="H6" i="20"/>
  <c r="G6" i="20"/>
  <c r="C15" i="20"/>
  <c r="H4" i="20" s="1"/>
  <c r="K7" i="20" l="1"/>
  <c r="G7" i="20"/>
  <c r="G8" i="20" s="1"/>
  <c r="G9" i="20" s="1"/>
  <c r="G10" i="20" s="1"/>
  <c r="C16" i="20"/>
  <c r="H5" i="20" s="1"/>
  <c r="H7" i="20" s="1"/>
  <c r="I4" i="20"/>
  <c r="J4" i="20"/>
  <c r="AQ24" i="20"/>
  <c r="AR24" i="20"/>
  <c r="AS24" i="20"/>
  <c r="AT24" i="20"/>
  <c r="AU24" i="20"/>
  <c r="AV24" i="20"/>
  <c r="AW24" i="20"/>
  <c r="AX24" i="20"/>
  <c r="AX23" i="20"/>
  <c r="AW23" i="20"/>
  <c r="AV23" i="20"/>
  <c r="AU23" i="20"/>
  <c r="AT23" i="20"/>
  <c r="AS23" i="20"/>
  <c r="AR23" i="20"/>
  <c r="AQ23" i="20"/>
  <c r="AX22" i="20"/>
  <c r="AW22" i="20"/>
  <c r="AV22" i="20"/>
  <c r="AU22" i="20"/>
  <c r="AT22" i="20"/>
  <c r="AS22" i="20"/>
  <c r="AR22" i="20"/>
  <c r="AQ22" i="20"/>
  <c r="AX21" i="20"/>
  <c r="AW21" i="20"/>
  <c r="AV21" i="20"/>
  <c r="AU21" i="20"/>
  <c r="AT21" i="20"/>
  <c r="AS21" i="20"/>
  <c r="AR21" i="20"/>
  <c r="AQ21" i="20"/>
  <c r="AX20" i="20"/>
  <c r="AW20" i="20"/>
  <c r="AV20" i="20"/>
  <c r="AU20" i="20"/>
  <c r="AT20" i="20"/>
  <c r="AS20" i="20"/>
  <c r="AR20" i="20"/>
  <c r="AQ20" i="20"/>
  <c r="AX19" i="20"/>
  <c r="AW19" i="20"/>
  <c r="AV19" i="20"/>
  <c r="AU19" i="20"/>
  <c r="AT19" i="20"/>
  <c r="AS19" i="20"/>
  <c r="AR19" i="20"/>
  <c r="AQ19" i="20"/>
  <c r="AX18" i="20"/>
  <c r="AW18" i="20"/>
  <c r="AV18" i="20"/>
  <c r="AU18" i="20"/>
  <c r="AT18" i="20"/>
  <c r="AS18" i="20"/>
  <c r="AR18" i="20"/>
  <c r="AQ18" i="20"/>
  <c r="AX17" i="20"/>
  <c r="AW17" i="20"/>
  <c r="AV17" i="20"/>
  <c r="AU17" i="20"/>
  <c r="AT17" i="20"/>
  <c r="AS17" i="20"/>
  <c r="AR17" i="20"/>
  <c r="AQ17" i="20"/>
  <c r="AX16" i="20"/>
  <c r="AW16" i="20"/>
  <c r="AV16" i="20"/>
  <c r="AU16" i="20"/>
  <c r="AT16" i="20"/>
  <c r="AS16" i="20"/>
  <c r="AR16" i="20"/>
  <c r="AQ16" i="20"/>
  <c r="AX15" i="20"/>
  <c r="AW15" i="20"/>
  <c r="AV15" i="20"/>
  <c r="AU15" i="20"/>
  <c r="AT15" i="20"/>
  <c r="AS15" i="20"/>
  <c r="AR15" i="20"/>
  <c r="AQ15" i="20"/>
  <c r="AX14" i="20"/>
  <c r="AW14" i="20"/>
  <c r="AV14" i="20"/>
  <c r="AU14" i="20"/>
  <c r="AT14" i="20"/>
  <c r="AS14" i="20"/>
  <c r="AR14" i="20"/>
  <c r="AQ14" i="20"/>
  <c r="AX13" i="20"/>
  <c r="AW13" i="20"/>
  <c r="AV13" i="20"/>
  <c r="AU13" i="20"/>
  <c r="AT13" i="20"/>
  <c r="AS13" i="20"/>
  <c r="AR13" i="20"/>
  <c r="AQ13" i="20"/>
  <c r="AX12" i="20"/>
  <c r="AW12" i="20"/>
  <c r="AV12" i="20"/>
  <c r="AU12" i="20"/>
  <c r="AT12" i="20"/>
  <c r="AS12" i="20"/>
  <c r="AR12" i="20"/>
  <c r="AQ12" i="20"/>
  <c r="AX11" i="20"/>
  <c r="AW11" i="20"/>
  <c r="AV11" i="20"/>
  <c r="AU11" i="20"/>
  <c r="AT11" i="20"/>
  <c r="AS11" i="20"/>
  <c r="AR11" i="20"/>
  <c r="AQ11" i="20"/>
  <c r="AX10" i="20"/>
  <c r="AW10" i="20"/>
  <c r="AV10" i="20"/>
  <c r="AU10" i="20"/>
  <c r="AT10" i="20"/>
  <c r="AS10" i="20"/>
  <c r="AR10" i="20"/>
  <c r="AQ10" i="20"/>
  <c r="AX9" i="20"/>
  <c r="AW9" i="20"/>
  <c r="AV9" i="20"/>
  <c r="AU9" i="20"/>
  <c r="AT9" i="20"/>
  <c r="AS9" i="20"/>
  <c r="AR9" i="20"/>
  <c r="AQ9" i="20"/>
  <c r="AX8" i="20"/>
  <c r="AW8" i="20"/>
  <c r="AV8" i="20"/>
  <c r="AU8" i="20"/>
  <c r="AT8" i="20"/>
  <c r="AS8" i="20"/>
  <c r="AR8" i="20"/>
  <c r="AQ8" i="20"/>
  <c r="AX7" i="20"/>
  <c r="AW7" i="20"/>
  <c r="AV7" i="20"/>
  <c r="AU7" i="20"/>
  <c r="AT7" i="20"/>
  <c r="AS7" i="20"/>
  <c r="AR7" i="20"/>
  <c r="AQ7" i="20"/>
  <c r="AX6" i="20"/>
  <c r="AW6" i="20"/>
  <c r="AV6" i="20"/>
  <c r="AU6" i="20"/>
  <c r="AT6" i="20"/>
  <c r="AS6" i="20"/>
  <c r="AR6" i="20"/>
  <c r="AQ6" i="20"/>
  <c r="AX5" i="20"/>
  <c r="AW5" i="20"/>
  <c r="AV5" i="20"/>
  <c r="AU5" i="20"/>
  <c r="AT5" i="20"/>
  <c r="AS5" i="20"/>
  <c r="AR5" i="20"/>
  <c r="AQ5" i="20"/>
  <c r="AX4" i="20"/>
  <c r="AW4" i="20"/>
  <c r="AV4" i="20"/>
  <c r="AU4" i="20"/>
  <c r="AT4" i="20"/>
  <c r="AS4" i="20"/>
  <c r="AR4" i="20"/>
  <c r="AQ4" i="20"/>
  <c r="C6" i="20"/>
  <c r="W4" i="20"/>
  <c r="V7" i="20" s="1"/>
  <c r="T5" i="20"/>
  <c r="T19" i="20" s="1"/>
  <c r="AB17" i="20"/>
  <c r="T22" i="20" s="1"/>
  <c r="T24" i="20" s="1"/>
  <c r="T18" i="20"/>
  <c r="J5" i="20" l="1"/>
  <c r="J7" i="20" s="1"/>
  <c r="X7" i="20"/>
  <c r="X8" i="20" s="1"/>
  <c r="X10" i="20" s="1"/>
  <c r="W7" i="20"/>
  <c r="W8" i="20" s="1"/>
  <c r="W10" i="20" s="1"/>
  <c r="U7" i="20"/>
  <c r="U8" i="20" s="1"/>
  <c r="U10" i="20" s="1"/>
  <c r="I5" i="20"/>
  <c r="I7" i="20" s="1"/>
  <c r="H8" i="20"/>
  <c r="H9" i="20" s="1"/>
  <c r="V8" i="20"/>
  <c r="V10" i="20" s="1"/>
  <c r="T25" i="20"/>
  <c r="T26" i="20" s="1"/>
  <c r="T27" i="20" s="1"/>
  <c r="T8" i="20"/>
  <c r="T10" i="20" s="1"/>
  <c r="T11" i="20" s="1"/>
  <c r="H10" i="20" l="1"/>
  <c r="I8" i="20"/>
  <c r="I9" i="20" s="1"/>
  <c r="T12" i="20"/>
  <c r="U11" i="20" s="1"/>
  <c r="J8" i="20" l="1"/>
  <c r="J9" i="20" s="1"/>
  <c r="K8" i="20" s="1"/>
  <c r="K9" i="20" s="1"/>
  <c r="K10" i="20" s="1"/>
  <c r="I10" i="20"/>
  <c r="U12" i="20"/>
  <c r="V11" i="20" s="1"/>
  <c r="T13" i="20"/>
  <c r="EX4" i="18"/>
  <c r="J10" i="20" l="1"/>
  <c r="U13" i="20"/>
  <c r="V12" i="20"/>
  <c r="W11" i="20" s="1"/>
  <c r="W12" i="20" s="1"/>
  <c r="X11" i="20" s="1"/>
  <c r="A4" i="12"/>
  <c r="A2" i="12"/>
  <c r="ES31" i="18"/>
  <c r="ES37" i="18" s="1"/>
  <c r="EV37" i="18" s="1"/>
  <c r="EX5" i="18"/>
  <c r="EF103" i="18" s="1"/>
  <c r="CW103" i="18" l="1"/>
  <c r="DW103" i="18"/>
  <c r="BF103" i="18"/>
  <c r="CE103" i="18"/>
  <c r="DD103" i="18"/>
  <c r="DE103" i="18"/>
  <c r="DF103" i="18"/>
  <c r="CZ103" i="18"/>
  <c r="DI103" i="18"/>
  <c r="CN103" i="18"/>
  <c r="BR103" i="18"/>
  <c r="CQ103" i="18"/>
  <c r="DP103" i="18"/>
  <c r="DQ103" i="18"/>
  <c r="DR103" i="18"/>
  <c r="AT103" i="18"/>
  <c r="EU7" i="18" s="1"/>
  <c r="EA103" i="18"/>
  <c r="AZ103" i="18"/>
  <c r="CI103" i="18"/>
  <c r="CB103" i="18"/>
  <c r="BL103" i="18"/>
  <c r="AY103" i="18"/>
  <c r="DO103" i="18"/>
  <c r="CC103" i="18"/>
  <c r="DL103" i="18"/>
  <c r="CO103" i="18"/>
  <c r="BZ103" i="18"/>
  <c r="BH103" i="18"/>
  <c r="AU103" i="18"/>
  <c r="BW103" i="18"/>
  <c r="BX103" i="18"/>
  <c r="CD103" i="18"/>
  <c r="DC103" i="18"/>
  <c r="BQ103" i="18"/>
  <c r="EO103" i="18"/>
  <c r="EU8" i="18" s="1"/>
  <c r="DB103" i="18"/>
  <c r="EM103" i="18"/>
  <c r="EL103" i="18"/>
  <c r="AX103" i="18"/>
  <c r="CU103" i="18"/>
  <c r="CJ103" i="18"/>
  <c r="EB103" i="18"/>
  <c r="EG103" i="18"/>
  <c r="EN103" i="18"/>
  <c r="BB103" i="18"/>
  <c r="CM103" i="18"/>
  <c r="BK103" i="18"/>
  <c r="DA103" i="18"/>
  <c r="CL103" i="18"/>
  <c r="AW103" i="18"/>
  <c r="BA103" i="18"/>
  <c r="CX103" i="18"/>
  <c r="DY103" i="18"/>
  <c r="BC103" i="18"/>
  <c r="AV103" i="18"/>
  <c r="BI103" i="18"/>
  <c r="BJ103" i="18"/>
  <c r="DG103" i="18"/>
  <c r="CV103" i="18"/>
  <c r="BE103" i="18"/>
  <c r="ED103" i="18"/>
  <c r="CP103" i="18"/>
  <c r="CA103" i="18"/>
  <c r="DX103" i="18"/>
  <c r="DJ103" i="18"/>
  <c r="BT103" i="18"/>
  <c r="BU103" i="18"/>
  <c r="BV103" i="18"/>
  <c r="DS103" i="18"/>
  <c r="DH103" i="18"/>
  <c r="DK103" i="18"/>
  <c r="BN103" i="18"/>
  <c r="CY103" i="18"/>
  <c r="DM103" i="18"/>
  <c r="BM103" i="18"/>
  <c r="EK103" i="18"/>
  <c r="EJ103" i="18"/>
  <c r="BY103" i="18"/>
  <c r="DV103" i="18"/>
  <c r="BO103" i="18"/>
  <c r="CF103" i="18"/>
  <c r="CH103" i="18"/>
  <c r="EE103" i="18"/>
  <c r="DT103" i="18"/>
  <c r="DU103" i="18"/>
  <c r="EC103" i="18"/>
  <c r="DN103" i="18"/>
  <c r="DZ103" i="18"/>
  <c r="BD103" i="18"/>
  <c r="BG103" i="18"/>
  <c r="CG103" i="18"/>
  <c r="CK103" i="18"/>
  <c r="EH103" i="18"/>
  <c r="BP103" i="18"/>
  <c r="BS103" i="18"/>
  <c r="CR103" i="18"/>
  <c r="CS103" i="18"/>
  <c r="CT103" i="18"/>
  <c r="EI103" i="18"/>
  <c r="V13" i="20"/>
  <c r="X12" i="20"/>
  <c r="X13" i="20" s="1"/>
  <c r="W13" i="20"/>
  <c r="EP4" i="18"/>
  <c r="EP22" i="18"/>
  <c r="EP55" i="18"/>
  <c r="EP67" i="18"/>
  <c r="EP91" i="18"/>
  <c r="EP6" i="18"/>
  <c r="EP14" i="18"/>
  <c r="EP26" i="18"/>
  <c r="EP37" i="18"/>
  <c r="EP47" i="18"/>
  <c r="EP59" i="18"/>
  <c r="EP71" i="18"/>
  <c r="EP83" i="18"/>
  <c r="EP95" i="18"/>
  <c r="EP49" i="18"/>
  <c r="EP33" i="18"/>
  <c r="EP79" i="18"/>
  <c r="EP7" i="18"/>
  <c r="EP15" i="18"/>
  <c r="EP27" i="18"/>
  <c r="EP48" i="18"/>
  <c r="EP60" i="18"/>
  <c r="EP72" i="18"/>
  <c r="EP84" i="18"/>
  <c r="EP96" i="18"/>
  <c r="EP30" i="18"/>
  <c r="EP51" i="18"/>
  <c r="EP87" i="18"/>
  <c r="EP28" i="18"/>
  <c r="EP61" i="18"/>
  <c r="EP85" i="18"/>
  <c r="EP97" i="18"/>
  <c r="EP8" i="18"/>
  <c r="EP17" i="18"/>
  <c r="EP29" i="18"/>
  <c r="EP38" i="18"/>
  <c r="EP50" i="18"/>
  <c r="EP62" i="18"/>
  <c r="EP74" i="18"/>
  <c r="EP86" i="18"/>
  <c r="EP98" i="18"/>
  <c r="EP18" i="18"/>
  <c r="EP39" i="18"/>
  <c r="EP63" i="18"/>
  <c r="EP75" i="18"/>
  <c r="EP99" i="18"/>
  <c r="EP9" i="18"/>
  <c r="EP19" i="18"/>
  <c r="EP31" i="18"/>
  <c r="EP40" i="18"/>
  <c r="EP52" i="18"/>
  <c r="EP64" i="18"/>
  <c r="EP76" i="18"/>
  <c r="EP88" i="18"/>
  <c r="EP100" i="18"/>
  <c r="EP41" i="18"/>
  <c r="EP53" i="18"/>
  <c r="EP65" i="18"/>
  <c r="EP77" i="18"/>
  <c r="EP89" i="18"/>
  <c r="EP101" i="18"/>
  <c r="EP16" i="18"/>
  <c r="EP73" i="18"/>
  <c r="EP20" i="18"/>
  <c r="EP3" i="18"/>
  <c r="EU9" i="18" s="1"/>
  <c r="EP10" i="18"/>
  <c r="EP21" i="18"/>
  <c r="EP32" i="18"/>
  <c r="EP42" i="18"/>
  <c r="EP54" i="18"/>
  <c r="EP66" i="18"/>
  <c r="EP78" i="18"/>
  <c r="EP90" i="18"/>
  <c r="EP102" i="18"/>
  <c r="EU10" i="18" s="1"/>
  <c r="EP43" i="18"/>
  <c r="EP11" i="18"/>
  <c r="EP23" i="18"/>
  <c r="EP34" i="18"/>
  <c r="EP44" i="18"/>
  <c r="EP56" i="18"/>
  <c r="EP68" i="18"/>
  <c r="EP80" i="18"/>
  <c r="EP92" i="18"/>
  <c r="EP5" i="18"/>
  <c r="EP12" i="18"/>
  <c r="EP24" i="18"/>
  <c r="EP35" i="18"/>
  <c r="EP45" i="18"/>
  <c r="EP57" i="18"/>
  <c r="EP69" i="18"/>
  <c r="EP81" i="18"/>
  <c r="EP93" i="18"/>
  <c r="EP13" i="18"/>
  <c r="EP25" i="18"/>
  <c r="EP36" i="18"/>
  <c r="EP46" i="18"/>
  <c r="EP58" i="18"/>
  <c r="EP70" i="18"/>
  <c r="EP82" i="18"/>
  <c r="EP94" i="18"/>
  <c r="EX5" i="10"/>
  <c r="EX4" i="10"/>
  <c r="A4" i="15"/>
  <c r="A2" i="15"/>
  <c r="L8" i="12" l="1"/>
  <c r="J8" i="12"/>
  <c r="L9" i="12"/>
  <c r="J9" i="12"/>
  <c r="K9" i="12"/>
  <c r="EJ103" i="10"/>
  <c r="DX103" i="10"/>
  <c r="DL103" i="10"/>
  <c r="CZ103" i="10"/>
  <c r="CN103" i="10"/>
  <c r="CB103" i="10"/>
  <c r="BP103" i="10"/>
  <c r="BD103" i="10"/>
  <c r="BC103" i="10"/>
  <c r="BB103" i="10"/>
  <c r="CV103" i="10"/>
  <c r="AZ103" i="10"/>
  <c r="CU103" i="10"/>
  <c r="EB103" i="10"/>
  <c r="EA103" i="10"/>
  <c r="CE103" i="10"/>
  <c r="EI103" i="10"/>
  <c r="DW103" i="10"/>
  <c r="DK103" i="10"/>
  <c r="CY103" i="10"/>
  <c r="CM103" i="10"/>
  <c r="CA103" i="10"/>
  <c r="BO103" i="10"/>
  <c r="DJ103" i="10"/>
  <c r="CL103" i="10"/>
  <c r="BZ103" i="10"/>
  <c r="DH103" i="10"/>
  <c r="BL103" i="10"/>
  <c r="DS103" i="10"/>
  <c r="BK103" i="10"/>
  <c r="ED103" i="10"/>
  <c r="BJ103" i="10"/>
  <c r="DP103" i="10"/>
  <c r="BG103" i="10"/>
  <c r="EH103" i="10"/>
  <c r="DV103" i="10"/>
  <c r="CX103" i="10"/>
  <c r="BN103" i="10"/>
  <c r="AY103" i="10"/>
  <c r="CH103" i="10"/>
  <c r="AW103" i="10"/>
  <c r="CR103" i="10"/>
  <c r="DC103" i="10"/>
  <c r="EG103" i="10"/>
  <c r="DU103" i="10"/>
  <c r="DI103" i="10"/>
  <c r="CW103" i="10"/>
  <c r="CK103" i="10"/>
  <c r="BY103" i="10"/>
  <c r="BM103" i="10"/>
  <c r="BA103" i="10"/>
  <c r="EF103" i="10"/>
  <c r="DT103" i="10"/>
  <c r="CJ103" i="10"/>
  <c r="BX103" i="10"/>
  <c r="EE103" i="10"/>
  <c r="BW103" i="10"/>
  <c r="DR103" i="10"/>
  <c r="BV103" i="10"/>
  <c r="DD103" i="10"/>
  <c r="AU103" i="10"/>
  <c r="CI103" i="10"/>
  <c r="AX103" i="10"/>
  <c r="BI103" i="10"/>
  <c r="CF103" i="10"/>
  <c r="CQ103" i="10"/>
  <c r="DG103" i="10"/>
  <c r="CT103" i="10"/>
  <c r="BH103" i="10"/>
  <c r="DF103" i="10"/>
  <c r="BT103" i="10"/>
  <c r="EO103" i="10"/>
  <c r="EU8" i="10" s="1"/>
  <c r="EC103" i="10"/>
  <c r="DQ103" i="10"/>
  <c r="DE103" i="10"/>
  <c r="CS103" i="10"/>
  <c r="CG103" i="10"/>
  <c r="BU103" i="10"/>
  <c r="EN103" i="10"/>
  <c r="AV103" i="10"/>
  <c r="EM103" i="10"/>
  <c r="BS103" i="10"/>
  <c r="EL103" i="10"/>
  <c r="DZ103" i="10"/>
  <c r="DN103" i="10"/>
  <c r="DB103" i="10"/>
  <c r="CP103" i="10"/>
  <c r="CD103" i="10"/>
  <c r="BR103" i="10"/>
  <c r="BF103" i="10"/>
  <c r="AT103" i="10"/>
  <c r="EU7" i="10" s="1"/>
  <c r="EK103" i="10"/>
  <c r="DY103" i="10"/>
  <c r="DM103" i="10"/>
  <c r="DA103" i="10"/>
  <c r="CO103" i="10"/>
  <c r="CC103" i="10"/>
  <c r="BQ103" i="10"/>
  <c r="BE103" i="10"/>
  <c r="DO103" i="10"/>
  <c r="EP25" i="10"/>
  <c r="EP37" i="10"/>
  <c r="EP14" i="10"/>
  <c r="EP62" i="10"/>
  <c r="EP27" i="10"/>
  <c r="EP63" i="10"/>
  <c r="EP52" i="10"/>
  <c r="EP88" i="10"/>
  <c r="EP5" i="10"/>
  <c r="EP65" i="10"/>
  <c r="EP78" i="10"/>
  <c r="EP91" i="10"/>
  <c r="EP24" i="10"/>
  <c r="EP13" i="10"/>
  <c r="EP49" i="10"/>
  <c r="EP86" i="10"/>
  <c r="EP3" i="10"/>
  <c r="EU9" i="10" s="1"/>
  <c r="EP51" i="10"/>
  <c r="EP99" i="10"/>
  <c r="EP40" i="10"/>
  <c r="EP100" i="10"/>
  <c r="EP17" i="10"/>
  <c r="EP30" i="10"/>
  <c r="EP85" i="10"/>
  <c r="EP73" i="10"/>
  <c r="EP26" i="10"/>
  <c r="EP74" i="10"/>
  <c r="EP39" i="10"/>
  <c r="EP87" i="10"/>
  <c r="EP4" i="10"/>
  <c r="EP28" i="10"/>
  <c r="EP76" i="10"/>
  <c r="EP29" i="10"/>
  <c r="EP53" i="10"/>
  <c r="EP77" i="10"/>
  <c r="EP101" i="10"/>
  <c r="EP18" i="10"/>
  <c r="EP54" i="10"/>
  <c r="EP90" i="10"/>
  <c r="EP7" i="10"/>
  <c r="EP43" i="10"/>
  <c r="EP79" i="10"/>
  <c r="EP32" i="10"/>
  <c r="EP57" i="10"/>
  <c r="EP38" i="10"/>
  <c r="EP50" i="10"/>
  <c r="EP98" i="10"/>
  <c r="EP15" i="10"/>
  <c r="EP75" i="10"/>
  <c r="EP16" i="10"/>
  <c r="EP64" i="10"/>
  <c r="EP41" i="10"/>
  <c r="EP89" i="10"/>
  <c r="EP6" i="10"/>
  <c r="EP42" i="10"/>
  <c r="EP66" i="10"/>
  <c r="EP102" i="10"/>
  <c r="EU10" i="10" s="1"/>
  <c r="EP19" i="10"/>
  <c r="EP31" i="10"/>
  <c r="EP55" i="10"/>
  <c r="EP67" i="10"/>
  <c r="EP8" i="10"/>
  <c r="EP20" i="10"/>
  <c r="EP44" i="10"/>
  <c r="EP56" i="10"/>
  <c r="EP68" i="10"/>
  <c r="EP80" i="10"/>
  <c r="EP92" i="10"/>
  <c r="EP9" i="10"/>
  <c r="EP21" i="10"/>
  <c r="EP33" i="10"/>
  <c r="EP45" i="10"/>
  <c r="EP69" i="10"/>
  <c r="EP81" i="10"/>
  <c r="EP93" i="10"/>
  <c r="EP10" i="10"/>
  <c r="EP22" i="10"/>
  <c r="EP34" i="10"/>
  <c r="EP46" i="10"/>
  <c r="EP58" i="10"/>
  <c r="EP70" i="10"/>
  <c r="EP82" i="10"/>
  <c r="EP94" i="10"/>
  <c r="EP11" i="10"/>
  <c r="EP23" i="10"/>
  <c r="EP35" i="10"/>
  <c r="EP47" i="10"/>
  <c r="EP59" i="10"/>
  <c r="EP71" i="10"/>
  <c r="EP83" i="10"/>
  <c r="EP95" i="10"/>
  <c r="EP12" i="10"/>
  <c r="EP36" i="10"/>
  <c r="EP48" i="10"/>
  <c r="EP60" i="10"/>
  <c r="EP72" i="10"/>
  <c r="EP84" i="10"/>
  <c r="EP96" i="10"/>
  <c r="EP61" i="10"/>
  <c r="EP97" i="10"/>
  <c r="ES31" i="10" l="1"/>
  <c r="ES37" i="10" s="1"/>
  <c r="EV37" i="10" s="1"/>
  <c r="I12" i="14" l="1"/>
  <c r="H12" i="14"/>
  <c r="G12" i="14"/>
  <c r="F12" i="14"/>
  <c r="C12" i="14"/>
  <c r="I9" i="14"/>
  <c r="H9" i="14"/>
  <c r="G9" i="14"/>
  <c r="F9" i="14"/>
  <c r="C9" i="14"/>
  <c r="I10" i="14"/>
  <c r="H10" i="14"/>
  <c r="G10" i="14"/>
  <c r="F10" i="14"/>
  <c r="C10" i="14"/>
  <c r="I11" i="14"/>
  <c r="H11" i="14"/>
  <c r="G11" i="14"/>
  <c r="F11" i="14"/>
  <c r="C11" i="14"/>
  <c r="I8" i="14"/>
  <c r="H8" i="14"/>
  <c r="G8" i="14"/>
  <c r="F8" i="14"/>
  <c r="C8" i="14"/>
  <c r="I7" i="14"/>
  <c r="H7" i="14"/>
  <c r="G7" i="14"/>
  <c r="F7" i="14"/>
  <c r="C7" i="14"/>
  <c r="I6" i="14"/>
  <c r="G6" i="14"/>
  <c r="C6" i="14"/>
  <c r="I5" i="14"/>
  <c r="H5" i="14"/>
  <c r="G5" i="14"/>
  <c r="F5" i="14"/>
  <c r="C5" i="14"/>
  <c r="C4" i="14"/>
  <c r="I4" i="14"/>
  <c r="H4" i="14"/>
  <c r="G4" i="14"/>
  <c r="F4" i="14"/>
  <c r="C3" i="14" l="1"/>
  <c r="J4" i="14" s="1"/>
  <c r="J11" i="14" l="1"/>
  <c r="J10" i="14"/>
  <c r="J12" i="14"/>
  <c r="J8" i="14"/>
  <c r="J9" i="14"/>
  <c r="J7" i="14"/>
  <c r="J6" i="14"/>
  <c r="J5" i="14"/>
</calcChain>
</file>

<file path=xl/sharedStrings.xml><?xml version="1.0" encoding="utf-8"?>
<sst xmlns="http://schemas.openxmlformats.org/spreadsheetml/2006/main" count="597" uniqueCount="226">
  <si>
    <t>Kerbol</t>
  </si>
  <si>
    <t>Moho</t>
  </si>
  <si>
    <t>Eve</t>
  </si>
  <si>
    <t>Gilly</t>
  </si>
  <si>
    <t>Kerbin</t>
  </si>
  <si>
    <t>Mun</t>
  </si>
  <si>
    <t>Minmus</t>
  </si>
  <si>
    <t>Duna</t>
  </si>
  <si>
    <t>Ike</t>
  </si>
  <si>
    <t>Dres</t>
  </si>
  <si>
    <t>Jool</t>
  </si>
  <si>
    <t>Laythe</t>
  </si>
  <si>
    <t>Vall</t>
  </si>
  <si>
    <t>Tylo</t>
  </si>
  <si>
    <t>Bop</t>
  </si>
  <si>
    <t>Pol</t>
  </si>
  <si>
    <t>Eeloo</t>
  </si>
  <si>
    <t>G</t>
  </si>
  <si>
    <t>e</t>
  </si>
  <si>
    <t>a</t>
  </si>
  <si>
    <t>i</t>
  </si>
  <si>
    <t>Origin</t>
  </si>
  <si>
    <t>x</t>
  </si>
  <si>
    <t>y</t>
  </si>
  <si>
    <t>start</t>
  </si>
  <si>
    <t>µ</t>
  </si>
  <si>
    <t>z</t>
  </si>
  <si>
    <t>t</t>
  </si>
  <si>
    <t>Origin Orbit</t>
  </si>
  <si>
    <t>point</t>
  </si>
  <si>
    <t>Destination Orbit</t>
  </si>
  <si>
    <t>Direct Transfer</t>
  </si>
  <si>
    <t>Ascending Node Transfer</t>
  </si>
  <si>
    <t>Descending Node Transfer</t>
  </si>
  <si>
    <t>Origin Vector</t>
  </si>
  <si>
    <t>Destination Vector</t>
  </si>
  <si>
    <t>Ascending Node Vector</t>
  </si>
  <si>
    <t>Descending Node Vector</t>
  </si>
  <si>
    <t>In-Plane Transfer</t>
  </si>
  <si>
    <r>
      <t>90</t>
    </r>
    <r>
      <rPr>
        <b/>
        <sz val="10"/>
        <color theme="1"/>
        <rFont val="Calibri"/>
        <family val="2"/>
      </rPr>
      <t>° Transfer</t>
    </r>
  </si>
  <si>
    <t>Destination</t>
  </si>
  <si>
    <t>Parking Orbit [km]</t>
  </si>
  <si>
    <t>Δv Budget [m/s]</t>
  </si>
  <si>
    <t>year</t>
  </si>
  <si>
    <t>day</t>
  </si>
  <si>
    <t>duration</t>
  </si>
  <si>
    <t>years</t>
  </si>
  <si>
    <t>days</t>
  </si>
  <si>
    <t>height above surface</t>
  </si>
  <si>
    <t>Transfer</t>
  </si>
  <si>
    <t>Direct</t>
  </si>
  <si>
    <t>AN</t>
  </si>
  <si>
    <t>DN</t>
  </si>
  <si>
    <r>
      <t>90</t>
    </r>
    <r>
      <rPr>
        <b/>
        <sz val="11"/>
        <color theme="1"/>
        <rFont val="Calibri"/>
        <family val="2"/>
      </rPr>
      <t>°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</si>
  <si>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</si>
  <si>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p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</si>
  <si>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c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</si>
  <si>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</si>
  <si>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Optimum</t>
  </si>
  <si>
    <t>date</t>
  </si>
  <si>
    <t>ETE</t>
  </si>
  <si>
    <t>Debugging Vectors</t>
  </si>
  <si>
    <t>IP Transfer (scaled)</t>
  </si>
  <si>
    <t>IP Transfer (unscaled)</t>
  </si>
  <si>
    <t>NA Transfer (IP)</t>
  </si>
  <si>
    <t>NA Transfer (OP)</t>
  </si>
  <si>
    <t>ND Transfer (IP)</t>
  </si>
  <si>
    <t>ND Transfer (OP)</t>
  </si>
  <si>
    <t>90 Transfer (IP)</t>
  </si>
  <si>
    <t>90 Transfer (OP)</t>
  </si>
  <si>
    <t>IP Transfer Origin</t>
  </si>
  <si>
    <t>IP Transfer Origin (post const)</t>
  </si>
  <si>
    <t>Ω</t>
  </si>
  <si>
    <t>ω</t>
  </si>
  <si>
    <r>
      <t>M</t>
    </r>
    <r>
      <rPr>
        <b/>
        <vertAlign val="subscript"/>
        <sz val="11"/>
        <color theme="1"/>
        <rFont val="Calibri"/>
        <family val="2"/>
      </rPr>
      <t>epoch</t>
    </r>
  </si>
  <si>
    <t>Destination At Injection</t>
  </si>
  <si>
    <t>Sun</t>
  </si>
  <si>
    <t>Mercury</t>
  </si>
  <si>
    <t>Venus</t>
  </si>
  <si>
    <t>Earth</t>
  </si>
  <si>
    <t>Mars</t>
  </si>
  <si>
    <t>Jupiter</t>
  </si>
  <si>
    <t>Neptune</t>
  </si>
  <si>
    <t>Uranus</t>
  </si>
  <si>
    <t>Pluto</t>
  </si>
  <si>
    <t>SOI</t>
  </si>
  <si>
    <t>Radius</t>
  </si>
  <si>
    <t>Saturn</t>
  </si>
  <si>
    <t>Departure Date</t>
  </si>
  <si>
    <t>Best dV</t>
  </si>
  <si>
    <t>Threshold</t>
  </si>
  <si>
    <t>ETE bounds</t>
  </si>
  <si>
    <t>min years</t>
  </si>
  <si>
    <t>max years</t>
  </si>
  <si>
    <t>min days</t>
  </si>
  <si>
    <t>max days</t>
  </si>
  <si>
    <r>
      <t xml:space="preserve">max </t>
    </r>
    <r>
      <rPr>
        <i/>
        <sz val="11"/>
        <color theme="1"/>
        <rFont val="Calibri"/>
        <family val="2"/>
      </rPr>
      <t>Δv displayed</t>
    </r>
  </si>
  <si>
    <t>(1 year = 426 days)</t>
  </si>
  <si>
    <t>Allow Hyperbolic?</t>
  </si>
  <si>
    <t>Transfer Inputs</t>
  </si>
  <si>
    <t>Plane Change</t>
  </si>
  <si>
    <t>no</t>
  </si>
  <si>
    <t>no functionality yet</t>
  </si>
  <si>
    <t>leave 0 for automatic minimums</t>
  </si>
  <si>
    <t>leave 0 for automatic maximums</t>
  </si>
  <si>
    <t>Additional Launch Window Options</t>
  </si>
  <si>
    <t>Launch Date</t>
  </si>
  <si>
    <r>
      <t xml:space="preserve">Best </t>
    </r>
    <r>
      <rPr>
        <b/>
        <sz val="11"/>
        <color theme="1"/>
        <rFont val="Calibri"/>
        <family val="2"/>
      </rPr>
      <t>Δv [m/s]</t>
    </r>
  </si>
  <si>
    <t>Highlighted Cells Between</t>
  </si>
  <si>
    <t>To plot a specific transfer orbit, select the grid square you would like to plot and hit the big old button!</t>
  </si>
  <si>
    <t>Launch Window Results (next tab for interactive plot)</t>
  </si>
  <si>
    <t>Current Launch Window Plot Status</t>
  </si>
  <si>
    <t>Kerbal or Real?</t>
  </si>
  <si>
    <t>Start Date</t>
  </si>
  <si>
    <t>Min ETE</t>
  </si>
  <si>
    <t>Max ETE</t>
  </si>
  <si>
    <t>End Date</t>
  </si>
  <si>
    <t>Year Length</t>
  </si>
  <si>
    <t>Day Length</t>
  </si>
  <si>
    <t>Kerbal</t>
  </si>
  <si>
    <t>Added the real solar system option (lacks real dates - existing dates are representative based on an arbitrary start date)</t>
  </si>
  <si>
    <t>Fixed bugs in the start date option for the launch window and added functionality for ETE tailoring</t>
  </si>
  <si>
    <t>Index</t>
  </si>
  <si>
    <t>Name</t>
  </si>
  <si>
    <t>Index Lookup</t>
  </si>
  <si>
    <t>ω [deg]</t>
  </si>
  <si>
    <t>Ω [deg]</t>
  </si>
  <si>
    <t>I [deg]</t>
  </si>
  <si>
    <t>a [m]</t>
  </si>
  <si>
    <t>SOI [m]</t>
  </si>
  <si>
    <t>Par Ind</t>
  </si>
  <si>
    <t>Window Progress:</t>
  </si>
  <si>
    <t>finished!</t>
  </si>
  <si>
    <t>Real</t>
  </si>
  <si>
    <t>Launch Window Inputs</t>
  </si>
  <si>
    <t>Plot Transfer Inputs</t>
  </si>
  <si>
    <t>Launch Window Inputs (Dates In Kerbal Time)</t>
  </si>
  <si>
    <t>Plot Transfer Inputs (Dates In Kerbal Time)</t>
  </si>
  <si>
    <t>Primarily a code update to streamline the program and provide for easier modular changes</t>
  </si>
  <si>
    <t>Fixed bugs resulting in DIV/0 error for certain orbits in gauss method</t>
  </si>
  <si>
    <t>Stage</t>
  </si>
  <si>
    <t>Payload</t>
  </si>
  <si>
    <t>T/W</t>
  </si>
  <si>
    <t>dV</t>
  </si>
  <si>
    <r>
      <rPr>
        <sz val="11"/>
        <color theme="1"/>
        <rFont val="Calibri"/>
        <family val="2"/>
      </rPr>
      <t>Δm/</t>
    </r>
    <r>
      <rPr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0</t>
    </r>
  </si>
  <si>
    <t>Mp</t>
  </si>
  <si>
    <t>Staging</t>
  </si>
  <si>
    <t>me</t>
  </si>
  <si>
    <t>Isp</t>
  </si>
  <si>
    <t>m0</t>
  </si>
  <si>
    <t>mf</t>
  </si>
  <si>
    <t>Total</t>
  </si>
  <si>
    <t>Stages</t>
  </si>
  <si>
    <t>SF</t>
  </si>
  <si>
    <t>min TW</t>
  </si>
  <si>
    <t>me+</t>
  </si>
  <si>
    <t>LV-1R "Spider" Liquid Fuel Engine</t>
  </si>
  <si>
    <t>Radial mounted</t>
  </si>
  <si>
    <t>LV-1 "Ant" Liquid Fuel Engine</t>
  </si>
  <si>
    <t>Tiny, Radial mounted</t>
  </si>
  <si>
    <t>—</t>
  </si>
  <si>
    <t>24-77 "Twitch" Liquid Fuel Engine</t>
  </si>
  <si>
    <t>O-10 "Puff" MonoPropellant Fuel Engine[Note 1]</t>
  </si>
  <si>
    <t>48-7S "Spark" Liquid Fuel Engine</t>
  </si>
  <si>
    <t>Tiny</t>
  </si>
  <si>
    <t>LV-909 "Terrier" Liquid Fuel Engine</t>
  </si>
  <si>
    <t>Small</t>
  </si>
  <si>
    <t>LV-N "Nerv" Atomic Rocket Motor[Note 2]</t>
  </si>
  <si>
    <t>Mk-55 "Thud" Liquid Fuel Engine</t>
  </si>
  <si>
    <t>T-1 Toroidal Aerospike "Dart" Liquid Fuel Engine</t>
  </si>
  <si>
    <t>Small, Radial mounted</t>
  </si>
  <si>
    <t>CR-7 R.A.P.I.E.R. Engine[Note 4]</t>
  </si>
  <si>
    <t>LV-T45 "Swivel" Liquid Fuel Engine</t>
  </si>
  <si>
    <t>LV-T30 "Reliant" Liquid Fuel Engine</t>
  </si>
  <si>
    <t>RE-L10 "Poodle" Liquid Fuel Engine</t>
  </si>
  <si>
    <t>Large</t>
  </si>
  <si>
    <t>RE-I5 "Skipper" Liquid Fuel Engine</t>
  </si>
  <si>
    <t>S3 KS-25 "Vector" Liquid Fuel Engine</t>
  </si>
  <si>
    <t>RE-M3 "Mainsail" Liquid Engine</t>
  </si>
  <si>
    <t>LFB KR-1x2 "Twin-Boar" Liquid Fuel Engine[Note 3]</t>
  </si>
  <si>
    <t>Large, Radial mounted</t>
  </si>
  <si>
    <t>Kerbodyne KR-2L+ "Rhino" Liquid Fuel Engine</t>
  </si>
  <si>
    <t>Extra large</t>
  </si>
  <si>
    <t>S3 KS-25x4 "Mammoth" Liquid Fuel Engine</t>
  </si>
  <si>
    <t>Part</t>
  </si>
  <si>
    <t>Radial Size</t>
  </si>
  <si>
    <t>Cost</t>
  </si>
  <si>
    <t>Mass</t>
  </si>
  <si>
    <t>Thrust</t>
  </si>
  <si>
    <t>atm</t>
  </si>
  <si>
    <t>vac</t>
  </si>
  <si>
    <t>tvc gimbal</t>
  </si>
  <si>
    <t>Engine List</t>
  </si>
  <si>
    <t>max fuel consumption</t>
  </si>
  <si>
    <t>Overall</t>
  </si>
  <si>
    <t>Launch</t>
  </si>
  <si>
    <t>dv</t>
  </si>
  <si>
    <t>IX-6315 "Dawn" Electric Propulsion System</t>
  </si>
  <si>
    <t>Delta V T/W (includes mass of engine/fuel/tanks)</t>
  </si>
  <si>
    <t>RE-J10 "Wolfhound" Liquid Fuel Engine AJ10</t>
  </si>
  <si>
    <t>Final</t>
  </si>
  <si>
    <t>Mid Stages</t>
  </si>
  <si>
    <t>Allow Hyperbolic</t>
  </si>
  <si>
    <t>yes</t>
  </si>
  <si>
    <t>for transfer orbit</t>
  </si>
  <si>
    <t>Major bugfixes; implemented "allow hyperbolic" functionality</t>
  </si>
  <si>
    <r>
      <t>90</t>
    </r>
    <r>
      <rPr>
        <sz val="11"/>
        <color theme="1"/>
        <rFont val="Calibri"/>
        <family val="2"/>
      </rPr>
      <t>°</t>
    </r>
  </si>
  <si>
    <t>Node</t>
  </si>
  <si>
    <t>90°</t>
  </si>
  <si>
    <t>Any</t>
  </si>
  <si>
    <t>Maneuver</t>
  </si>
  <si>
    <t>type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</si>
  <si>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pc</t>
    </r>
  </si>
  <si>
    <t>force specific type</t>
  </si>
  <si>
    <t>EA</t>
  </si>
  <si>
    <t>Ejection Angle</t>
  </si>
  <si>
    <t>Moon</t>
  </si>
  <si>
    <t>Dep</t>
  </si>
  <si>
    <t>Arr</t>
  </si>
  <si>
    <t>Moon Phase Details</t>
  </si>
  <si>
    <t>It's a mystery</t>
  </si>
  <si>
    <t>Added moon phase details</t>
  </si>
  <si>
    <t>90 Degree Plane Change</t>
  </si>
  <si>
    <t>16 Psyche</t>
  </si>
  <si>
    <r>
      <t xml:space="preserve">start
</t>
    </r>
    <r>
      <rPr>
        <b/>
        <i/>
        <sz val="8"/>
        <rFont val="Calibri"/>
        <family val="2"/>
        <scheme val="minor"/>
      </rPr>
      <t>year 1 = 2000</t>
    </r>
  </si>
  <si>
    <t>Started gravity assist functionality, not yet functional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</si>
</sst>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Times New Roman"/>
      <family val="1"/>
    </font>
    <font>
      <sz val="1"/>
      <color theme="1"/>
      <name val="Times New Roman"/>
      <family val="1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rgb="FF000000"/>
      <name val="Calibri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</font>
    <font>
      <sz val="2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b/>
      <i/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372">
    <xf numFmtId="0" fontId="0" fillId="0" borderId="0" xfId="0"/>
    <xf numFmtId="11" fontId="0" fillId="0" borderId="0" xfId="0" applyNumberFormat="1"/>
    <xf numFmtId="0" fontId="0" fillId="0" borderId="11" xfId="0" applyBorder="1"/>
    <xf numFmtId="0" fontId="0" fillId="0" borderId="14" xfId="0" applyBorder="1"/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/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1" fontId="8" fillId="0" borderId="0" xfId="0" applyNumberFormat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11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14" fillId="0" borderId="0" xfId="0" applyFont="1"/>
    <xf numFmtId="11" fontId="14" fillId="0" borderId="0" xfId="0" applyNumberFormat="1" applyFont="1" applyAlignment="1">
      <alignment textRotation="90"/>
    </xf>
    <xf numFmtId="0" fontId="14" fillId="0" borderId="0" xfId="0" applyFont="1" applyAlignment="1">
      <alignment textRotation="90"/>
    </xf>
    <xf numFmtId="11" fontId="0" fillId="0" borderId="0" xfId="0" applyNumberFormat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4" fillId="0" borderId="0" xfId="0" applyFont="1" applyBorder="1"/>
    <xf numFmtId="0" fontId="0" fillId="0" borderId="20" xfId="0" applyBorder="1"/>
    <xf numFmtId="0" fontId="0" fillId="0" borderId="6" xfId="0" applyBorder="1"/>
    <xf numFmtId="0" fontId="11" fillId="0" borderId="4" xfId="0" applyFont="1" applyFill="1" applyBorder="1"/>
    <xf numFmtId="0" fontId="20" fillId="0" borderId="0" xfId="0" applyFont="1" applyFill="1" applyBorder="1"/>
    <xf numFmtId="0" fontId="11" fillId="0" borderId="0" xfId="0" applyFont="1" applyFill="1" applyBorder="1"/>
    <xf numFmtId="0" fontId="4" fillId="0" borderId="20" xfId="0" applyFont="1" applyBorder="1"/>
    <xf numFmtId="0" fontId="4" fillId="0" borderId="27" xfId="0" applyFont="1" applyBorder="1"/>
    <xf numFmtId="0" fontId="0" fillId="0" borderId="29" xfId="0" applyBorder="1"/>
    <xf numFmtId="0" fontId="0" fillId="0" borderId="32" xfId="0" applyBorder="1"/>
    <xf numFmtId="0" fontId="0" fillId="0" borderId="33" xfId="0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9" fillId="0" borderId="24" xfId="0" applyFont="1" applyFill="1" applyBorder="1" applyAlignment="1">
      <alignment horizontal="right"/>
    </xf>
    <xf numFmtId="0" fontId="19" fillId="0" borderId="28" xfId="0" applyFont="1" applyFill="1" applyBorder="1" applyAlignment="1">
      <alignment horizontal="right"/>
    </xf>
    <xf numFmtId="0" fontId="19" fillId="0" borderId="25" xfId="0" applyFont="1" applyFill="1" applyBorder="1" applyAlignment="1">
      <alignment horizontal="right"/>
    </xf>
    <xf numFmtId="0" fontId="19" fillId="0" borderId="26" xfId="0" applyFont="1" applyFill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2" fillId="0" borderId="28" xfId="0" applyFont="1" applyBorder="1" applyAlignment="1">
      <alignment horizontal="right"/>
    </xf>
    <xf numFmtId="0" fontId="2" fillId="0" borderId="25" xfId="0" applyFont="1" applyBorder="1" applyAlignment="1">
      <alignment horizontal="right"/>
    </xf>
    <xf numFmtId="0" fontId="2" fillId="0" borderId="26" xfId="0" applyFont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44" xfId="0" applyBorder="1"/>
    <xf numFmtId="0" fontId="0" fillId="0" borderId="45" xfId="0" applyBorder="1"/>
    <xf numFmtId="1" fontId="0" fillId="0" borderId="3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/>
    <xf numFmtId="0" fontId="1" fillId="0" borderId="0" xfId="0" applyFont="1" applyAlignment="1">
      <alignment horizontal="right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1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1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11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5" fillId="0" borderId="52" xfId="0" applyFont="1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8" xfId="0" applyBorder="1"/>
    <xf numFmtId="0" fontId="0" fillId="0" borderId="17" xfId="0" applyBorder="1" applyAlignment="1">
      <alignment horizontal="center"/>
    </xf>
    <xf numFmtId="0" fontId="0" fillId="0" borderId="7" xfId="0" applyBorder="1" applyAlignment="1">
      <alignment horizontal="center"/>
    </xf>
    <xf numFmtId="11" fontId="0" fillId="2" borderId="12" xfId="0" applyNumberForma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Protection="1"/>
    <xf numFmtId="0" fontId="12" fillId="0" borderId="0" xfId="0" applyFont="1" applyAlignment="1" applyProtection="1">
      <alignment horizontal="center"/>
    </xf>
    <xf numFmtId="0" fontId="0" fillId="0" borderId="0" xfId="0" applyBorder="1" applyProtection="1"/>
    <xf numFmtId="0" fontId="0" fillId="0" borderId="4" xfId="0" applyBorder="1" applyProtection="1"/>
    <xf numFmtId="1" fontId="0" fillId="0" borderId="31" xfId="0" applyNumberFormat="1" applyBorder="1" applyAlignment="1" applyProtection="1">
      <alignment horizontal="center"/>
    </xf>
    <xf numFmtId="0" fontId="0" fillId="0" borderId="33" xfId="0" applyBorder="1" applyProtection="1"/>
    <xf numFmtId="0" fontId="0" fillId="0" borderId="45" xfId="0" applyBorder="1" applyProtection="1"/>
    <xf numFmtId="0" fontId="12" fillId="0" borderId="0" xfId="0" applyFont="1" applyProtection="1"/>
    <xf numFmtId="0" fontId="4" fillId="0" borderId="27" xfId="0" applyFont="1" applyBorder="1" applyProtection="1"/>
    <xf numFmtId="0" fontId="0" fillId="0" borderId="29" xfId="0" applyBorder="1" applyProtection="1"/>
    <xf numFmtId="0" fontId="1" fillId="0" borderId="25" xfId="0" applyFont="1" applyBorder="1" applyAlignment="1" applyProtection="1">
      <alignment horizontal="right"/>
    </xf>
    <xf numFmtId="0" fontId="0" fillId="0" borderId="36" xfId="0" applyBorder="1" applyAlignment="1" applyProtection="1">
      <alignment horizontal="center"/>
    </xf>
    <xf numFmtId="0" fontId="1" fillId="0" borderId="28" xfId="0" applyFont="1" applyBorder="1" applyAlignment="1" applyProtection="1">
      <alignment horizontal="right"/>
    </xf>
    <xf numFmtId="0" fontId="0" fillId="0" borderId="35" xfId="0" applyBorder="1" applyAlignment="1" applyProtection="1">
      <alignment horizontal="center"/>
    </xf>
    <xf numFmtId="0" fontId="0" fillId="0" borderId="44" xfId="0" applyBorder="1" applyProtection="1"/>
    <xf numFmtId="0" fontId="0" fillId="0" borderId="32" xfId="0" applyBorder="1" applyProtection="1"/>
    <xf numFmtId="0" fontId="0" fillId="0" borderId="0" xfId="0" applyAlignment="1" applyProtection="1">
      <alignment horizontal="center"/>
    </xf>
    <xf numFmtId="0" fontId="4" fillId="0" borderId="0" xfId="0" applyFont="1" applyProtection="1"/>
    <xf numFmtId="0" fontId="1" fillId="0" borderId="26" xfId="0" applyFont="1" applyBorder="1" applyAlignment="1" applyProtection="1">
      <alignment horizontal="right"/>
    </xf>
    <xf numFmtId="0" fontId="19" fillId="0" borderId="24" xfId="0" applyFont="1" applyFill="1" applyBorder="1" applyAlignment="1" applyProtection="1">
      <alignment horizontal="right"/>
    </xf>
    <xf numFmtId="0" fontId="19" fillId="0" borderId="28" xfId="0" applyFont="1" applyFill="1" applyBorder="1" applyAlignment="1" applyProtection="1">
      <alignment horizontal="right"/>
    </xf>
    <xf numFmtId="0" fontId="19" fillId="0" borderId="25" xfId="0" applyFont="1" applyFill="1" applyBorder="1" applyAlignment="1" applyProtection="1">
      <alignment horizontal="right"/>
    </xf>
    <xf numFmtId="0" fontId="11" fillId="0" borderId="0" xfId="0" applyFont="1" applyFill="1" applyBorder="1" applyProtection="1"/>
    <xf numFmtId="0" fontId="11" fillId="0" borderId="4" xfId="0" applyFont="1" applyFill="1" applyBorder="1" applyProtection="1"/>
    <xf numFmtId="0" fontId="19" fillId="0" borderId="26" xfId="0" applyFont="1" applyFill="1" applyBorder="1" applyAlignment="1" applyProtection="1">
      <alignment horizontal="right"/>
    </xf>
    <xf numFmtId="0" fontId="20" fillId="0" borderId="0" xfId="0" applyFont="1" applyFill="1" applyBorder="1" applyProtection="1"/>
    <xf numFmtId="0" fontId="2" fillId="0" borderId="24" xfId="0" applyFont="1" applyBorder="1" applyAlignment="1" applyProtection="1">
      <alignment horizontal="right"/>
    </xf>
    <xf numFmtId="0" fontId="2" fillId="0" borderId="28" xfId="0" applyFont="1" applyBorder="1" applyAlignment="1" applyProtection="1">
      <alignment horizontal="right"/>
    </xf>
    <xf numFmtId="0" fontId="2" fillId="0" borderId="25" xfId="0" applyFont="1" applyBorder="1" applyAlignment="1" applyProtection="1">
      <alignment horizontal="right"/>
    </xf>
    <xf numFmtId="0" fontId="2" fillId="0" borderId="26" xfId="0" applyFont="1" applyBorder="1" applyAlignment="1" applyProtection="1">
      <alignment horizontal="right"/>
    </xf>
    <xf numFmtId="0" fontId="4" fillId="0" borderId="20" xfId="0" applyFont="1" applyBorder="1" applyProtection="1"/>
    <xf numFmtId="0" fontId="0" fillId="0" borderId="6" xfId="0" applyBorder="1" applyProtection="1"/>
    <xf numFmtId="0" fontId="1" fillId="0" borderId="34" xfId="0" applyFont="1" applyBorder="1" applyAlignment="1" applyProtection="1">
      <alignment horizontal="center" vertical="center"/>
    </xf>
    <xf numFmtId="0" fontId="1" fillId="0" borderId="35" xfId="0" applyFont="1" applyBorder="1" applyAlignment="1" applyProtection="1">
      <alignment horizontal="center" vertical="center"/>
    </xf>
    <xf numFmtId="0" fontId="1" fillId="0" borderId="36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4" fillId="0" borderId="0" xfId="0" applyFont="1" applyBorder="1" applyProtection="1"/>
    <xf numFmtId="0" fontId="0" fillId="4" borderId="24" xfId="0" applyFill="1" applyBorder="1" applyAlignment="1" applyProtection="1">
      <alignment horizontal="center"/>
      <protection locked="0"/>
    </xf>
    <xf numFmtId="0" fontId="0" fillId="4" borderId="28" xfId="0" applyFill="1" applyBorder="1" applyAlignment="1" applyProtection="1">
      <alignment horizontal="center"/>
      <protection locked="0"/>
    </xf>
    <xf numFmtId="0" fontId="0" fillId="4" borderId="26" xfId="0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8" xfId="0" applyFont="1" applyFill="1" applyBorder="1" applyAlignment="1" applyProtection="1">
      <alignment horizontal="center"/>
      <protection locked="0"/>
    </xf>
    <xf numFmtId="0" fontId="11" fillId="4" borderId="25" xfId="0" applyFont="1" applyFill="1" applyBorder="1" applyAlignment="1" applyProtection="1">
      <alignment horizontal="center"/>
      <protection locked="0"/>
    </xf>
    <xf numFmtId="0" fontId="11" fillId="4" borderId="26" xfId="0" applyFont="1" applyFill="1" applyBorder="1" applyAlignment="1" applyProtection="1">
      <alignment horizontal="center"/>
      <protection locked="0"/>
    </xf>
    <xf numFmtId="0" fontId="0" fillId="4" borderId="34" xfId="0" applyFill="1" applyBorder="1" applyAlignment="1" applyProtection="1">
      <alignment horizontal="center"/>
      <protection locked="0"/>
    </xf>
    <xf numFmtId="0" fontId="0" fillId="4" borderId="35" xfId="0" applyFill="1" applyBorder="1" applyAlignment="1" applyProtection="1">
      <alignment horizontal="center"/>
      <protection locked="0"/>
    </xf>
    <xf numFmtId="0" fontId="0" fillId="4" borderId="36" xfId="0" applyFill="1" applyBorder="1" applyAlignment="1" applyProtection="1">
      <alignment horizontal="center"/>
      <protection locked="0"/>
    </xf>
    <xf numFmtId="0" fontId="0" fillId="4" borderId="37" xfId="0" applyFill="1" applyBorder="1" applyAlignment="1" applyProtection="1">
      <alignment horizontal="center"/>
      <protection locked="0"/>
    </xf>
    <xf numFmtId="0" fontId="11" fillId="4" borderId="34" xfId="0" applyFont="1" applyFill="1" applyBorder="1" applyAlignment="1" applyProtection="1">
      <alignment horizontal="center"/>
      <protection locked="0"/>
    </xf>
    <xf numFmtId="0" fontId="11" fillId="4" borderId="35" xfId="0" applyFont="1" applyFill="1" applyBorder="1" applyAlignment="1" applyProtection="1">
      <alignment horizontal="center"/>
      <protection locked="0"/>
    </xf>
    <xf numFmtId="0" fontId="11" fillId="4" borderId="36" xfId="0" applyFont="1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/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0" fillId="5" borderId="25" xfId="0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11" fillId="5" borderId="24" xfId="0" applyFont="1" applyFill="1" applyBorder="1" applyAlignment="1" applyProtection="1">
      <alignment horizontal="center"/>
      <protection locked="0"/>
    </xf>
    <xf numFmtId="0" fontId="11" fillId="5" borderId="28" xfId="0" applyFont="1" applyFill="1" applyBorder="1" applyAlignment="1" applyProtection="1">
      <alignment horizontal="center"/>
      <protection locked="0"/>
    </xf>
    <xf numFmtId="0" fontId="11" fillId="5" borderId="25" xfId="0" applyFont="1" applyFill="1" applyBorder="1" applyAlignment="1" applyProtection="1">
      <alignment horizontal="center"/>
      <protection locked="0"/>
    </xf>
    <xf numFmtId="0" fontId="11" fillId="5" borderId="26" xfId="0" applyFont="1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0" fontId="0" fillId="5" borderId="35" xfId="0" applyFill="1" applyBorder="1" applyAlignment="1" applyProtection="1">
      <alignment horizontal="center"/>
      <protection locked="0"/>
    </xf>
    <xf numFmtId="0" fontId="0" fillId="5" borderId="36" xfId="0" applyFill="1" applyBorder="1" applyAlignment="1" applyProtection="1">
      <alignment horizontal="center"/>
      <protection locked="0"/>
    </xf>
    <xf numFmtId="0" fontId="0" fillId="5" borderId="37" xfId="0" applyFill="1" applyBorder="1" applyAlignment="1" applyProtection="1">
      <alignment horizontal="center"/>
      <protection locked="0"/>
    </xf>
    <xf numFmtId="0" fontId="11" fillId="5" borderId="34" xfId="0" applyFont="1" applyFill="1" applyBorder="1" applyAlignment="1" applyProtection="1">
      <alignment horizontal="center"/>
      <protection locked="0"/>
    </xf>
    <xf numFmtId="0" fontId="11" fillId="5" borderId="35" xfId="0" applyFont="1" applyFill="1" applyBorder="1" applyAlignment="1" applyProtection="1">
      <alignment horizontal="center"/>
      <protection locked="0"/>
    </xf>
    <xf numFmtId="0" fontId="11" fillId="5" borderId="36" xfId="0" applyFont="1" applyFill="1" applyBorder="1" applyAlignment="1" applyProtection="1">
      <alignment horizontal="center"/>
      <protection locked="0"/>
    </xf>
    <xf numFmtId="1" fontId="15" fillId="0" borderId="0" xfId="0" applyNumberFormat="1" applyFont="1" applyProtection="1">
      <protection locked="0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49" xfId="0" applyBorder="1" applyAlignment="1">
      <alignment horizontal="left"/>
    </xf>
    <xf numFmtId="0" fontId="1" fillId="0" borderId="56" xfId="0" applyFont="1" applyBorder="1" applyAlignment="1">
      <alignment horizontal="center"/>
    </xf>
    <xf numFmtId="2" fontId="0" fillId="0" borderId="49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0" xfId="0" applyBorder="1" applyAlignment="1" applyProtection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5" xfId="0" applyBorder="1" applyAlignment="1">
      <alignment horizontal="center"/>
    </xf>
    <xf numFmtId="0" fontId="11" fillId="0" borderId="36" xfId="0" applyFont="1" applyFill="1" applyBorder="1" applyAlignment="1" applyProtection="1">
      <alignment horizontal="center" vertical="center"/>
    </xf>
    <xf numFmtId="0" fontId="11" fillId="0" borderId="4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4" fillId="0" borderId="17" xfId="0" applyFont="1" applyBorder="1" applyAlignment="1" applyProtection="1">
      <alignment horizontal="center"/>
    </xf>
    <xf numFmtId="0" fontId="1" fillId="0" borderId="66" xfId="0" applyFont="1" applyBorder="1" applyAlignment="1" applyProtection="1">
      <alignment horizontal="right"/>
    </xf>
    <xf numFmtId="0" fontId="2" fillId="0" borderId="5" xfId="0" applyFont="1" applyBorder="1" applyProtection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/>
    <xf numFmtId="0" fontId="1" fillId="0" borderId="0" xfId="0" applyFont="1" applyAlignment="1">
      <alignment horizontal="left"/>
    </xf>
    <xf numFmtId="0" fontId="1" fillId="0" borderId="11" xfId="0" applyFont="1" applyBorder="1" applyAlignment="1" applyProtection="1">
      <alignment horizontal="left"/>
    </xf>
    <xf numFmtId="0" fontId="0" fillId="0" borderId="11" xfId="0" applyBorder="1" applyProtection="1"/>
    <xf numFmtId="165" fontId="0" fillId="0" borderId="12" xfId="0" applyNumberFormat="1" applyBorder="1" applyAlignment="1" applyProtection="1">
      <alignment horizontal="center"/>
    </xf>
    <xf numFmtId="165" fontId="0" fillId="0" borderId="13" xfId="0" applyNumberFormat="1" applyBorder="1" applyAlignment="1" applyProtection="1">
      <alignment horizontal="center"/>
    </xf>
    <xf numFmtId="0" fontId="0" fillId="0" borderId="14" xfId="0" applyBorder="1" applyProtection="1"/>
    <xf numFmtId="165" fontId="0" fillId="0" borderId="15" xfId="0" applyNumberFormat="1" applyBorder="1" applyAlignment="1" applyProtection="1">
      <alignment horizontal="center"/>
    </xf>
    <xf numFmtId="165" fontId="0" fillId="0" borderId="7" xfId="0" applyNumberForma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19" xfId="0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0" fillId="0" borderId="38" xfId="0" applyFont="1" applyFill="1" applyBorder="1" applyAlignment="1">
      <alignment horizontal="center" vertical="center"/>
    </xf>
    <xf numFmtId="0" fontId="20" fillId="0" borderId="39" xfId="0" applyFont="1" applyFill="1" applyBorder="1" applyAlignment="1">
      <alignment horizontal="center" vertical="center"/>
    </xf>
    <xf numFmtId="0" fontId="20" fillId="0" borderId="40" xfId="0" applyFont="1" applyFill="1" applyBorder="1" applyAlignment="1">
      <alignment horizontal="center" vertical="center"/>
    </xf>
    <xf numFmtId="0" fontId="20" fillId="0" borderId="2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2" fillId="0" borderId="4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wrapText="1"/>
    </xf>
    <xf numFmtId="0" fontId="4" fillId="0" borderId="39" xfId="0" applyFont="1" applyBorder="1" applyAlignment="1">
      <alignment horizontal="center" wrapText="1"/>
    </xf>
    <xf numFmtId="0" fontId="4" fillId="0" borderId="40" xfId="0" applyFont="1" applyBorder="1" applyAlignment="1">
      <alignment horizontal="center" wrapText="1"/>
    </xf>
    <xf numFmtId="0" fontId="4" fillId="0" borderId="29" xfId="0" applyFont="1" applyBorder="1" applyAlignment="1">
      <alignment horizontal="center" wrapText="1"/>
    </xf>
    <xf numFmtId="0" fontId="1" fillId="0" borderId="3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0" fontId="1" fillId="0" borderId="3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5" fillId="0" borderId="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wrapText="1"/>
    </xf>
    <xf numFmtId="0" fontId="2" fillId="0" borderId="3" xfId="0" applyFont="1" applyBorder="1" applyAlignment="1" applyProtection="1">
      <alignment horizontal="center" wrapText="1"/>
    </xf>
    <xf numFmtId="0" fontId="1" fillId="0" borderId="0" xfId="0" applyFont="1" applyAlignment="1">
      <alignment horizontal="center"/>
    </xf>
    <xf numFmtId="0" fontId="19" fillId="0" borderId="3" xfId="0" applyFont="1" applyFill="1" applyBorder="1" applyAlignment="1">
      <alignment horizontal="center" vertical="center" wrapText="1"/>
    </xf>
    <xf numFmtId="0" fontId="19" fillId="0" borderId="30" xfId="0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3" fillId="0" borderId="38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" fillId="0" borderId="21" xfId="0" applyFont="1" applyBorder="1" applyAlignment="1" applyProtection="1">
      <alignment horizontal="center"/>
    </xf>
    <xf numFmtId="0" fontId="1" fillId="0" borderId="22" xfId="0" applyFont="1" applyBorder="1" applyAlignment="1" applyProtection="1">
      <alignment horizontal="center"/>
    </xf>
    <xf numFmtId="0" fontId="1" fillId="0" borderId="23" xfId="0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4" xfId="0" applyFont="1" applyBorder="1" applyAlignment="1" applyProtection="1">
      <alignment horizontal="center"/>
    </xf>
    <xf numFmtId="0" fontId="1" fillId="0" borderId="32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30" xfId="0" applyFont="1" applyBorder="1" applyAlignment="1" applyProtection="1">
      <alignment horizontal="center" vertical="center" wrapText="1"/>
    </xf>
    <xf numFmtId="1" fontId="17" fillId="0" borderId="3" xfId="0" applyNumberFormat="1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0" borderId="20" xfId="0" applyNumberFormat="1" applyFont="1" applyFill="1" applyBorder="1" applyAlignment="1">
      <alignment horizontal="center" vertical="center"/>
    </xf>
    <xf numFmtId="1" fontId="17" fillId="0" borderId="4" xfId="0" applyNumberFormat="1" applyFont="1" applyFill="1" applyBorder="1" applyAlignment="1">
      <alignment horizontal="center" vertical="center"/>
    </xf>
    <xf numFmtId="1" fontId="17" fillId="0" borderId="6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top" wrapText="1"/>
    </xf>
    <xf numFmtId="1" fontId="17" fillId="0" borderId="3" xfId="0" applyNumberFormat="1" applyFont="1" applyBorder="1" applyAlignment="1">
      <alignment horizontal="center" vertical="center"/>
    </xf>
    <xf numFmtId="1" fontId="17" fillId="0" borderId="0" xfId="0" applyNumberFormat="1" applyFont="1" applyBorder="1" applyAlignment="1">
      <alignment horizontal="center" vertical="center"/>
    </xf>
    <xf numFmtId="1" fontId="17" fillId="0" borderId="4" xfId="0" applyNumberFormat="1" applyFont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1" fontId="17" fillId="0" borderId="20" xfId="0" applyNumberFormat="1" applyFont="1" applyBorder="1" applyAlignment="1">
      <alignment horizontal="center" vertical="center"/>
    </xf>
    <xf numFmtId="1" fontId="17" fillId="0" borderId="6" xfId="0" applyNumberFormat="1" applyFont="1" applyBorder="1" applyAlignment="1">
      <alignment horizontal="center" vertical="center"/>
    </xf>
    <xf numFmtId="9" fontId="17" fillId="3" borderId="3" xfId="0" applyNumberFormat="1" applyFont="1" applyFill="1" applyBorder="1" applyAlignment="1" applyProtection="1">
      <alignment horizontal="center" vertical="center"/>
      <protection locked="0"/>
    </xf>
    <xf numFmtId="9" fontId="17" fillId="3" borderId="0" xfId="0" applyNumberFormat="1" applyFont="1" applyFill="1" applyBorder="1" applyAlignment="1" applyProtection="1">
      <alignment horizontal="center" vertical="center"/>
      <protection locked="0"/>
    </xf>
    <xf numFmtId="9" fontId="17" fillId="3" borderId="4" xfId="0" applyNumberFormat="1" applyFont="1" applyFill="1" applyBorder="1" applyAlignment="1" applyProtection="1">
      <alignment horizontal="center" vertical="center"/>
      <protection locked="0"/>
    </xf>
    <xf numFmtId="9" fontId="17" fillId="3" borderId="5" xfId="0" applyNumberFormat="1" applyFont="1" applyFill="1" applyBorder="1" applyAlignment="1" applyProtection="1">
      <alignment horizontal="center" vertical="center"/>
      <protection locked="0"/>
    </xf>
    <xf numFmtId="9" fontId="17" fillId="3" borderId="20" xfId="0" applyNumberFormat="1" applyFont="1" applyFill="1" applyBorder="1" applyAlignment="1" applyProtection="1">
      <alignment horizontal="center" vertical="center"/>
      <protection locked="0"/>
    </xf>
    <xf numFmtId="9" fontId="17" fillId="3" borderId="6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1" fontId="17" fillId="0" borderId="1" xfId="0" applyNumberFormat="1" applyFont="1" applyBorder="1" applyAlignment="1">
      <alignment horizontal="center" vertical="center"/>
    </xf>
    <xf numFmtId="1" fontId="17" fillId="0" borderId="16" xfId="0" applyNumberFormat="1" applyFont="1" applyBorder="1" applyAlignment="1">
      <alignment horizontal="center" vertical="center"/>
    </xf>
    <xf numFmtId="1" fontId="17" fillId="0" borderId="2" xfId="0" applyNumberFormat="1" applyFont="1" applyBorder="1" applyAlignment="1">
      <alignment horizontal="center" vertical="center"/>
    </xf>
    <xf numFmtId="1" fontId="17" fillId="3" borderId="1" xfId="0" applyNumberFormat="1" applyFont="1" applyFill="1" applyBorder="1" applyAlignment="1">
      <alignment horizontal="center" vertical="center"/>
    </xf>
    <xf numFmtId="1" fontId="17" fillId="3" borderId="16" xfId="0" applyNumberFormat="1" applyFont="1" applyFill="1" applyBorder="1" applyAlignment="1">
      <alignment horizontal="center" vertical="center"/>
    </xf>
    <xf numFmtId="1" fontId="17" fillId="3" borderId="2" xfId="0" applyNumberFormat="1" applyFont="1" applyFill="1" applyBorder="1" applyAlignment="1">
      <alignment horizontal="center" vertical="center"/>
    </xf>
    <xf numFmtId="1" fontId="17" fillId="3" borderId="3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Border="1" applyAlignment="1">
      <alignment horizontal="center" vertical="center"/>
    </xf>
    <xf numFmtId="1" fontId="17" fillId="3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0" xfId="0" applyAlignment="1" applyProtection="1">
      <alignment horizontal="center"/>
    </xf>
    <xf numFmtId="0" fontId="20" fillId="0" borderId="38" xfId="0" applyFont="1" applyFill="1" applyBorder="1" applyAlignment="1" applyProtection="1">
      <alignment horizontal="center" vertical="center"/>
    </xf>
    <xf numFmtId="0" fontId="20" fillId="0" borderId="39" xfId="0" applyFont="1" applyFill="1" applyBorder="1" applyAlignment="1" applyProtection="1">
      <alignment horizontal="center" vertical="center"/>
    </xf>
    <xf numFmtId="0" fontId="20" fillId="0" borderId="40" xfId="0" applyFont="1" applyFill="1" applyBorder="1" applyAlignment="1" applyProtection="1">
      <alignment horizontal="center" vertical="center"/>
    </xf>
    <xf numFmtId="0" fontId="20" fillId="0" borderId="29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center" vertical="center" wrapText="1"/>
    </xf>
    <xf numFmtId="0" fontId="3" fillId="0" borderId="46" xfId="0" applyFont="1" applyFill="1" applyBorder="1" applyAlignment="1" applyProtection="1">
      <alignment horizontal="center" vertical="center" wrapText="1"/>
    </xf>
    <xf numFmtId="165" fontId="20" fillId="0" borderId="39" xfId="0" applyNumberFormat="1" applyFont="1" applyFill="1" applyBorder="1" applyAlignment="1" applyProtection="1">
      <alignment horizontal="center" vertical="center"/>
    </xf>
    <xf numFmtId="165" fontId="20" fillId="0" borderId="6" xfId="0" applyNumberFormat="1" applyFont="1" applyFill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/>
    </xf>
    <xf numFmtId="0" fontId="1" fillId="0" borderId="28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25" xfId="0" applyFont="1" applyBorder="1" applyAlignment="1" applyProtection="1">
      <alignment horizontal="center"/>
    </xf>
    <xf numFmtId="0" fontId="19" fillId="0" borderId="3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/>
    </xf>
    <xf numFmtId="0" fontId="1" fillId="0" borderId="26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9" fillId="0" borderId="30" xfId="0" applyFont="1" applyFill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</xf>
    <xf numFmtId="0" fontId="11" fillId="0" borderId="40" xfId="0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/>
    </xf>
    <xf numFmtId="0" fontId="1" fillId="0" borderId="9" xfId="0" applyFon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/>
    </xf>
    <xf numFmtId="0" fontId="2" fillId="0" borderId="41" xfId="0" applyFont="1" applyBorder="1" applyAlignment="1" applyProtection="1">
      <alignment horizontal="center" vertical="center" wrapText="1"/>
    </xf>
    <xf numFmtId="0" fontId="2" fillId="0" borderId="42" xfId="0" applyFont="1" applyBorder="1" applyAlignment="1" applyProtection="1">
      <alignment horizontal="center" vertical="center" wrapText="1"/>
    </xf>
    <xf numFmtId="0" fontId="2" fillId="0" borderId="43" xfId="0" applyFont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39" xfId="0" applyFont="1" applyBorder="1" applyAlignment="1" applyProtection="1">
      <alignment horizontal="center" wrapText="1"/>
    </xf>
    <xf numFmtId="0" fontId="4" fillId="0" borderId="40" xfId="0" applyFont="1" applyBorder="1" applyAlignment="1" applyProtection="1">
      <alignment horizontal="center" wrapText="1"/>
    </xf>
    <xf numFmtId="0" fontId="4" fillId="0" borderId="29" xfId="0" applyFont="1" applyBorder="1" applyAlignment="1" applyProtection="1">
      <alignment horizontal="center" wrapText="1"/>
    </xf>
    <xf numFmtId="0" fontId="2" fillId="0" borderId="30" xfId="0" applyFont="1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/>
    </xf>
    <xf numFmtId="0" fontId="1" fillId="0" borderId="3" xfId="0" applyFont="1" applyBorder="1" applyAlignment="1" applyProtection="1">
      <alignment horizontal="right"/>
    </xf>
    <xf numFmtId="0" fontId="1" fillId="0" borderId="0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20" xfId="0" applyFont="1" applyBorder="1" applyAlignment="1" applyProtection="1">
      <alignment horizontal="right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57" xfId="0" applyFont="1" applyBorder="1" applyAlignment="1">
      <alignment horizontal="center" wrapText="1"/>
    </xf>
    <xf numFmtId="0" fontId="1" fillId="0" borderId="58" xfId="0" applyFont="1" applyBorder="1" applyAlignment="1">
      <alignment horizontal="center" wrapText="1"/>
    </xf>
    <xf numFmtId="0" fontId="1" fillId="0" borderId="34" xfId="0" applyFont="1" applyBorder="1" applyAlignment="1">
      <alignment horizontal="center" wrapText="1"/>
    </xf>
    <xf numFmtId="0" fontId="1" fillId="0" borderId="35" xfId="0" applyFont="1" applyBorder="1" applyAlignment="1">
      <alignment horizontal="center" wrapText="1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</cellXfs>
  <cellStyles count="1">
    <cellStyle name="Normal" xfId="0" builtinId="0"/>
  </cellStyles>
  <dxfs count="2"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C8FFC8"/>
      <color rgb="FF0000FF"/>
      <color rgb="FF00FF00"/>
      <color rgb="FFFFC8C8"/>
      <color rgb="FFE67300"/>
      <color rgb="FF7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Top-down orbital plot (x-y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RPlot!$E$2</c:f>
              <c:strCache>
                <c:ptCount val="1"/>
                <c:pt idx="0">
                  <c:v>Origin Orbit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RPlot!$E$4:$E$104</c:f>
              <c:numCache>
                <c:formatCode>0.00E+00</c:formatCode>
                <c:ptCount val="101"/>
                <c:pt idx="0">
                  <c:v>-56950294258.091858</c:v>
                </c:pt>
                <c:pt idx="1">
                  <c:v>-65354477309.841003</c:v>
                </c:pt>
                <c:pt idx="2">
                  <c:v>-73505610444.21344</c:v>
                </c:pt>
                <c:pt idx="3">
                  <c:v>-81373046884.347137</c:v>
                </c:pt>
                <c:pt idx="4">
                  <c:v>-88927130815.213669</c:v>
                </c:pt>
                <c:pt idx="5">
                  <c:v>-96139293243.464233</c:v>
                </c:pt>
                <c:pt idx="6">
                  <c:v>-102982145762.86708</c:v>
                </c:pt>
                <c:pt idx="7">
                  <c:v>-109429572133.00426</c:v>
                </c:pt>
                <c:pt idx="8">
                  <c:v>-115456817554.88956</c:v>
                </c:pt>
                <c:pt idx="9">
                  <c:v>-121040575500.28777</c:v>
                </c:pt>
                <c:pt idx="10">
                  <c:v>-126159071922.20216</c:v>
                </c:pt>
                <c:pt idx="11">
                  <c:v>-130792146642.76733</c:v>
                </c:pt>
                <c:pt idx="12">
                  <c:v>-134921331682.16199</c:v>
                </c:pt>
                <c:pt idx="13">
                  <c:v>-138529926258.73917</c:v>
                </c:pt>
                <c:pt idx="14">
                  <c:v>-141603068156.97623</c:v>
                </c:pt>
                <c:pt idx="15">
                  <c:v>-144127801126.7424</c:v>
                </c:pt>
                <c:pt idx="16">
                  <c:v>-146093137945.45966</c:v>
                </c:pt>
                <c:pt idx="17">
                  <c:v>-147490118744.71606</c:v>
                </c:pt>
                <c:pt idx="18">
                  <c:v>-148311864175.52502</c:v>
                </c:pt>
                <c:pt idx="19">
                  <c:v>-148553622962.46402</c:v>
                </c:pt>
                <c:pt idx="20">
                  <c:v>-148212813377.1337</c:v>
                </c:pt>
                <c:pt idx="21">
                  <c:v>-147289058146.50034</c:v>
                </c:pt>
                <c:pt idx="22">
                  <c:v>-145784212302.45569</c:v>
                </c:pt>
                <c:pt idx="23">
                  <c:v>-143702383476.04099</c:v>
                </c:pt>
                <c:pt idx="24">
                  <c:v>-141049944143.87982</c:v>
                </c:pt>
                <c:pt idx="25">
                  <c:v>-137835535346.02997</c:v>
                </c:pt>
                <c:pt idx="26">
                  <c:v>-134070061414.18352</c:v>
                </c:pt>
                <c:pt idx="27">
                  <c:v>-129766675277.32092</c:v>
                </c:pt>
                <c:pt idx="28">
                  <c:v>-124940753948.82419</c:v>
                </c:pt>
                <c:pt idx="29">
                  <c:v>-119609863844.82588</c:v>
                </c:pt>
                <c:pt idx="30">
                  <c:v>-113793715638.19861</c:v>
                </c:pt>
                <c:pt idx="31">
                  <c:v>-107514108415.91696</c:v>
                </c:pt>
                <c:pt idx="32">
                  <c:v>-100794862979.19571</c:v>
                </c:pt>
                <c:pt idx="33">
                  <c:v>-93661744205.309708</c:v>
                </c:pt>
                <c:pt idx="34">
                  <c:v>-86142372476.632248</c:v>
                </c:pt>
                <c:pt idx="35">
                  <c:v>-78266124275.293503</c:v>
                </c:pt>
                <c:pt idx="36">
                  <c:v>-70064022139.90448</c:v>
                </c:pt>
                <c:pt idx="37">
                  <c:v>-61568614282.777946</c:v>
                </c:pt>
                <c:pt idx="38">
                  <c:v>-52813844270.632401</c:v>
                </c:pt>
                <c:pt idx="39">
                  <c:v>-43834911277.368652</c:v>
                </c:pt>
                <c:pt idx="40">
                  <c:v>-34668121522.547287</c:v>
                </c:pt>
                <c:pt idx="41">
                  <c:v>-25350731611.980877</c:v>
                </c:pt>
                <c:pt idx="42">
                  <c:v>-15920784595.649128</c:v>
                </c:pt>
                <c:pt idx="43">
                  <c:v>-6416939651.2035236</c:v>
                </c:pt>
                <c:pt idx="44">
                  <c:v>3121703613.0325589</c:v>
                </c:pt>
                <c:pt idx="45">
                  <c:v>12655785165.103178</c:v>
                </c:pt>
                <c:pt idx="46">
                  <c:v>22145867730.019245</c:v>
                </c:pt>
                <c:pt idx="47">
                  <c:v>31552621953.40868</c:v>
                </c:pt>
                <c:pt idx="48">
                  <c:v>40837012316.729919</c:v>
                </c:pt>
                <c:pt idx="49">
                  <c:v>49960482545.66951</c:v>
                </c:pt>
                <c:pt idx="50">
                  <c:v>58885139241.210327</c:v>
                </c:pt>
                <c:pt idx="51">
                  <c:v>67573932465.863159</c:v>
                </c:pt>
                <c:pt idx="52">
                  <c:v>75990832035.931442</c:v>
                </c:pt>
                <c:pt idx="53">
                  <c:v>84100998304.181488</c:v>
                </c:pt>
                <c:pt idx="54">
                  <c:v>91870946265.543762</c:v>
                </c:pt>
                <c:pt idx="55" formatCode="General">
                  <c:v>99268701880.715561</c:v>
                </c:pt>
                <c:pt idx="56">
                  <c:v>106263949587.78192</c:v>
                </c:pt>
                <c:pt idx="57">
                  <c:v>112828170058.98318</c:v>
                </c:pt>
                <c:pt idx="58">
                  <c:v>118934767357.09688</c:v>
                </c:pt>
                <c:pt idx="59">
                  <c:v>124559184751.90112</c:v>
                </c:pt>
                <c:pt idx="60">
                  <c:v>129679008570.10904</c:v>
                </c:pt>
                <c:pt idx="61">
                  <c:v>134274059570.13168</c:v>
                </c:pt>
                <c:pt idx="62">
                  <c:v>138326471454.09796</c:v>
                </c:pt>
                <c:pt idx="63">
                  <c:v>141820756251.83145</c:v>
                </c:pt>
                <c:pt idx="64">
                  <c:v>144743856433.0408</c:v>
                </c:pt>
                <c:pt idx="65">
                  <c:v>147085183723.00034</c:v>
                </c:pt>
                <c:pt idx="66">
                  <c:v>148836644711.78073</c:v>
                </c:pt>
                <c:pt idx="67">
                  <c:v>149992653456.06079</c:v>
                </c:pt>
                <c:pt idx="68">
                  <c:v>150550131374.32202</c:v>
                </c:pt>
                <c:pt idx="69">
                  <c:v>150508494829.60446</c:v>
                </c:pt>
                <c:pt idx="70">
                  <c:v>149869630877.98987</c:v>
                </c:pt>
                <c:pt idx="71">
                  <c:v>148637861734.81952</c:v>
                </c:pt>
                <c:pt idx="72">
                  <c:v>146819898573.80087</c:v>
                </c:pt>
                <c:pt idx="73">
                  <c:v>144424785326.29065</c:v>
                </c:pt>
                <c:pt idx="74">
                  <c:v>141463833189.06046</c:v>
                </c:pt>
                <c:pt idx="75">
                  <c:v>137950546578.84613</c:v>
                </c:pt>
                <c:pt idx="76">
                  <c:v>133900541291.24585</c:v>
                </c:pt>
                <c:pt idx="77">
                  <c:v>129331455630.51164</c:v>
                </c:pt>
                <c:pt idx="78">
                  <c:v>124262855276.08086</c:v>
                </c:pt>
                <c:pt idx="79">
                  <c:v>118716132642.03809</c:v>
                </c:pt>
                <c:pt idx="80">
                  <c:v>112714401467.92093</c:v>
                </c:pt>
                <c:pt idx="81">
                  <c:v>106282387354.26392</c:v>
                </c:pt>
                <c:pt idx="82">
                  <c:v>99446314925.009796</c:v>
                </c:pt>
                <c:pt idx="83">
                  <c:v>92233792262.362045</c:v>
                </c:pt>
                <c:pt idx="84">
                  <c:v>84673693218.819901</c:v>
                </c:pt>
                <c:pt idx="85">
                  <c:v>76796038167.040329</c:v>
                </c:pt>
                <c:pt idx="86">
                  <c:v>68631873701.752953</c:v>
                </c:pt>
                <c:pt idx="87">
                  <c:v>60213151760.187225</c:v>
                </c:pt>
                <c:pt idx="88">
                  <c:v>51572608579.191849</c:v>
                </c:pt>
                <c:pt idx="89">
                  <c:v>42743643859.345345</c:v>
                </c:pt>
                <c:pt idx="90">
                  <c:v>33760200459.534534</c:v>
                </c:pt>
                <c:pt idx="91">
                  <c:v>24656644900.518959</c:v>
                </c:pt>
                <c:pt idx="92">
                  <c:v>15467648913.427578</c:v>
                </c:pt>
                <c:pt idx="93">
                  <c:v>6228072229.5675421</c:v>
                </c:pt>
                <c:pt idx="94">
                  <c:v>-3027153228.2029686</c:v>
                </c:pt>
                <c:pt idx="95">
                  <c:v>-12263137624.581814</c:v>
                </c:pt>
                <c:pt idx="96">
                  <c:v>-21445145861.572136</c:v>
                </c:pt>
                <c:pt idx="97">
                  <c:v>-30538708522.737682</c:v>
                </c:pt>
                <c:pt idx="98">
                  <c:v>-39509731054.9552</c:v>
                </c:pt>
                <c:pt idx="99">
                  <c:v>-48324601145.016907</c:v>
                </c:pt>
                <c:pt idx="100" formatCode="General">
                  <c:v>-56950294258.087761</c:v>
                </c:pt>
              </c:numCache>
            </c:numRef>
          </c:xVal>
          <c:yVal>
            <c:numRef>
              <c:f>RPlot!$F$4:$F$104</c:f>
              <c:numCache>
                <c:formatCode>0.00E+00</c:formatCode>
                <c:ptCount val="101"/>
                <c:pt idx="0">
                  <c:v>135627576026.20248</c:v>
                </c:pt>
                <c:pt idx="1">
                  <c:v>131784885566.14709</c:v>
                </c:pt>
                <c:pt idx="2">
                  <c:v>127430304733.5712</c:v>
                </c:pt>
                <c:pt idx="3">
                  <c:v>122580067363.39917</c:v>
                </c:pt>
                <c:pt idx="4">
                  <c:v>117252182777.72112</c:v>
                </c:pt>
                <c:pt idx="5">
                  <c:v>111466381728.80965</c:v>
                </c:pt>
                <c:pt idx="6">
                  <c:v>105244057996.02403</c:v>
                </c:pt>
                <c:pt idx="7">
                  <c:v>98608205593.143158</c:v>
                </c:pt>
                <c:pt idx="8">
                  <c:v>91583351529.150009</c:v>
                </c:pt>
                <c:pt idx="9">
                  <c:v>84195484055.805328</c:v>
                </c:pt>
                <c:pt idx="10">
                  <c:v>76471976329.887375</c:v>
                </c:pt>
                <c:pt idx="11">
                  <c:v>68441505417.083649</c:v>
                </c:pt>
                <c:pt idx="12">
                  <c:v>60133966568.506813</c:v>
                </c:pt>
                <c:pt idx="13">
                  <c:v>51580382709.924683</c:v>
                </c:pt>
                <c:pt idx="14">
                  <c:v>42812809098.248756</c:v>
                </c:pt>
                <c:pt idx="15">
                  <c:v>33864233119.740311</c:v>
                </c:pt>
                <c:pt idx="16">
                  <c:v>24768469229.853001</c:v>
                </c:pt>
                <c:pt idx="17">
                  <c:v>15560049065.616484</c:v>
                </c:pt>
                <c:pt idx="18">
                  <c:v>6274106797.888979</c:v>
                </c:pt>
                <c:pt idx="19">
                  <c:v>-3053740167.5056281</c:v>
                </c:pt>
                <c:pt idx="20">
                  <c:v>-12387514984.073704</c:v>
                </c:pt>
                <c:pt idx="21">
                  <c:v>-21691009447.417336</c:v>
                </c:pt>
                <c:pt idx="22">
                  <c:v>-30927916104.096874</c:v>
                </c:pt>
                <c:pt idx="23">
                  <c:v>-40061964065.261749</c:v>
                </c:pt>
                <c:pt idx="24">
                  <c:v>-49057058141.906471</c:v>
                </c:pt>
                <c:pt idx="25">
                  <c:v>-57877420854.748833</c:v>
                </c:pt>
                <c:pt idx="26">
                  <c:v>-66487736806.692337</c:v>
                </c:pt>
                <c:pt idx="27">
                  <c:v>-74853298840.635712</c:v>
                </c:pt>
                <c:pt idx="28">
                  <c:v>-82940155341.102615</c:v>
                </c:pt>
                <c:pt idx="29">
                  <c:v>-90715257975.901276</c:v>
                </c:pt>
                <c:pt idx="30">
                  <c:v>-98146609115.027344</c:v>
                </c:pt>
                <c:pt idx="31">
                  <c:v>-105203408109.46962</c:v>
                </c:pt>
                <c:pt idx="32">
                  <c:v>-111856195563.75824</c:v>
                </c:pt>
                <c:pt idx="33">
                  <c:v>-118076994694.20421</c:v>
                </c:pt>
                <c:pt idx="34">
                  <c:v>-123839448831.01485</c:v>
                </c:pt>
                <c:pt idx="35">
                  <c:v>-129118954097.95338</c:v>
                </c:pt>
                <c:pt idx="36">
                  <c:v>-133892786288.95923</c:v>
                </c:pt>
                <c:pt idx="37">
                  <c:v>-138140220958.05042</c:v>
                </c:pt>
                <c:pt idx="38">
                  <c:v>-141842645747.6308</c:v>
                </c:pt>
                <c:pt idx="39">
                  <c:v>-144983664001.5759</c:v>
                </c:pt>
                <c:pt idx="40">
                  <c:v>-147549188743.52545</c:v>
                </c:pt>
                <c:pt idx="41">
                  <c:v>-149527526147.78024</c:v>
                </c:pt>
                <c:pt idx="42">
                  <c:v>-150909447689.98495</c:v>
                </c:pt>
                <c:pt idx="43">
                  <c:v>-151688250236.99194</c:v>
                </c:pt>
                <c:pt idx="44">
                  <c:v>-151859803419.33188</c:v>
                </c:pt>
                <c:pt idx="45">
                  <c:v>-151422583724.68152</c:v>
                </c:pt>
                <c:pt idx="46">
                  <c:v>-150377694855.50604</c:v>
                </c:pt>
                <c:pt idx="47">
                  <c:v>-148728874007.31354</c:v>
                </c:pt>
                <c:pt idx="48">
                  <c:v>-146482483844.15054</c:v>
                </c:pt>
                <c:pt idx="49">
                  <c:v>-143647490073.36847</c:v>
                </c:pt>
                <c:pt idx="50">
                  <c:v>-140235424650.44055</c:v>
                </c:pt>
                <c:pt idx="51">
                  <c:v>-136260334774.76605</c:v>
                </c:pt>
                <c:pt idx="52">
                  <c:v>-131738717966.92433</c:v>
                </c:pt>
                <c:pt idx="53">
                  <c:v>-126689443644.75052</c:v>
                </c:pt>
                <c:pt idx="54">
                  <c:v>-121133661737.87871</c:v>
                </c:pt>
                <c:pt idx="55" formatCode="General">
                  <c:v>-115094698996.15649</c:v>
                </c:pt>
                <c:pt idx="56">
                  <c:v>-108597943754.79123</c:v>
                </c:pt>
                <c:pt idx="57">
                  <c:v>-101670720016.63437</c:v>
                </c:pt>
                <c:pt idx="58">
                  <c:v>-94342151798.223053</c:v>
                </c:pt>
                <c:pt idx="59">
                  <c:v>-86643018759.922241</c:v>
                </c:pt>
                <c:pt idx="60">
                  <c:v>-78605604200.801147</c:v>
                </c:pt>
                <c:pt idx="61">
                  <c:v>-70263536545.078751</c:v>
                </c:pt>
                <c:pt idx="62">
                  <c:v>-61651625478.732979</c:v>
                </c:pt>
                <c:pt idx="63">
                  <c:v>-52805693912.070473</c:v>
                </c:pt>
                <c:pt idx="64">
                  <c:v>-43762406946.879662</c:v>
                </c:pt>
                <c:pt idx="65">
                  <c:v>-34559099015.71035</c:v>
                </c:pt>
                <c:pt idx="66">
                  <c:v>-25233600336.483749</c:v>
                </c:pt>
                <c:pt idx="67">
                  <c:v>-15824063788.965832</c:v>
                </c:pt>
                <c:pt idx="68">
                  <c:v>-6368793271.7309294</c:v>
                </c:pt>
                <c:pt idx="69">
                  <c:v>3093925459.6830502</c:v>
                </c:pt>
                <c:pt idx="70">
                  <c:v>12525990539.255205</c:v>
                </c:pt>
                <c:pt idx="71">
                  <c:v>21889645461.149532</c:v>
                </c:pt>
                <c:pt idx="72">
                  <c:v>31147635493.487907</c:v>
                </c:pt>
                <c:pt idx="73">
                  <c:v>40263358337.680252</c:v>
                </c:pt>
                <c:pt idx="74">
                  <c:v>49201008421.904915</c:v>
                </c:pt>
                <c:pt idx="75">
                  <c:v>57925714304.67495</c:v>
                </c:pt>
                <c:pt idx="76">
                  <c:v>66403668751.53614</c:v>
                </c:pt>
                <c:pt idx="77">
                  <c:v>74602251133.551544</c:v>
                </c:pt>
                <c:pt idx="78">
                  <c:v>82490141879.151459</c:v>
                </c:pt>
                <c:pt idx="79">
                  <c:v>90037428790.111389</c:v>
                </c:pt>
                <c:pt idx="80">
                  <c:v>97215705106.939102</c:v>
                </c:pt>
                <c:pt idx="81">
                  <c:v>103998159278.07776</c:v>
                </c:pt>
                <c:pt idx="82">
                  <c:v>110359656450.3756</c:v>
                </c:pt>
                <c:pt idx="83">
                  <c:v>116276811754.82144</c:v>
                </c:pt>
                <c:pt idx="84">
                  <c:v>121728055511.23424</c:v>
                </c:pt>
                <c:pt idx="85">
                  <c:v>126693690518.21895</c:v>
                </c:pt>
                <c:pt idx="86">
                  <c:v>131155941630.21535</c:v>
                </c:pt>
                <c:pt idx="87">
                  <c:v>135098997851.88614</c:v>
                </c:pt>
                <c:pt idx="88">
                  <c:v>138509047201.60547</c:v>
                </c:pt>
                <c:pt idx="89">
                  <c:v>141374304610.61548</c:v>
                </c:pt>
                <c:pt idx="90">
                  <c:v>143685033132.9053</c:v>
                </c:pt>
                <c:pt idx="91">
                  <c:v>145433558743.37442</c:v>
                </c:pt>
                <c:pt idx="92">
                  <c:v>146614278998.87674</c:v>
                </c:pt>
                <c:pt idx="93">
                  <c:v>147223665828.77466</c:v>
                </c:pt>
                <c:pt idx="94">
                  <c:v>147260262709.22415</c:v>
                </c:pt>
                <c:pt idx="95">
                  <c:v>146724676459.12839</c:v>
                </c:pt>
                <c:pt idx="96">
                  <c:v>145619563876.12595</c:v>
                </c:pt>
                <c:pt idx="97">
                  <c:v>143949613408.72516</c:v>
                </c:pt>
                <c:pt idx="98">
                  <c:v>141721522036.36423</c:v>
                </c:pt>
                <c:pt idx="99">
                  <c:v>138943967503.38098</c:v>
                </c:pt>
                <c:pt idx="100" formatCode="General">
                  <c:v>135627576026.20419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70-47EB-85D5-3043B621E4D8}"/>
            </c:ext>
          </c:extLst>
        </c:ser>
        <c:ser>
          <c:idx val="1"/>
          <c:order val="1"/>
          <c:tx>
            <c:strRef>
              <c:f>RPlot!$I$2</c:f>
              <c:strCache>
                <c:ptCount val="1"/>
                <c:pt idx="0">
                  <c:v>Destination Orbit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RPlot!$I$4:$I$104</c:f>
              <c:numCache>
                <c:formatCode>0.00E+00</c:formatCode>
                <c:ptCount val="101"/>
                <c:pt idx="0">
                  <c:v>341462198007.20911</c:v>
                </c:pt>
                <c:pt idx="1">
                  <c:v>350765955484.91187</c:v>
                </c:pt>
                <c:pt idx="2">
                  <c:v>358715815093.14362</c:v>
                </c:pt>
                <c:pt idx="3">
                  <c:v>365310985631.93762</c:v>
                </c:pt>
                <c:pt idx="4">
                  <c:v>370553225763.61853</c:v>
                </c:pt>
                <c:pt idx="5">
                  <c:v>374446578623.8692</c:v>
                </c:pt>
                <c:pt idx="6">
                  <c:v>376997137196.82526</c:v>
                </c:pt>
                <c:pt idx="7">
                  <c:v>378212840534.54974</c:v>
                </c:pt>
                <c:pt idx="8">
                  <c:v>378103300642.76019</c:v>
                </c:pt>
                <c:pt idx="9">
                  <c:v>376679659661.60077</c:v>
                </c:pt>
                <c:pt idx="10">
                  <c:v>373954476832.13477</c:v>
                </c:pt>
                <c:pt idx="11">
                  <c:v>369941644645.96112</c:v>
                </c:pt>
                <c:pt idx="12">
                  <c:v>364656333517.25586</c:v>
                </c:pt>
                <c:pt idx="13">
                  <c:v>358114964284.44</c:v>
                </c:pt>
                <c:pt idx="14">
                  <c:v>350335207833.93091</c:v>
                </c:pt>
                <c:pt idx="15">
                  <c:v>341336011132.84851</c:v>
                </c:pt>
                <c:pt idx="16">
                  <c:v>331137648953.28638</c:v>
                </c:pt>
                <c:pt idx="17">
                  <c:v>319761800560.5047</c:v>
                </c:pt>
                <c:pt idx="18">
                  <c:v>307231650613.79895</c:v>
                </c:pt>
                <c:pt idx="19">
                  <c:v>293572013485.03125</c:v>
                </c:pt>
                <c:pt idx="20">
                  <c:v>278809480128.97968</c:v>
                </c:pt>
                <c:pt idx="21">
                  <c:v>262972586535.07721</c:v>
                </c:pt>
                <c:pt idx="22">
                  <c:v>246092002645.24197</c:v>
                </c:pt>
                <c:pt idx="23">
                  <c:v>228200740430.95374</c:v>
                </c:pt>
                <c:pt idx="24">
                  <c:v>209334379578.40918</c:v>
                </c:pt>
                <c:pt idx="25">
                  <c:v>189531308927.85941</c:v>
                </c:pt>
                <c:pt idx="26">
                  <c:v>168832981447.07553</c:v>
                </c:pt>
                <c:pt idx="27">
                  <c:v>147284180085.39566</c:v>
                </c:pt>
                <c:pt idx="28">
                  <c:v>124933291351.08878</c:v>
                </c:pt>
                <c:pt idx="29">
                  <c:v>101832582880.56674</c:v>
                </c:pt>
                <c:pt idx="30">
                  <c:v>78038480624.252731</c:v>
                </c:pt>
                <c:pt idx="31">
                  <c:v>53611840566.102486</c:v>
                </c:pt>
                <c:pt idx="32">
                  <c:v>28618209130.084129</c:v>
                </c:pt>
                <c:pt idx="33">
                  <c:v>3128065620.7815065</c:v>
                </c:pt>
                <c:pt idx="34">
                  <c:v>-22782960784.579918</c:v>
                </c:pt>
                <c:pt idx="35">
                  <c:v>-49033907804.074516</c:v>
                </c:pt>
                <c:pt idx="36">
                  <c:v>-75538339685.978851</c:v>
                </c:pt>
                <c:pt idx="37">
                  <c:v>-102204259541.00375</c:v>
                </c:pt>
                <c:pt idx="38">
                  <c:v>-128934084806.64072</c:v>
                </c:pt>
                <c:pt idx="39">
                  <c:v>-155624696710.07379</c:v>
                </c:pt>
                <c:pt idx="40">
                  <c:v>-182167574794.6127</c:v>
                </c:pt>
                <c:pt idx="41">
                  <c:v>-208449027475.51105</c:v>
                </c:pt>
                <c:pt idx="42">
                  <c:v>-234350529126.41833</c:v>
                </c:pt>
                <c:pt idx="43">
                  <c:v>-259749173302.29279</c:v>
                </c:pt>
                <c:pt idx="44">
                  <c:v>-284518250317.13623</c:v>
                </c:pt>
                <c:pt idx="45">
                  <c:v>-308527955465.76819</c:v>
                </c:pt>
                <c:pt idx="46">
                  <c:v>-331646231674.72192</c:v>
                </c:pt>
                <c:pt idx="47">
                  <c:v>-353739747278.31421</c:v>
                </c:pt>
                <c:pt idx="48">
                  <c:v>-374675005961.69257</c:v>
                </c:pt>
                <c:pt idx="49">
                  <c:v>-394319581748.66748</c:v>
                </c:pt>
                <c:pt idx="50">
                  <c:v>-412543467334.31415</c:v>
                </c:pt>
                <c:pt idx="51">
                  <c:v>-429220519209.05432</c:v>
                </c:pt>
                <c:pt idx="52">
                  <c:v>-444229978074.0014</c:v>
                </c:pt>
                <c:pt idx="53">
                  <c:v>-457458038226.48853</c:v>
                </c:pt>
                <c:pt idx="54">
                  <c:v>-468799435151.13318</c:v>
                </c:pt>
                <c:pt idx="55" formatCode="General">
                  <c:v>-478159016754.73004</c:v>
                </c:pt>
                <c:pt idx="56">
                  <c:v>-485453260804.98175</c:v>
                </c:pt>
                <c:pt idx="57">
                  <c:v>-490611699428.36865</c:v>
                </c:pt>
                <c:pt idx="58">
                  <c:v>-493578211208.68073</c:v>
                </c:pt>
                <c:pt idx="59">
                  <c:v>-494312142662.89258</c:v>
                </c:pt>
                <c:pt idx="60">
                  <c:v>-492789223735.37445</c:v>
                </c:pt>
                <c:pt idx="61">
                  <c:v>-489002246432.51733</c:v>
                </c:pt>
                <c:pt idx="62">
                  <c:v>-482961481704.85352</c:v>
                </c:pt>
                <c:pt idx="63">
                  <c:v>-474694816959.05011</c:v>
                </c:pt>
                <c:pt idx="64">
                  <c:v>-464247604842.19958</c:v>
                </c:pt>
                <c:pt idx="65">
                  <c:v>-451682222805.39838</c:v>
                </c:pt>
                <c:pt idx="66">
                  <c:v>-437077351992.56317</c:v>
                </c:pt>
                <c:pt idx="67">
                  <c:v>-420526992763.83972</c:v>
                </c:pt>
                <c:pt idx="68">
                  <c:v>-402139242213.53674</c:v>
                </c:pt>
                <c:pt idx="69">
                  <c:v>-382034865987.55084</c:v>
                </c:pt>
                <c:pt idx="70">
                  <c:v>-360345702224.3028</c:v>
                </c:pt>
                <c:pt idx="71">
                  <c:v>-337212939309.58154</c:v>
                </c:pt>
                <c:pt idx="72">
                  <c:v>-312785311229.02106</c:v>
                </c:pt>
                <c:pt idx="73">
                  <c:v>-287217254611.59827</c:v>
                </c:pt>
                <c:pt idx="74">
                  <c:v>-260667070176.80844</c:v>
                </c:pt>
                <c:pt idx="75">
                  <c:v>-233295128410.31818</c:v>
                </c:pt>
                <c:pt idx="76">
                  <c:v>-205262155151.2236</c:v>
                </c:pt>
                <c:pt idx="77">
                  <c:v>-176727627678.55219</c:v>
                </c:pt>
                <c:pt idx="78">
                  <c:v>-147848306156.87189</c:v>
                </c:pt>
                <c:pt idx="79">
                  <c:v>-118776919261.40569</c:v>
                </c:pt>
                <c:pt idx="80">
                  <c:v>-89661016749.827148</c:v>
                </c:pt>
                <c:pt idx="81">
                  <c:v>-60641995942.120262</c:v>
                </c:pt>
                <c:pt idx="82">
                  <c:v>-31854303723.61026</c:v>
                </c:pt>
                <c:pt idx="83">
                  <c:v>-3424810958.2889867</c:v>
                </c:pt>
                <c:pt idx="84">
                  <c:v>24527647806.822388</c:v>
                </c:pt>
                <c:pt idx="85">
                  <c:v>51892579697.611832</c:v>
                </c:pt>
                <c:pt idx="86">
                  <c:v>78567996732.374557</c:v>
                </c:pt>
                <c:pt idx="87">
                  <c:v>104460451410.59711</c:v>
                </c:pt>
                <c:pt idx="88">
                  <c:v>129484960190.25874</c:v>
                </c:pt>
                <c:pt idx="89">
                  <c:v>153564830777.31168</c:v>
                </c:pt>
                <c:pt idx="90">
                  <c:v>176631409038.7562</c:v>
                </c:pt>
                <c:pt idx="91">
                  <c:v>198623760817.99164</c:v>
                </c:pt>
                <c:pt idx="92">
                  <c:v>219488303074.15219</c:v>
                </c:pt>
                <c:pt idx="93">
                  <c:v>239178397674.92648</c:v>
                </c:pt>
                <c:pt idx="94">
                  <c:v>257653919926.73975</c:v>
                </c:pt>
                <c:pt idx="95">
                  <c:v>274880812597.10602</c:v>
                </c:pt>
                <c:pt idx="96">
                  <c:v>290830634830.54956</c:v>
                </c:pt>
                <c:pt idx="97">
                  <c:v>305480114028.96326</c:v>
                </c:pt>
                <c:pt idx="98">
                  <c:v>318810707496.10699</c:v>
                </c:pt>
                <c:pt idx="99">
                  <c:v>330808179460.32202</c:v>
                </c:pt>
                <c:pt idx="100" formatCode="General">
                  <c:v>341462198007.20416</c:v>
                </c:pt>
              </c:numCache>
            </c:numRef>
          </c:xVal>
          <c:yVal>
            <c:numRef>
              <c:f>RPlot!$J$4:$J$104</c:f>
              <c:numCache>
                <c:formatCode>0.00E+00</c:formatCode>
                <c:ptCount val="101"/>
                <c:pt idx="0">
                  <c:v>-191415919584.71191</c:v>
                </c:pt>
                <c:pt idx="1">
                  <c:v>-168655661931.65833</c:v>
                </c:pt>
                <c:pt idx="2">
                  <c:v>-145545407696.33646</c:v>
                </c:pt>
                <c:pt idx="3">
                  <c:v>-122155770325.60785</c:v>
                </c:pt>
                <c:pt idx="4">
                  <c:v>-98555448030.557205</c:v>
                </c:pt>
                <c:pt idx="5">
                  <c:v>-74811303888.476746</c:v>
                </c:pt>
                <c:pt idx="6">
                  <c:v>-50988466476.167595</c:v>
                </c:pt>
                <c:pt idx="7">
                  <c:v>-27150447108.852852</c:v>
                </c:pt>
                <c:pt idx="8">
                  <c:v>-3359270077.6718121</c:v>
                </c:pt>
                <c:pt idx="9">
                  <c:v>20324387424.291069</c:v>
                </c:pt>
                <c:pt idx="10">
                  <c:v>43841048728.780968</c:v>
                </c:pt>
                <c:pt idx="11">
                  <c:v>67132287277.278061</c:v>
                </c:pt>
                <c:pt idx="12">
                  <c:v>90140574969.219223</c:v>
                </c:pt>
                <c:pt idx="13">
                  <c:v>112809131716.15939</c:v>
                </c:pt>
                <c:pt idx="14">
                  <c:v>135081778520.35332</c:v>
                </c:pt>
                <c:pt idx="15">
                  <c:v>156902796310.31207</c:v>
                </c:pt>
                <c:pt idx="16">
                  <c:v>178216792717.49261</c:v>
                </c:pt>
                <c:pt idx="17">
                  <c:v>198968578965.47714</c:v>
                </c:pt>
                <c:pt idx="18">
                  <c:v>219103059064.13629</c:v>
                </c:pt>
                <c:pt idx="19">
                  <c:v>238565133552.94601</c:v>
                </c:pt>
                <c:pt idx="20">
                  <c:v>257299620116.59915</c:v>
                </c:pt>
                <c:pt idx="21">
                  <c:v>275251193497.81903</c:v>
                </c:pt>
                <c:pt idx="22">
                  <c:v>292364347251.56665</c:v>
                </c:pt>
                <c:pt idx="23">
                  <c:v>308583380015.2843</c:v>
                </c:pt>
                <c:pt idx="24">
                  <c:v>323852409103.88269</c:v>
                </c:pt>
                <c:pt idx="25">
                  <c:v>338115414366.85852</c:v>
                </c:pt>
                <c:pt idx="26">
                  <c:v>351316315357.72711</c:v>
                </c:pt>
                <c:pt idx="27">
                  <c:v>363399084950.53693</c:v>
                </c:pt>
                <c:pt idx="28">
                  <c:v>374307902580.65662</c:v>
                </c:pt>
                <c:pt idx="29">
                  <c:v>383987350270.92871</c:v>
                </c:pt>
                <c:pt idx="30">
                  <c:v>392382654512.2038</c:v>
                </c:pt>
                <c:pt idx="31">
                  <c:v>399439976879.08618</c:v>
                </c:pt>
                <c:pt idx="32">
                  <c:v>405106755956.58417</c:v>
                </c:pt>
                <c:pt idx="33">
                  <c:v>409332102709.0249</c:v>
                </c:pt>
                <c:pt idx="34">
                  <c:v>412067250816.76514</c:v>
                </c:pt>
                <c:pt idx="35">
                  <c:v>413266062717.31354</c:v>
                </c:pt>
                <c:pt idx="36">
                  <c:v>412885591096.00201</c:v>
                </c:pt>
                <c:pt idx="37">
                  <c:v>410886694361.55164</c:v>
                </c:pt>
                <c:pt idx="38">
                  <c:v>407234703203.74054</c:v>
                </c:pt>
                <c:pt idx="39">
                  <c:v>401900133661.83777</c:v>
                </c:pt>
                <c:pt idx="40">
                  <c:v>394859440241.97601</c:v>
                </c:pt>
                <c:pt idx="41">
                  <c:v>386095800530.61694</c:v>
                </c:pt>
                <c:pt idx="42">
                  <c:v>375599920496.96124</c:v>
                </c:pt>
                <c:pt idx="43">
                  <c:v>363370847314.38037</c:v>
                </c:pt>
                <c:pt idx="44">
                  <c:v>349416774134.21527</c:v>
                </c:pt>
                <c:pt idx="45">
                  <c:v>333755818909.13599</c:v>
                </c:pt>
                <c:pt idx="46">
                  <c:v>316416757201.84259</c:v>
                </c:pt>
                <c:pt idx="47">
                  <c:v>297439687059.62817</c:v>
                </c:pt>
                <c:pt idx="48">
                  <c:v>276876602630.71771</c:v>
                </c:pt>
                <c:pt idx="49">
                  <c:v>254791852395.50217</c:v>
                </c:pt>
                <c:pt idx="50">
                  <c:v>231262457833.76065</c:v>
                </c:pt>
                <c:pt idx="51">
                  <c:v>206378269184.58887</c:v>
                </c:pt>
                <c:pt idx="52">
                  <c:v>180241936790.349</c:v>
                </c:pt>
                <c:pt idx="53">
                  <c:v>152968679424.00711</c:v>
                </c:pt>
                <c:pt idx="54">
                  <c:v>124685835004.08525</c:v>
                </c:pt>
                <c:pt idx="55">
                  <c:v>95532184166.082321</c:v>
                </c:pt>
                <c:pt idx="56">
                  <c:v>65657043176.377068</c:v>
                </c:pt>
                <c:pt idx="57">
                  <c:v>35219129465.541168</c:v>
                </c:pt>
                <c:pt idx="58">
                  <c:v>4385210372.6345282</c:v>
                </c:pt>
                <c:pt idx="59">
                  <c:v>-26671446780.630169</c:v>
                </c:pt>
                <c:pt idx="60">
                  <c:v>-57772797784.948311</c:v>
                </c:pt>
                <c:pt idx="61">
                  <c:v>-88737885452.602295</c:v>
                </c:pt>
                <c:pt idx="62">
                  <c:v>-119384806041.76816</c:v>
                </c:pt>
                <c:pt idx="63">
                  <c:v>-149532735216.21658</c:v>
                </c:pt>
                <c:pt idx="64">
                  <c:v>-179003967439.15433</c:v>
                </c:pt>
                <c:pt idx="65">
                  <c:v>-207625921351.25507</c:v>
                </c:pt>
                <c:pt idx="66">
                  <c:v>-235233064219.02356</c:v>
                </c:pt>
                <c:pt idx="67">
                  <c:v>-261668710959.76962</c:v>
                </c:pt>
                <c:pt idx="68">
                  <c:v>-286786657438.0788</c:v>
                </c:pt>
                <c:pt idx="69">
                  <c:v>-310452613463.59412</c:v>
                </c:pt>
                <c:pt idx="70">
                  <c:v>-332545407889.52448</c:v>
                </c:pt>
                <c:pt idx="71">
                  <c:v>-352957946038.55023</c:v>
                </c:pt>
                <c:pt idx="72">
                  <c:v>-371597907954.66919</c:v>
                </c:pt>
                <c:pt idx="73">
                  <c:v>-388388184277.4743</c:v>
                </c:pt>
                <c:pt idx="74">
                  <c:v>-403267054464.82269</c:v>
                </c:pt>
                <c:pt idx="75">
                  <c:v>-416188119305.63257</c:v>
                </c:pt>
                <c:pt idx="76">
                  <c:v>-427120005890.04962</c:v>
                </c:pt>
                <c:pt idx="77">
                  <c:v>-436045868243.45038</c:v>
                </c:pt>
                <c:pt idx="78">
                  <c:v>-442962710572.94305</c:v>
                </c:pt>
                <c:pt idx="79">
                  <c:v>-447880562491.66101</c:v>
                </c:pt>
                <c:pt idx="80">
                  <c:v>-450821536723.03168</c:v>
                </c:pt>
                <c:pt idx="81">
                  <c:v>-451818799750.96606</c:v>
                </c:pt>
                <c:pt idx="82">
                  <c:v>-450915484825.26459</c:v>
                </c:pt>
                <c:pt idx="83">
                  <c:v>-448163574836.60406</c:v>
                </c:pt>
                <c:pt idx="84">
                  <c:v>-443622780038.48535</c:v>
                </c:pt>
                <c:pt idx="85">
                  <c:v>-437359432610.80872</c:v>
                </c:pt>
                <c:pt idx="86">
                  <c:v>-429445416816.60004</c:v>
                </c:pt>
                <c:pt idx="87">
                  <c:v>-419957150165.54352</c:v>
                </c:pt>
                <c:pt idx="88">
                  <c:v>-408974627706.14746</c:v>
                </c:pt>
                <c:pt idx="89">
                  <c:v>-396580538435.62756</c:v>
                </c:pt>
                <c:pt idx="90">
                  <c:v>-382859459927.66583</c:v>
                </c:pt>
                <c:pt idx="91">
                  <c:v>-367897134691.29626</c:v>
                </c:pt>
                <c:pt idx="92">
                  <c:v>-351779829522.79523</c:v>
                </c:pt>
                <c:pt idx="93">
                  <c:v>-334593777210.18842</c:v>
                </c:pt>
                <c:pt idx="94">
                  <c:v>-316424698392.7774</c:v>
                </c:pt>
                <c:pt idx="95">
                  <c:v>-297357400149.56128</c:v>
                </c:pt>
                <c:pt idx="96">
                  <c:v>-277475446964.51508</c:v>
                </c:pt>
                <c:pt idx="97">
                  <c:v>-256860899061.5647</c:v>
                </c:pt>
                <c:pt idx="98">
                  <c:v>-235594112682.40979</c:v>
                </c:pt>
                <c:pt idx="99">
                  <c:v>-213753596660.09589</c:v>
                </c:pt>
                <c:pt idx="100" formatCode="General">
                  <c:v>-191415919584.72308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70-47EB-85D5-3043B621E4D8}"/>
            </c:ext>
          </c:extLst>
        </c:ser>
        <c:ser>
          <c:idx val="2"/>
          <c:order val="2"/>
          <c:tx>
            <c:strRef>
              <c:f>RPlot!$AG$2</c:f>
              <c:strCache>
                <c:ptCount val="1"/>
                <c:pt idx="0">
                  <c:v>Origin Vector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133533011460.68109</c:v>
                </c:pt>
              </c:numCache>
            </c:numRef>
          </c:xVal>
          <c:yVal>
            <c:numRef>
              <c:f>RPlot!$AH$4:$AH$5</c:f>
              <c:numCache>
                <c:formatCode>0.00E+00</c:formatCode>
                <c:ptCount val="2"/>
                <c:pt idx="0">
                  <c:v>0</c:v>
                </c:pt>
                <c:pt idx="1">
                  <c:v>-71697325669.578049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70-47EB-85D5-3043B621E4D8}"/>
            </c:ext>
          </c:extLst>
        </c:ser>
        <c:ser>
          <c:idx val="3"/>
          <c:order val="3"/>
          <c:tx>
            <c:strRef>
              <c:f>RPlot!$AG$7</c:f>
              <c:strCache>
                <c:ptCount val="1"/>
                <c:pt idx="0">
                  <c:v>Destination Vector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-401377095698.70483</c:v>
                </c:pt>
              </c:numCache>
            </c:numRef>
          </c:xVal>
          <c:yVal>
            <c:numRef>
              <c:f>RPlot!$AH$9:$AH$10</c:f>
              <c:numCache>
                <c:formatCode>0.00E+00</c:formatCode>
                <c:ptCount val="2"/>
                <c:pt idx="0">
                  <c:v>0</c:v>
                </c:pt>
                <c:pt idx="1">
                  <c:v>246069396070.47153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70-47EB-85D5-3043B621E4D8}"/>
            </c:ext>
          </c:extLst>
        </c:ser>
        <c:ser>
          <c:idx val="4"/>
          <c:order val="4"/>
          <c:tx>
            <c:strRef>
              <c:f>RPlot!$AG$12</c:f>
              <c:strCache>
                <c:ptCount val="1"/>
                <c:pt idx="0">
                  <c:v>Ascending Node Vector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RPlot!$AG$14:$AG$16</c:f>
              <c:numCache>
                <c:formatCode>0.00E+00</c:formatCode>
                <c:ptCount val="3"/>
                <c:pt idx="0">
                  <c:v>0</c:v>
                </c:pt>
                <c:pt idx="1">
                  <c:v>131754207359.66066</c:v>
                </c:pt>
                <c:pt idx="2">
                  <c:v>340416578179.14612</c:v>
                </c:pt>
              </c:numCache>
            </c:numRef>
          </c:xVal>
          <c:yVal>
            <c:numRef>
              <c:f>RPlot!$AH$14:$AH$16</c:f>
              <c:numCache>
                <c:formatCode>0.00E+00</c:formatCode>
                <c:ptCount val="3"/>
                <c:pt idx="0">
                  <c:v>0</c:v>
                </c:pt>
                <c:pt idx="1">
                  <c:v>-74992875178.376678</c:v>
                </c:pt>
                <c:pt idx="2">
                  <c:v>-193760931568.13834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70-47EB-85D5-3043B621E4D8}"/>
            </c:ext>
          </c:extLst>
        </c:ser>
        <c:ser>
          <c:idx val="5"/>
          <c:order val="5"/>
          <c:tx>
            <c:strRef>
              <c:f>RPlot!$AG$17</c:f>
              <c:strCache>
                <c:ptCount val="1"/>
                <c:pt idx="0">
                  <c:v>Descending Node Vector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RPlot!$AG$19:$AG$21</c:f>
              <c:numCache>
                <c:formatCode>0.00E+00</c:formatCode>
                <c:ptCount val="3"/>
                <c:pt idx="0">
                  <c:v>0</c:v>
                </c:pt>
                <c:pt idx="1">
                  <c:v>-128246079029.4131</c:v>
                </c:pt>
                <c:pt idx="2">
                  <c:v>-410717391154.69312</c:v>
                </c:pt>
              </c:numCache>
            </c:numRef>
          </c:xVal>
          <c:yVal>
            <c:numRef>
              <c:f>RPlot!$AH$19:$AH$21</c:f>
              <c:numCache>
                <c:formatCode>0.00E+00</c:formatCode>
                <c:ptCount val="3"/>
                <c:pt idx="0">
                  <c:v>0</c:v>
                </c:pt>
                <c:pt idx="1">
                  <c:v>72996091658.122559</c:v>
                </c:pt>
                <c:pt idx="2">
                  <c:v>233775290107.90295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A70-47EB-85D5-3043B621E4D8}"/>
            </c:ext>
          </c:extLst>
        </c:ser>
        <c:ser>
          <c:idx val="6"/>
          <c:order val="6"/>
          <c:tx>
            <c:strRef>
              <c:f>RPlot!$M$2</c:f>
              <c:strCache>
                <c:ptCount val="1"/>
                <c:pt idx="0">
                  <c:v>Direct Transfer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RPlot!$M$4:$M$104</c:f>
              <c:numCache>
                <c:formatCode>0.00E+00</c:formatCode>
                <c:ptCount val="101"/>
              </c:numCache>
            </c:numRef>
          </c:xVal>
          <c:yVal>
            <c:numRef>
              <c:f>RPlot!$N$4:$N$104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A70-47EB-85D5-3043B621E4D8}"/>
            </c:ext>
          </c:extLst>
        </c:ser>
        <c:ser>
          <c:idx val="7"/>
          <c:order val="7"/>
          <c:tx>
            <c:strRef>
              <c:f>RPlot!$U$2</c:f>
              <c:strCache>
                <c:ptCount val="1"/>
                <c:pt idx="0">
                  <c:v>90° Transfer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RPlot!$U$4:$U$104</c:f>
              <c:numCache>
                <c:formatCode>0.00E+00</c:formatCode>
                <c:ptCount val="101"/>
                <c:pt idx="0">
                  <c:v>119321262911.86143</c:v>
                </c:pt>
                <c:pt idx="1">
                  <c:v>117190053473.39749</c:v>
                </c:pt>
                <c:pt idx="2">
                  <c:v>114994809248.05049</c:v>
                </c:pt>
                <c:pt idx="3">
                  <c:v>112734512088.7858</c:v>
                </c:pt>
                <c:pt idx="4">
                  <c:v>110408136708.62233</c:v>
                </c:pt>
                <c:pt idx="5">
                  <c:v>108014651624.42924</c:v>
                </c:pt>
                <c:pt idx="6">
                  <c:v>105553020181.58502</c:v>
                </c:pt>
                <c:pt idx="7">
                  <c:v>103022201663.80846</c:v>
                </c:pt>
                <c:pt idx="8">
                  <c:v>100421152492.65891</c:v>
                </c:pt>
                <c:pt idx="9">
                  <c:v>97748827521.291382</c:v>
                </c:pt>
                <c:pt idx="10">
                  <c:v>95004181427.183823</c:v>
                </c:pt>
                <c:pt idx="11">
                  <c:v>92186170208.630066</c:v>
                </c:pt>
                <c:pt idx="12">
                  <c:v>89293752789.921066</c:v>
                </c:pt>
                <c:pt idx="13">
                  <c:v>86325892740.166214</c:v>
                </c:pt>
                <c:pt idx="14">
                  <c:v>83281560110.795258</c:v>
                </c:pt>
                <c:pt idx="15">
                  <c:v>80159733396.814194</c:v>
                </c:pt>
                <c:pt idx="16">
                  <c:v>76959401626.893661</c:v>
                </c:pt>
                <c:pt idx="17">
                  <c:v>73679566587.394745</c:v>
                </c:pt>
                <c:pt idx="18">
                  <c:v>70319245185.35022</c:v>
                </c:pt>
                <c:pt idx="19">
                  <c:v>66877471955.396873</c:v>
                </c:pt>
                <c:pt idx="20">
                  <c:v>63353301715.542442</c:v>
                </c:pt>
                <c:pt idx="21">
                  <c:v>59745812376.500282</c:v>
                </c:pt>
                <c:pt idx="22">
                  <c:v>56054107909.143814</c:v>
                </c:pt>
                <c:pt idx="23">
                  <c:v>52277321474.411942</c:v>
                </c:pt>
                <c:pt idx="24">
                  <c:v>48414618719.731392</c:v>
                </c:pt>
                <c:pt idx="25">
                  <c:v>44465201245.629593</c:v>
                </c:pt>
                <c:pt idx="26">
                  <c:v>40428310245.881752</c:v>
                </c:pt>
                <c:pt idx="27">
                  <c:v>36303230324.016571</c:v>
                </c:pt>
                <c:pt idx="28">
                  <c:v>32089293488.521645</c:v>
                </c:pt>
                <c:pt idx="29">
                  <c:v>27785883328.429256</c:v>
                </c:pt>
                <c:pt idx="30">
                  <c:v>23392439370.295841</c:v>
                </c:pt>
                <c:pt idx="31">
                  <c:v>18908461616.837627</c:v>
                </c:pt>
                <c:pt idx="32">
                  <c:v>14333515266.556002</c:v>
                </c:pt>
                <c:pt idx="33">
                  <c:v>9667235612.771698</c:v>
                </c:pt>
                <c:pt idx="34">
                  <c:v>4909333119.4101219</c:v>
                </c:pt>
                <c:pt idx="35">
                  <c:v>59598669.701467797</c:v>
                </c:pt>
                <c:pt idx="36">
                  <c:v>-4882091017.3191366</c:v>
                </c:pt>
                <c:pt idx="37">
                  <c:v>-9915767808.990963</c:v>
                </c:pt>
                <c:pt idx="38">
                  <c:v>-15041366427.894852</c:v>
                </c:pt>
                <c:pt idx="39">
                  <c:v>-20258718577.021278</c:v>
                </c:pt>
                <c:pt idx="40">
                  <c:v>-25567546932.594162</c:v>
                </c:pt>
                <c:pt idx="41">
                  <c:v>-30967459017.72649</c:v>
                </c:pt>
                <c:pt idx="42">
                  <c:v>-36457940972.096794</c:v>
                </c:pt>
                <c:pt idx="43">
                  <c:v>-42038351234.829674</c:v>
                </c:pt>
                <c:pt idx="44">
                  <c:v>-47707914160.021935</c:v>
                </c:pt>
                <c:pt idx="45">
                  <c:v>-53465713586.595627</c:v>
                </c:pt>
                <c:pt idx="46">
                  <c:v>-59310686386.434845</c:v>
                </c:pt>
                <c:pt idx="47">
                  <c:v>-65241616017.393036</c:v>
                </c:pt>
                <c:pt idx="48">
                  <c:v>-71257126110.030411</c:v>
                </c:pt>
                <c:pt idx="49">
                  <c:v>-77355674119.687576</c:v>
                </c:pt>
                <c:pt idx="50">
                  <c:v>-83535545077.91951</c:v>
                </c:pt>
                <c:pt idx="51">
                  <c:v>-89794845479.984879</c:v>
                </c:pt>
                <c:pt idx="52">
                  <c:v>-96131497347.631241</c:v>
                </c:pt>
                <c:pt idx="53">
                  <c:v>-102543232508.86182</c:v>
                </c:pt>
                <c:pt idx="54">
                  <c:v>-109027587138.91803</c:v>
                </c:pt>
                <c:pt idx="55">
                  <c:v>-115581896608.89734</c:v>
                </c:pt>
                <c:pt idx="56">
                  <c:v>-122203290690.72212</c:v>
                </c:pt>
                <c:pt idx="57">
                  <c:v>-128888689169.03767</c:v>
                </c:pt>
                <c:pt idx="58">
                  <c:v>-135634797912.47374</c:v>
                </c:pt>
                <c:pt idx="59">
                  <c:v>-142438105458.08658</c:v>
                </c:pt>
                <c:pt idx="60">
                  <c:v>-149294880164.00812</c:v>
                </c:pt>
                <c:pt idx="61">
                  <c:v>-156201167986.09824</c:v>
                </c:pt>
                <c:pt idx="62">
                  <c:v>-163152790934.74054</c:v>
                </c:pt>
                <c:pt idx="63">
                  <c:v>-170145346267.85803</c:v>
                </c:pt>
                <c:pt idx="64">
                  <c:v>-177174206475.59933</c:v>
                </c:pt>
                <c:pt idx="65">
                  <c:v>-184234520110.97812</c:v>
                </c:pt>
                <c:pt idx="66">
                  <c:v>-191321213519.02509</c:v>
                </c:pt>
                <c:pt idx="67">
                  <c:v>-198428993514.53259</c:v>
                </c:pt>
                <c:pt idx="68">
                  <c:v>-205552351055.52295</c:v>
                </c:pt>
                <c:pt idx="69">
                  <c:v>-212685565955.68674</c:v>
                </c:pt>
                <c:pt idx="70">
                  <c:v>-219822712674.64737</c:v>
                </c:pt>
                <c:pt idx="71">
                  <c:v>-226957667219.62143</c:v>
                </c:pt>
                <c:pt idx="72">
                  <c:v>-234084115186.17035</c:v>
                </c:pt>
                <c:pt idx="73">
                  <c:v>-241195560958.97803</c:v>
                </c:pt>
                <c:pt idx="74">
                  <c:v>-248285338086.31128</c:v>
                </c:pt>
                <c:pt idx="75">
                  <c:v>-255346620833.67505</c:v>
                </c:pt>
                <c:pt idx="76">
                  <c:v>-262372436913.54572</c:v>
                </c:pt>
                <c:pt idx="77">
                  <c:v>-269355681378.79932</c:v>
                </c:pt>
                <c:pt idx="78">
                  <c:v>-276289131657.69226</c:v>
                </c:pt>
                <c:pt idx="79">
                  <c:v>-283165463698.08179</c:v>
                </c:pt>
                <c:pt idx="80">
                  <c:v>-289977269178.10413</c:v>
                </c:pt>
                <c:pt idx="81">
                  <c:v>-296717073729.81226</c:v>
                </c:pt>
                <c:pt idx="82">
                  <c:v>-303377356111.54504</c:v>
                </c:pt>
                <c:pt idx="83">
                  <c:v>-309950568254.02966</c:v>
                </c:pt>
                <c:pt idx="84">
                  <c:v>-316429156094.7373</c:v>
                </c:pt>
                <c:pt idx="85">
                  <c:v>-322805581104.81696</c:v>
                </c:pt>
                <c:pt idx="86">
                  <c:v>-329072342403.18463</c:v>
                </c:pt>
                <c:pt idx="87">
                  <c:v>-335221999343.39203</c:v>
                </c:pt>
                <c:pt idx="88">
                  <c:v>-341247194450.54126</c:v>
                </c:pt>
                <c:pt idx="89">
                  <c:v>-347140676578.27728</c:v>
                </c:pt>
                <c:pt idx="90">
                  <c:v>-352895324149.61536</c:v>
                </c:pt>
                <c:pt idx="91">
                  <c:v>-358504168340.35657</c:v>
                </c:pt>
                <c:pt idx="92">
                  <c:v>-363960416060.15979</c:v>
                </c:pt>
                <c:pt idx="93">
                  <c:v>-369257472584.04291</c:v>
                </c:pt>
                <c:pt idx="94">
                  <c:v>-374388963686.36127</c:v>
                </c:pt>
                <c:pt idx="95">
                  <c:v>-379348757130.04138</c:v>
                </c:pt>
                <c:pt idx="96">
                  <c:v>-384130983366.31586</c:v>
                </c:pt>
                <c:pt idx="97">
                  <c:v>-388730055304.09613</c:v>
                </c:pt>
                <c:pt idx="98">
                  <c:v>-393140687013.7926</c:v>
                </c:pt>
                <c:pt idx="99">
                  <c:v>-397357911237.40308</c:v>
                </c:pt>
                <c:pt idx="100" formatCode="General">
                  <c:v>-401377095585.35663</c:v>
                </c:pt>
              </c:numCache>
            </c:numRef>
          </c:xVal>
          <c:yVal>
            <c:numRef>
              <c:f>RPlot!$V$4:$V$104</c:f>
              <c:numCache>
                <c:formatCode>0.00E+00</c:formatCode>
                <c:ptCount val="101"/>
                <c:pt idx="0">
                  <c:v>194631363052.35184</c:v>
                </c:pt>
                <c:pt idx="1">
                  <c:v>198071414544.54849</c:v>
                </c:pt>
                <c:pt idx="2">
                  <c:v>201518123467.81128</c:v>
                </c:pt>
                <c:pt idx="3">
                  <c:v>204970772415.73389</c:v>
                </c:pt>
                <c:pt idx="4">
                  <c:v>208428604483.87396</c:v>
                </c:pt>
                <c:pt idx="5">
                  <c:v>211890821767.97534</c:v>
                </c:pt>
                <c:pt idx="6">
                  <c:v>215356583829.26752</c:v>
                </c:pt>
                <c:pt idx="7">
                  <c:v>218825006128.16174</c:v>
                </c:pt>
                <c:pt idx="8">
                  <c:v>222295158427.81058</c:v>
                </c:pt>
                <c:pt idx="9">
                  <c:v>225766063169.31375</c:v>
                </c:pt>
                <c:pt idx="10">
                  <c:v>229236693820.60916</c:v>
                </c:pt>
                <c:pt idx="11">
                  <c:v>232705973201.42856</c:v>
                </c:pt>
                <c:pt idx="12">
                  <c:v>236172771786.98367</c:v>
                </c:pt>
                <c:pt idx="13">
                  <c:v>239635905993.46109</c:v>
                </c:pt>
                <c:pt idx="14">
                  <c:v>243094136448.75247</c:v>
                </c:pt>
                <c:pt idx="15">
                  <c:v>246546166252.2623</c:v>
                </c:pt>
                <c:pt idx="16">
                  <c:v>249990639228.09171</c:v>
                </c:pt>
                <c:pt idx="17">
                  <c:v>253426138176.32199</c:v>
                </c:pt>
                <c:pt idx="18">
                  <c:v>256851183127.67639</c:v>
                </c:pt>
                <c:pt idx="19">
                  <c:v>260264229607.31137</c:v>
                </c:pt>
                <c:pt idx="20">
                  <c:v>263663666914.05707</c:v>
                </c:pt>
                <c:pt idx="21">
                  <c:v>267047816422.01779</c:v>
                </c:pt>
                <c:pt idx="22">
                  <c:v>270414929912.05481</c:v>
                </c:pt>
                <c:pt idx="23">
                  <c:v>273763187941.30225</c:v>
                </c:pt>
                <c:pt idx="24">
                  <c:v>277090698259.52185</c:v>
                </c:pt>
                <c:pt idx="25">
                  <c:v>280395494281.84735</c:v>
                </c:pt>
                <c:pt idx="26">
                  <c:v>283675533628.1239</c:v>
                </c:pt>
                <c:pt idx="27">
                  <c:v>286928696739.83575</c:v>
                </c:pt>
                <c:pt idx="28">
                  <c:v>290152785586.33887</c:v>
                </c:pt>
                <c:pt idx="29">
                  <c:v>293345522472.92444</c:v>
                </c:pt>
                <c:pt idx="30">
                  <c:v>296504548964.01447</c:v>
                </c:pt>
                <c:pt idx="31">
                  <c:v>299627424935.56653</c:v>
                </c:pt>
                <c:pt idx="32">
                  <c:v>302711627771.60822</c:v>
                </c:pt>
                <c:pt idx="33">
                  <c:v>305754551720.58472</c:v>
                </c:pt>
                <c:pt idx="34">
                  <c:v>308753507427.99762</c:v>
                </c:pt>
                <c:pt idx="35">
                  <c:v>311705721662.58716</c:v>
                </c:pt>
                <c:pt idx="36">
                  <c:v>314608337254.05768</c:v>
                </c:pt>
                <c:pt idx="37">
                  <c:v>317458413261.03113</c:v>
                </c:pt>
                <c:pt idx="38">
                  <c:v>320252925388.59802</c:v>
                </c:pt>
                <c:pt idx="39">
                  <c:v>322988766675.42236</c:v>
                </c:pt>
                <c:pt idx="40">
                  <c:v>325662748470.90051</c:v>
                </c:pt>
                <c:pt idx="41">
                  <c:v>328271601723.29932</c:v>
                </c:pt>
                <c:pt idx="42">
                  <c:v>330811978600.18298</c:v>
                </c:pt>
                <c:pt idx="43">
                  <c:v>333280454462.62421</c:v>
                </c:pt>
                <c:pt idx="44">
                  <c:v>335673530214.85278</c:v>
                </c:pt>
                <c:pt idx="45">
                  <c:v>337987635050.92053</c:v>
                </c:pt>
                <c:pt idx="46">
                  <c:v>340219129619.72687</c:v>
                </c:pt>
                <c:pt idx="47">
                  <c:v>342364309629.4364</c:v>
                </c:pt>
                <c:pt idx="48">
                  <c:v>344419409911.63055</c:v>
                </c:pt>
                <c:pt idx="49">
                  <c:v>346380608964.79956</c:v>
                </c:pt>
                <c:pt idx="50">
                  <c:v>348244033995.6712</c:v>
                </c:pt>
                <c:pt idx="51">
                  <c:v>350005766475.59009</c:v>
                </c:pt>
                <c:pt idx="52">
                  <c:v>351661848227.57391</c:v>
                </c:pt>
                <c:pt idx="53">
                  <c:v>353208288057.77417</c:v>
                </c:pt>
                <c:pt idx="54">
                  <c:v>354641068942.91766</c:v>
                </c:pt>
                <c:pt idx="55">
                  <c:v>355956155782.77057</c:v>
                </c:pt>
                <c:pt idx="56">
                  <c:v>357149503723.86725</c:v>
                </c:pt>
                <c:pt idx="57">
                  <c:v>358217067057.54919</c:v>
                </c:pt>
                <c:pt idx="58">
                  <c:v>359154808691.87946</c:v>
                </c:pt>
                <c:pt idx="59">
                  <c:v>359958710193.12976</c:v>
                </c:pt>
                <c:pt idx="60">
                  <c:v>360624782388.36316</c:v>
                </c:pt>
                <c:pt idx="61">
                  <c:v>361149076516.12543</c:v>
                </c:pt>
                <c:pt idx="62">
                  <c:v>361527695907.42664</c:v>
                </c:pt>
                <c:pt idx="63">
                  <c:v>361756808174.09094</c:v>
                </c:pt>
                <c:pt idx="64">
                  <c:v>361832657876.16547</c:v>
                </c:pt>
                <c:pt idx="65">
                  <c:v>361751579634.47791</c:v>
                </c:pt>
                <c:pt idx="66">
                  <c:v>361510011648.62689</c:v>
                </c:pt>
                <c:pt idx="67">
                  <c:v>361104509574.75989</c:v>
                </c:pt>
                <c:pt idx="68">
                  <c:v>360531760711.45636</c:v>
                </c:pt>
                <c:pt idx="69">
                  <c:v>359788598435.99591</c:v>
                </c:pt>
                <c:pt idx="70">
                  <c:v>358872016827.276</c:v>
                </c:pt>
                <c:pt idx="71">
                  <c:v>357779185405.771</c:v>
                </c:pt>
                <c:pt idx="72">
                  <c:v>356507463915.22729</c:v>
                </c:pt>
                <c:pt idx="73">
                  <c:v>355054417065.41278</c:v>
                </c:pt>
                <c:pt idx="74">
                  <c:v>353417829150.19781</c:v>
                </c:pt>
                <c:pt idx="75">
                  <c:v>351595718450.71912</c:v>
                </c:pt>
                <c:pt idx="76">
                  <c:v>349586351329.37952</c:v>
                </c:pt>
                <c:pt idx="77">
                  <c:v>347388255917.1142</c:v>
                </c:pt>
                <c:pt idx="78">
                  <c:v>345000235293.77539</c:v>
                </c:pt>
                <c:pt idx="79">
                  <c:v>342421380059.75098</c:v>
                </c:pt>
                <c:pt idx="80">
                  <c:v>339651080196.09851</c:v>
                </c:pt>
                <c:pt idx="81">
                  <c:v>336689036110.66406</c:v>
                </c:pt>
                <c:pt idx="82">
                  <c:v>333535268768.85931</c:v>
                </c:pt>
                <c:pt idx="83">
                  <c:v>330190128810.12946</c:v>
                </c:pt>
                <c:pt idx="84">
                  <c:v>326654304554.60553</c:v>
                </c:pt>
                <c:pt idx="85">
                  <c:v>322928828809.0896</c:v>
                </c:pt>
                <c:pt idx="86">
                  <c:v>319015084387.3692</c:v>
                </c:pt>
                <c:pt idx="87">
                  <c:v>314914808266.80219</c:v>
                </c:pt>
                <c:pt idx="88">
                  <c:v>310630094311.27332</c:v>
                </c:pt>
                <c:pt idx="89">
                  <c:v>306163394499.78717</c:v>
                </c:pt>
                <c:pt idx="90">
                  <c:v>301517518610.17511</c:v>
                </c:pt>
                <c:pt idx="91">
                  <c:v>296695632318.5072</c:v>
                </c:pt>
                <c:pt idx="92">
                  <c:v>291701253686.6972</c:v>
                </c:pt>
                <c:pt idx="93">
                  <c:v>286538248023.40442</c:v>
                </c:pt>
                <c:pt idx="94">
                  <c:v>281210821116.40839</c:v>
                </c:pt>
                <c:pt idx="95">
                  <c:v>275723510848.17749</c:v>
                </c:pt>
                <c:pt idx="96">
                  <c:v>270081177219.95587</c:v>
                </c:pt>
                <c:pt idx="97">
                  <c:v>264288990823.49814</c:v>
                </c:pt>
                <c:pt idx="98">
                  <c:v>258352419813.01782</c:v>
                </c:pt>
                <c:pt idx="99">
                  <c:v>252277215443.22305</c:v>
                </c:pt>
                <c:pt idx="100" formatCode="General">
                  <c:v>246069396251.89011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A70-47EB-85D5-3043B621E4D8}"/>
            </c:ext>
          </c:extLst>
        </c:ser>
        <c:ser>
          <c:idx val="8"/>
          <c:order val="8"/>
          <c:tx>
            <c:strRef>
              <c:f>RPlot!$Q$2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RPlot!$Q$4:$Q$104</c:f>
              <c:numCache>
                <c:formatCode>0.00E+00</c:formatCode>
                <c:ptCount val="101"/>
                <c:pt idx="0">
                  <c:v>133533011460.68286</c:v>
                </c:pt>
                <c:pt idx="1">
                  <c:v>135772263872.89291</c:v>
                </c:pt>
                <c:pt idx="2">
                  <c:v>137929732279.88449</c:v>
                </c:pt>
                <c:pt idx="3">
                  <c:v>140005200542.07349</c:v>
                </c:pt>
                <c:pt idx="4">
                  <c:v>141998366571.77408</c:v>
                </c:pt>
                <c:pt idx="5">
                  <c:v>143908840532.32199</c:v>
                </c:pt>
                <c:pt idx="6">
                  <c:v>145736142921.60416</c:v>
                </c:pt>
                <c:pt idx="7">
                  <c:v>147479702534.4389</c:v>
                </c:pt>
                <c:pt idx="8">
                  <c:v>149138854298.6492</c:v>
                </c:pt>
                <c:pt idx="9">
                  <c:v>150712836979.90897</c:v>
                </c:pt>
                <c:pt idx="10">
                  <c:v>152200790750.7901</c:v>
                </c:pt>
                <c:pt idx="11">
                  <c:v>153601754619.74994</c:v>
                </c:pt>
                <c:pt idx="12">
                  <c:v>154914663716.23257</c:v>
                </c:pt>
                <c:pt idx="13">
                  <c:v>156138346428.43488</c:v>
                </c:pt>
                <c:pt idx="14">
                  <c:v>157271521390.85022</c:v>
                </c:pt>
                <c:pt idx="15">
                  <c:v>158312794319.23172</c:v>
                </c:pt>
                <c:pt idx="16">
                  <c:v>159260654691.29453</c:v>
                </c:pt>
                <c:pt idx="17">
                  <c:v>160113472272.26437</c:v>
                </c:pt>
                <c:pt idx="18">
                  <c:v>160869493485.22971</c:v>
                </c:pt>
                <c:pt idx="19">
                  <c:v>161526837627.34833</c:v>
                </c:pt>
                <c:pt idx="20">
                  <c:v>162083492934.08777</c:v>
                </c:pt>
                <c:pt idx="21">
                  <c:v>162537312495.12949</c:v>
                </c:pt>
                <c:pt idx="22">
                  <c:v>162886010027.11783</c:v>
                </c:pt>
                <c:pt idx="23">
                  <c:v>163127155510.30768</c:v>
                </c:pt>
                <c:pt idx="24">
                  <c:v>163258170698.26605</c:v>
                </c:pt>
                <c:pt idx="25">
                  <c:v>163276324512.22385</c:v>
                </c:pt>
                <c:pt idx="26">
                  <c:v>163178728334.45557</c:v>
                </c:pt>
                <c:pt idx="27">
                  <c:v>162962331218.24185</c:v>
                </c:pt>
                <c:pt idx="28">
                  <c:v>162623915035.59647</c:v>
                </c:pt>
                <c:pt idx="29">
                  <c:v>162160089588.06033</c:v>
                </c:pt>
                <c:pt idx="30">
                  <c:v>161567287710.53873</c:v>
                </c:pt>
                <c:pt idx="31">
                  <c:v>160841760403.45154</c:v>
                </c:pt>
                <c:pt idx="32">
                  <c:v>159979572034.44876</c:v>
                </c:pt>
                <c:pt idx="33">
                  <c:v>158976595657.67444</c:v>
                </c:pt>
                <c:pt idx="34">
                  <c:v>157828508506.1373</c:v>
                </c:pt>
                <c:pt idx="35">
                  <c:v>156530787721.24353</c:v>
                </c:pt>
                <c:pt idx="36">
                  <c:v>155078706393.03088</c:v>
                </c:pt>
                <c:pt idx="37">
                  <c:v>153467329995.25885</c:v>
                </c:pt>
                <c:pt idx="38">
                  <c:v>151691513311.28668</c:v>
                </c:pt>
                <c:pt idx="39">
                  <c:v>149745897959.72842</c:v>
                </c:pt>
                <c:pt idx="40">
                  <c:v>147624910643.3493</c:v>
                </c:pt>
                <c:pt idx="41">
                  <c:v>145322762260.58191</c:v>
                </c:pt>
                <c:pt idx="42">
                  <c:v>142833448036.47455</c:v>
                </c:pt>
                <c:pt idx="43">
                  <c:v>140150748849.0423</c:v>
                </c:pt>
                <c:pt idx="44">
                  <c:v>137268233947.7034</c:v>
                </c:pt>
                <c:pt idx="45">
                  <c:v>134179265282.99229</c:v>
                </c:pt>
                <c:pt idx="46">
                  <c:v>130877003690.95667</c:v>
                </c:pt>
                <c:pt idx="47">
                  <c:v>127354417201.45905</c:v>
                </c:pt>
                <c:pt idx="48">
                  <c:v>123604291767.09676</c:v>
                </c:pt>
                <c:pt idx="49">
                  <c:v>119619244738.31543</c:v>
                </c:pt>
                <c:pt idx="50">
                  <c:v>115391741440.29382</c:v>
                </c:pt>
                <c:pt idx="51">
                  <c:v>110914115238.13634</c:v>
                </c:pt>
                <c:pt idx="52">
                  <c:v>106178591508.08461</c:v>
                </c:pt>
                <c:pt idx="53">
                  <c:v>101177315963.57155</c:v>
                </c:pt>
                <c:pt idx="54">
                  <c:v>95902387814.863327</c:v>
                </c:pt>
                <c:pt idx="55">
                  <c:v>90345898269.099396</c:v>
                </c:pt>
                <c:pt idx="56">
                  <c:v>84499974902.328735</c:v>
                </c:pt>
                <c:pt idx="57">
                  <c:v>78356832455.224487</c:v>
                </c:pt>
                <c:pt idx="58">
                  <c:v>71908830617.81012</c:v>
                </c:pt>
                <c:pt idx="59">
                  <c:v>65148539373.662086</c:v>
                </c:pt>
                <c:pt idx="60">
                  <c:v>58068812468.099777</c:v>
                </c:pt>
                <c:pt idx="61">
                  <c:v>50662869545.23996</c:v>
                </c:pt>
                <c:pt idx="62">
                  <c:v>42924387462.096992</c:v>
                </c:pt>
                <c:pt idx="63">
                  <c:v>34847601230.797966</c:v>
                </c:pt>
                <c:pt idx="64">
                  <c:v>26427414958.471695</c:v>
                </c:pt>
                <c:pt idx="65">
                  <c:v>17659523044.44799</c:v>
                </c:pt>
                <c:pt idx="66">
                  <c:v>8540541751.7085018</c:v>
                </c:pt>
                <c:pt idx="67">
                  <c:v>-931848910.12118065</c:v>
                </c:pt>
                <c:pt idx="68">
                  <c:v>-10758753273.73645</c:v>
                </c:pt>
                <c:pt idx="69">
                  <c:v>-20939898624.187096</c:v>
                </c:pt>
                <c:pt idx="70">
                  <c:v>-31473465192.213497</c:v>
                </c:pt>
                <c:pt idx="71">
                  <c:v>-42355908755.834549</c:v>
                </c:pt>
                <c:pt idx="72">
                  <c:v>-53581777487.111366</c:v>
                </c:pt>
                <c:pt idx="73">
                  <c:v>-65143525140.520668</c:v>
                </c:pt>
                <c:pt idx="74">
                  <c:v>-77031323181.300369</c:v>
                </c:pt>
                <c:pt idx="75">
                  <c:v>-89232874988.657898</c:v>
                </c:pt>
                <c:pt idx="76">
                  <c:v>-101733235827.28857</c:v>
                </c:pt>
                <c:pt idx="77">
                  <c:v>-114514642845.32327</c:v>
                </c:pt>
                <c:pt idx="78">
                  <c:v>-127556359905.68951</c:v>
                </c:pt>
                <c:pt idx="79">
                  <c:v>-140834542565.30655</c:v>
                </c:pt>
                <c:pt idx="80">
                  <c:v>-154322128950.88986</c:v>
                </c:pt>
                <c:pt idx="81">
                  <c:v>-167988762606.79272</c:v>
                </c:pt>
                <c:pt idx="82">
                  <c:v>-181800753570.32019</c:v>
                </c:pt>
                <c:pt idx="83">
                  <c:v>-195721083923.88937</c:v>
                </c:pt>
                <c:pt idx="84">
                  <c:v>-209709463841.61081</c:v>
                </c:pt>
                <c:pt idx="85">
                  <c:v>-223722443655.00507</c:v>
                </c:pt>
                <c:pt idx="86">
                  <c:v>-237713586679.30402</c:v>
                </c:pt>
                <c:pt idx="87">
                  <c:v>-251633706449.99664</c:v>
                </c:pt>
                <c:pt idx="88">
                  <c:v>-265431170614.22296</c:v>
                </c:pt>
                <c:pt idx="89">
                  <c:v>-279052272016.62823</c:v>
                </c:pt>
                <c:pt idx="90">
                  <c:v>-292441665548.10339</c:v>
                </c:pt>
                <c:pt idx="91">
                  <c:v>-305542867143.38751</c:v>
                </c:pt>
                <c:pt idx="92">
                  <c:v>-318298808998.2309</c:v>
                </c:pt>
                <c:pt idx="93">
                  <c:v>-330652442725.97131</c:v>
                </c:pt>
                <c:pt idx="94">
                  <c:v>-342547379901.81293</c:v>
                </c:pt>
                <c:pt idx="95">
                  <c:v>-353928557375.34381</c:v>
                </c:pt>
                <c:pt idx="96">
                  <c:v>-364742912995.2655</c:v>
                </c:pt>
                <c:pt idx="97">
                  <c:v>-374940056105.34625</c:v>
                </c:pt>
                <c:pt idx="98">
                  <c:v>-384472916441.05139</c:v>
                </c:pt>
                <c:pt idx="99">
                  <c:v>-393298354959.73981</c:v>
                </c:pt>
                <c:pt idx="100" formatCode="General">
                  <c:v>-401377720717.01642</c:v>
                </c:pt>
              </c:numCache>
            </c:numRef>
          </c:xVal>
          <c:yVal>
            <c:numRef>
              <c:f>RPlot!$R$4:$R$104</c:f>
              <c:numCache>
                <c:formatCode>0.00E+00</c:formatCode>
                <c:ptCount val="101"/>
                <c:pt idx="0">
                  <c:v>-71697325669.578217</c:v>
                </c:pt>
                <c:pt idx="1">
                  <c:v>-67590871976.574753</c:v>
                </c:pt>
                <c:pt idx="2">
                  <c:v>-63434957024.698738</c:v>
                </c:pt>
                <c:pt idx="3">
                  <c:v>-59229376305.093002</c:v>
                </c:pt>
                <c:pt idx="4">
                  <c:v>-54973884994.881386</c:v>
                </c:pt>
                <c:pt idx="5">
                  <c:v>-50668200153.254585</c:v>
                </c:pt>
                <c:pt idx="6">
                  <c:v>-46312002921.674934</c:v>
                </c:pt>
                <c:pt idx="7">
                  <c:v>-41904940741.781258</c:v>
                </c:pt>
                <c:pt idx="8">
                  <c:v>-37446629604.896103</c:v>
                </c:pt>
                <c:pt idx="9">
                  <c:v>-32936656347.789902</c:v>
                </c:pt>
                <c:pt idx="10">
                  <c:v>-28374581010.002136</c:v>
                </c:pt>
                <c:pt idx="11">
                  <c:v>-23759939268.911053</c:v>
                </c:pt>
                <c:pt idx="12">
                  <c:v>-19092244969.504726</c:v>
                </c:pt>
                <c:pt idx="13">
                  <c:v>-14370992766.98023</c:v>
                </c:pt>
                <c:pt idx="14">
                  <c:v>-9595660901.2008228</c:v>
                </c:pt>
                <c:pt idx="15">
                  <c:v>-4765714123.3838892</c:v>
                </c:pt>
                <c:pt idx="16">
                  <c:v>119393203.30875751</c:v>
                </c:pt>
                <c:pt idx="17">
                  <c:v>5060213806.2604122</c:v>
                </c:pt>
                <c:pt idx="18">
                  <c:v>10057303984.172506</c:v>
                </c:pt>
                <c:pt idx="19">
                  <c:v>15111219839.932657</c:v>
                </c:pt>
                <c:pt idx="20">
                  <c:v>20222513237.153648</c:v>
                </c:pt>
                <c:pt idx="21">
                  <c:v>25391727450.35704</c:v>
                </c:pt>
                <c:pt idx="22">
                  <c:v>30619392476.335266</c:v>
                </c:pt>
                <c:pt idx="23">
                  <c:v>35906019972.137413</c:v>
                </c:pt>
                <c:pt idx="24">
                  <c:v>41252097782.546928</c:v>
                </c:pt>
                <c:pt idx="25">
                  <c:v>46658084017.366577</c:v>
                </c:pt>
                <c:pt idx="26">
                  <c:v>52124400636.080811</c:v>
                </c:pt>
                <c:pt idx="27">
                  <c:v>57651426494.52858</c:v>
                </c:pt>
                <c:pt idx="28">
                  <c:v>63239489805.139153</c:v>
                </c:pt>
                <c:pt idx="29">
                  <c:v>68888859959.11116</c:v>
                </c:pt>
                <c:pt idx="30">
                  <c:v>74599738655.604401</c:v>
                </c:pt>
                <c:pt idx="31">
                  <c:v>80372250279.574387</c:v>
                </c:pt>
                <c:pt idx="32">
                  <c:v>86206431466.339401</c:v>
                </c:pt>
                <c:pt idx="33">
                  <c:v>92102219787.515045</c:v>
                </c:pt>
                <c:pt idx="34">
                  <c:v>98059441489.348923</c:v>
                </c:pt>
                <c:pt idx="35">
                  <c:v>104077798211.01309</c:v>
                </c:pt>
                <c:pt idx="36">
                  <c:v>110156852607.13101</c:v>
                </c:pt>
                <c:pt idx="37">
                  <c:v>116296012795.57564</c:v>
                </c:pt>
                <c:pt idx="38">
                  <c:v>122494515548.81943</c:v>
                </c:pt>
                <c:pt idx="39">
                  <c:v>128751408144.77896</c:v>
                </c:pt>
                <c:pt idx="40">
                  <c:v>135065528791.2106</c:v>
                </c:pt>
                <c:pt idx="41">
                  <c:v>141435485536.72324</c:v>
                </c:pt>
                <c:pt idx="42">
                  <c:v>147859633581.52396</c:v>
                </c:pt>
                <c:pt idx="43">
                  <c:v>154336050901.98596</c:v>
                </c:pt>
                <c:pt idx="44">
                  <c:v>160862512105.97369</c:v>
                </c:pt>
                <c:pt idx="45">
                  <c:v>167436460440.27246</c:v>
                </c:pt>
                <c:pt idx="46">
                  <c:v>174054977878.12943</c:v>
                </c:pt>
                <c:pt idx="47">
                  <c:v>180714753224.37436</c:v>
                </c:pt>
                <c:pt idx="48">
                  <c:v>187412048187.93704</c:v>
                </c:pt>
                <c:pt idx="49">
                  <c:v>194142661387.74393</c:v>
                </c:pt>
                <c:pt idx="50">
                  <c:v>200901890278.47443</c:v>
                </c:pt>
                <c:pt idx="51">
                  <c:v>207684491007.91641</c:v>
                </c:pt>
                <c:pt idx="52">
                  <c:v>214484636248.8942</c:v>
                </c:pt>
                <c:pt idx="53">
                  <c:v>221295871086.18961</c:v>
                </c:pt>
                <c:pt idx="54">
                  <c:v>228111067083.94025</c:v>
                </c:pt>
                <c:pt idx="55">
                  <c:v>234922374712.07281</c:v>
                </c:pt>
                <c:pt idx="56">
                  <c:v>241721174372.62292</c:v>
                </c:pt>
                <c:pt idx="57">
                  <c:v>248498026339.12085</c:v>
                </c:pt>
                <c:pt idx="58">
                  <c:v>255242620005.3479</c:v>
                </c:pt>
                <c:pt idx="59">
                  <c:v>261943722934.46887</c:v>
                </c:pt>
                <c:pt idx="60">
                  <c:v>268589130306.5224</c:v>
                </c:pt>
                <c:pt idx="61">
                  <c:v>275165615481.63361</c:v>
                </c:pt>
                <c:pt idx="62">
                  <c:v>281658882528.36365</c:v>
                </c:pt>
                <c:pt idx="63">
                  <c:v>288053521710.73938</c:v>
                </c:pt>
                <c:pt idx="64">
                  <c:v>294332969082.88458</c:v>
                </c:pt>
                <c:pt idx="65">
                  <c:v>300479471505.04358</c:v>
                </c:pt>
                <c:pt idx="66">
                  <c:v>306474058566.70837</c:v>
                </c:pt>
                <c:pt idx="67">
                  <c:v>312296523077.88904</c:v>
                </c:pt>
                <c:pt idx="68">
                  <c:v>317925411963.63782</c:v>
                </c:pt>
                <c:pt idx="69">
                  <c:v>323338029563.63538</c:v>
                </c:pt>
                <c:pt idx="70">
                  <c:v>328510455490.25641</c:v>
                </c:pt>
                <c:pt idx="71">
                  <c:v>333417579326.04932</c:v>
                </c:pt>
                <c:pt idx="72">
                  <c:v>338033154533.88055</c:v>
                </c:pt>
                <c:pt idx="73">
                  <c:v>342329873997.86829</c:v>
                </c:pt>
                <c:pt idx="74">
                  <c:v>346279469596.6073</c:v>
                </c:pt>
                <c:pt idx="75">
                  <c:v>349852838117.23907</c:v>
                </c:pt>
                <c:pt idx="76">
                  <c:v>353020195633.82959</c:v>
                </c:pt>
                <c:pt idx="77">
                  <c:v>355751262181.02893</c:v>
                </c:pt>
                <c:pt idx="78">
                  <c:v>358015478139.43884</c:v>
                </c:pt>
                <c:pt idx="79">
                  <c:v>359782253200.50061</c:v>
                </c:pt>
                <c:pt idx="80">
                  <c:v>361021248087.31958</c:v>
                </c:pt>
                <c:pt idx="81">
                  <c:v>361702688370.48328</c:v>
                </c:pt>
                <c:pt idx="82">
                  <c:v>361797708738.07715</c:v>
                </c:pt>
                <c:pt idx="83">
                  <c:v>361278724968.97986</c:v>
                </c:pt>
                <c:pt idx="84">
                  <c:v>360119829640.27771</c:v>
                </c:pt>
                <c:pt idx="85">
                  <c:v>358297206306.64453</c:v>
                </c:pt>
                <c:pt idx="86">
                  <c:v>355789555566.84186</c:v>
                </c:pt>
                <c:pt idx="87">
                  <c:v>352578525136.5191</c:v>
                </c:pt>
                <c:pt idx="88">
                  <c:v>348649134843.80933</c:v>
                </c:pt>
                <c:pt idx="89">
                  <c:v>343990186429.03961</c:v>
                </c:pt>
                <c:pt idx="90">
                  <c:v>338594647240.25226</c:v>
                </c:pt>
                <c:pt idx="91">
                  <c:v>332459996449.61414</c:v>
                </c:pt>
                <c:pt idx="92">
                  <c:v>325588522342.48169</c:v>
                </c:pt>
                <c:pt idx="93">
                  <c:v>317987559608.56909</c:v>
                </c:pt>
                <c:pt idx="94">
                  <c:v>309669656431.14215</c:v>
                </c:pt>
                <c:pt idx="95">
                  <c:v>300652662538.14093</c:v>
                </c:pt>
                <c:pt idx="96">
                  <c:v>290959731231.39478</c:v>
                </c:pt>
                <c:pt idx="97">
                  <c:v>280619230697.14508</c:v>
                </c:pt>
                <c:pt idx="98">
                  <c:v>269664562541.23016</c:v>
                </c:pt>
                <c:pt idx="99">
                  <c:v>258133888374.51178</c:v>
                </c:pt>
                <c:pt idx="100" formatCode="General">
                  <c:v>246069768264.0513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A70-47EB-85D5-3043B621E4D8}"/>
            </c:ext>
          </c:extLst>
        </c:ser>
        <c:ser>
          <c:idx val="9"/>
          <c:order val="9"/>
          <c:tx>
            <c:strRef>
              <c:f>RPlot!$AG$52</c:f>
              <c:strCache>
                <c:ptCount val="1"/>
                <c:pt idx="0">
                  <c:v>90 Transfer (IP)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RPlot!$AG$54:$AG$55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RPlot!$AH$54:$AH$55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A70-47EB-85D5-3043B621E4D8}"/>
            </c:ext>
          </c:extLst>
        </c:ser>
        <c:ser>
          <c:idx val="10"/>
          <c:order val="10"/>
          <c:tx>
            <c:strRef>
              <c:f>RPlot!$AG$56</c:f>
              <c:strCache>
                <c:ptCount val="1"/>
                <c:pt idx="0">
                  <c:v>90 Transfer (OP)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RPlot!$AG$58:$AG$59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RPlot!$AH$58:$AH$59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A70-47EB-85D5-3043B621E4D8}"/>
            </c:ext>
          </c:extLst>
        </c:ser>
        <c:ser>
          <c:idx val="11"/>
          <c:order val="11"/>
          <c:tx>
            <c:strRef>
              <c:f>RPlot!$AJ$36</c:f>
              <c:strCache>
                <c:ptCount val="1"/>
                <c:pt idx="0">
                  <c:v>Destination At Injection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RPlot!$AJ$38:$AJ$39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320396770040.38855</c:v>
                </c:pt>
              </c:numCache>
            </c:numRef>
          </c:xVal>
          <c:yVal>
            <c:numRef>
              <c:f>RPlot!$AK$38:$AK$39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197878797084.20273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A70-47EB-85D5-3043B621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Side view orbital plot (x-z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Orig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RPlot!$E$4:$E$104</c:f>
              <c:numCache>
                <c:formatCode>0.00E+00</c:formatCode>
                <c:ptCount val="101"/>
                <c:pt idx="0">
                  <c:v>-56950294258.091858</c:v>
                </c:pt>
                <c:pt idx="1">
                  <c:v>-65354477309.841003</c:v>
                </c:pt>
                <c:pt idx="2">
                  <c:v>-73505610444.21344</c:v>
                </c:pt>
                <c:pt idx="3">
                  <c:v>-81373046884.347137</c:v>
                </c:pt>
                <c:pt idx="4">
                  <c:v>-88927130815.213669</c:v>
                </c:pt>
                <c:pt idx="5">
                  <c:v>-96139293243.464233</c:v>
                </c:pt>
                <c:pt idx="6">
                  <c:v>-102982145762.86708</c:v>
                </c:pt>
                <c:pt idx="7">
                  <c:v>-109429572133.00426</c:v>
                </c:pt>
                <c:pt idx="8">
                  <c:v>-115456817554.88956</c:v>
                </c:pt>
                <c:pt idx="9">
                  <c:v>-121040575500.28777</c:v>
                </c:pt>
                <c:pt idx="10">
                  <c:v>-126159071922.20216</c:v>
                </c:pt>
                <c:pt idx="11">
                  <c:v>-130792146642.76733</c:v>
                </c:pt>
                <c:pt idx="12">
                  <c:v>-134921331682.16199</c:v>
                </c:pt>
                <c:pt idx="13">
                  <c:v>-138529926258.73917</c:v>
                </c:pt>
                <c:pt idx="14">
                  <c:v>-141603068156.97623</c:v>
                </c:pt>
                <c:pt idx="15">
                  <c:v>-144127801126.7424</c:v>
                </c:pt>
                <c:pt idx="16">
                  <c:v>-146093137945.45966</c:v>
                </c:pt>
                <c:pt idx="17">
                  <c:v>-147490118744.71606</c:v>
                </c:pt>
                <c:pt idx="18">
                  <c:v>-148311864175.52502</c:v>
                </c:pt>
                <c:pt idx="19">
                  <c:v>-148553622962.46402</c:v>
                </c:pt>
                <c:pt idx="20">
                  <c:v>-148212813377.1337</c:v>
                </c:pt>
                <c:pt idx="21">
                  <c:v>-147289058146.50034</c:v>
                </c:pt>
                <c:pt idx="22">
                  <c:v>-145784212302.45569</c:v>
                </c:pt>
                <c:pt idx="23">
                  <c:v>-143702383476.04099</c:v>
                </c:pt>
                <c:pt idx="24">
                  <c:v>-141049944143.87982</c:v>
                </c:pt>
                <c:pt idx="25">
                  <c:v>-137835535346.02997</c:v>
                </c:pt>
                <c:pt idx="26">
                  <c:v>-134070061414.18352</c:v>
                </c:pt>
                <c:pt idx="27">
                  <c:v>-129766675277.32092</c:v>
                </c:pt>
                <c:pt idx="28">
                  <c:v>-124940753948.82419</c:v>
                </c:pt>
                <c:pt idx="29">
                  <c:v>-119609863844.82588</c:v>
                </c:pt>
                <c:pt idx="30">
                  <c:v>-113793715638.19861</c:v>
                </c:pt>
                <c:pt idx="31">
                  <c:v>-107514108415.91696</c:v>
                </c:pt>
                <c:pt idx="32">
                  <c:v>-100794862979.19571</c:v>
                </c:pt>
                <c:pt idx="33">
                  <c:v>-93661744205.309708</c:v>
                </c:pt>
                <c:pt idx="34">
                  <c:v>-86142372476.632248</c:v>
                </c:pt>
                <c:pt idx="35">
                  <c:v>-78266124275.293503</c:v>
                </c:pt>
                <c:pt idx="36">
                  <c:v>-70064022139.90448</c:v>
                </c:pt>
                <c:pt idx="37">
                  <c:v>-61568614282.777946</c:v>
                </c:pt>
                <c:pt idx="38">
                  <c:v>-52813844270.632401</c:v>
                </c:pt>
                <c:pt idx="39">
                  <c:v>-43834911277.368652</c:v>
                </c:pt>
                <c:pt idx="40">
                  <c:v>-34668121522.547287</c:v>
                </c:pt>
                <c:pt idx="41">
                  <c:v>-25350731611.980877</c:v>
                </c:pt>
                <c:pt idx="42">
                  <c:v>-15920784595.649128</c:v>
                </c:pt>
                <c:pt idx="43">
                  <c:v>-6416939651.2035236</c:v>
                </c:pt>
                <c:pt idx="44">
                  <c:v>3121703613.0325589</c:v>
                </c:pt>
                <c:pt idx="45">
                  <c:v>12655785165.103178</c:v>
                </c:pt>
                <c:pt idx="46">
                  <c:v>22145867730.019245</c:v>
                </c:pt>
                <c:pt idx="47">
                  <c:v>31552621953.40868</c:v>
                </c:pt>
                <c:pt idx="48">
                  <c:v>40837012316.729919</c:v>
                </c:pt>
                <c:pt idx="49">
                  <c:v>49960482545.66951</c:v>
                </c:pt>
                <c:pt idx="50">
                  <c:v>58885139241.210327</c:v>
                </c:pt>
                <c:pt idx="51">
                  <c:v>67573932465.863159</c:v>
                </c:pt>
                <c:pt idx="52">
                  <c:v>75990832035.931442</c:v>
                </c:pt>
                <c:pt idx="53">
                  <c:v>84100998304.181488</c:v>
                </c:pt>
                <c:pt idx="54">
                  <c:v>91870946265.543762</c:v>
                </c:pt>
                <c:pt idx="55" formatCode="General">
                  <c:v>99268701880.715561</c:v>
                </c:pt>
                <c:pt idx="56">
                  <c:v>106263949587.78192</c:v>
                </c:pt>
                <c:pt idx="57">
                  <c:v>112828170058.98318</c:v>
                </c:pt>
                <c:pt idx="58">
                  <c:v>118934767357.09688</c:v>
                </c:pt>
                <c:pt idx="59">
                  <c:v>124559184751.90112</c:v>
                </c:pt>
                <c:pt idx="60">
                  <c:v>129679008570.10904</c:v>
                </c:pt>
                <c:pt idx="61">
                  <c:v>134274059570.13168</c:v>
                </c:pt>
                <c:pt idx="62">
                  <c:v>138326471454.09796</c:v>
                </c:pt>
                <c:pt idx="63">
                  <c:v>141820756251.83145</c:v>
                </c:pt>
                <c:pt idx="64">
                  <c:v>144743856433.0408</c:v>
                </c:pt>
                <c:pt idx="65">
                  <c:v>147085183723.00034</c:v>
                </c:pt>
                <c:pt idx="66">
                  <c:v>148836644711.78073</c:v>
                </c:pt>
                <c:pt idx="67">
                  <c:v>149992653456.06079</c:v>
                </c:pt>
                <c:pt idx="68">
                  <c:v>150550131374.32202</c:v>
                </c:pt>
                <c:pt idx="69">
                  <c:v>150508494829.60446</c:v>
                </c:pt>
                <c:pt idx="70">
                  <c:v>149869630877.98987</c:v>
                </c:pt>
                <c:pt idx="71">
                  <c:v>148637861734.81952</c:v>
                </c:pt>
                <c:pt idx="72">
                  <c:v>146819898573.80087</c:v>
                </c:pt>
                <c:pt idx="73">
                  <c:v>144424785326.29065</c:v>
                </c:pt>
                <c:pt idx="74">
                  <c:v>141463833189.06046</c:v>
                </c:pt>
                <c:pt idx="75">
                  <c:v>137950546578.84613</c:v>
                </c:pt>
                <c:pt idx="76">
                  <c:v>133900541291.24585</c:v>
                </c:pt>
                <c:pt idx="77">
                  <c:v>129331455630.51164</c:v>
                </c:pt>
                <c:pt idx="78">
                  <c:v>124262855276.08086</c:v>
                </c:pt>
                <c:pt idx="79">
                  <c:v>118716132642.03809</c:v>
                </c:pt>
                <c:pt idx="80">
                  <c:v>112714401467.92093</c:v>
                </c:pt>
                <c:pt idx="81">
                  <c:v>106282387354.26392</c:v>
                </c:pt>
                <c:pt idx="82">
                  <c:v>99446314925.009796</c:v>
                </c:pt>
                <c:pt idx="83">
                  <c:v>92233792262.362045</c:v>
                </c:pt>
                <c:pt idx="84">
                  <c:v>84673693218.819901</c:v>
                </c:pt>
                <c:pt idx="85">
                  <c:v>76796038167.040329</c:v>
                </c:pt>
                <c:pt idx="86">
                  <c:v>68631873701.752953</c:v>
                </c:pt>
                <c:pt idx="87">
                  <c:v>60213151760.187225</c:v>
                </c:pt>
                <c:pt idx="88">
                  <c:v>51572608579.191849</c:v>
                </c:pt>
                <c:pt idx="89">
                  <c:v>42743643859.345345</c:v>
                </c:pt>
                <c:pt idx="90">
                  <c:v>33760200459.534534</c:v>
                </c:pt>
                <c:pt idx="91">
                  <c:v>24656644900.518959</c:v>
                </c:pt>
                <c:pt idx="92">
                  <c:v>15467648913.427578</c:v>
                </c:pt>
                <c:pt idx="93">
                  <c:v>6228072229.5675421</c:v>
                </c:pt>
                <c:pt idx="94">
                  <c:v>-3027153228.2029686</c:v>
                </c:pt>
                <c:pt idx="95">
                  <c:v>-12263137624.581814</c:v>
                </c:pt>
                <c:pt idx="96">
                  <c:v>-21445145861.572136</c:v>
                </c:pt>
                <c:pt idx="97">
                  <c:v>-30538708522.737682</c:v>
                </c:pt>
                <c:pt idx="98">
                  <c:v>-39509731054.9552</c:v>
                </c:pt>
                <c:pt idx="99">
                  <c:v>-48324601145.016907</c:v>
                </c:pt>
                <c:pt idx="100" formatCode="General">
                  <c:v>-56950294258.087761</c:v>
                </c:pt>
              </c:numCache>
            </c:numRef>
          </c:xVal>
          <c:yVal>
            <c:numRef>
              <c:f>RPlot!$G$4:$G$104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 formatCode="General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C7-4418-B7BE-0E4200C695E5}"/>
            </c:ext>
          </c:extLst>
        </c:ser>
        <c:ser>
          <c:idx val="1"/>
          <c:order val="1"/>
          <c:tx>
            <c:v>Dest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RPlot!$I$4:$I$104</c:f>
              <c:numCache>
                <c:formatCode>0.00E+00</c:formatCode>
                <c:ptCount val="101"/>
                <c:pt idx="0">
                  <c:v>341462198007.20911</c:v>
                </c:pt>
                <c:pt idx="1">
                  <c:v>350765955484.91187</c:v>
                </c:pt>
                <c:pt idx="2">
                  <c:v>358715815093.14362</c:v>
                </c:pt>
                <c:pt idx="3">
                  <c:v>365310985631.93762</c:v>
                </c:pt>
                <c:pt idx="4">
                  <c:v>370553225763.61853</c:v>
                </c:pt>
                <c:pt idx="5">
                  <c:v>374446578623.8692</c:v>
                </c:pt>
                <c:pt idx="6">
                  <c:v>376997137196.82526</c:v>
                </c:pt>
                <c:pt idx="7">
                  <c:v>378212840534.54974</c:v>
                </c:pt>
                <c:pt idx="8">
                  <c:v>378103300642.76019</c:v>
                </c:pt>
                <c:pt idx="9">
                  <c:v>376679659661.60077</c:v>
                </c:pt>
                <c:pt idx="10">
                  <c:v>373954476832.13477</c:v>
                </c:pt>
                <c:pt idx="11">
                  <c:v>369941644645.96112</c:v>
                </c:pt>
                <c:pt idx="12">
                  <c:v>364656333517.25586</c:v>
                </c:pt>
                <c:pt idx="13">
                  <c:v>358114964284.44</c:v>
                </c:pt>
                <c:pt idx="14">
                  <c:v>350335207833.93091</c:v>
                </c:pt>
                <c:pt idx="15">
                  <c:v>341336011132.84851</c:v>
                </c:pt>
                <c:pt idx="16">
                  <c:v>331137648953.28638</c:v>
                </c:pt>
                <c:pt idx="17">
                  <c:v>319761800560.5047</c:v>
                </c:pt>
                <c:pt idx="18">
                  <c:v>307231650613.79895</c:v>
                </c:pt>
                <c:pt idx="19">
                  <c:v>293572013485.03125</c:v>
                </c:pt>
                <c:pt idx="20">
                  <c:v>278809480128.97968</c:v>
                </c:pt>
                <c:pt idx="21">
                  <c:v>262972586535.07721</c:v>
                </c:pt>
                <c:pt idx="22">
                  <c:v>246092002645.24197</c:v>
                </c:pt>
                <c:pt idx="23">
                  <c:v>228200740430.95374</c:v>
                </c:pt>
                <c:pt idx="24">
                  <c:v>209334379578.40918</c:v>
                </c:pt>
                <c:pt idx="25">
                  <c:v>189531308927.85941</c:v>
                </c:pt>
                <c:pt idx="26">
                  <c:v>168832981447.07553</c:v>
                </c:pt>
                <c:pt idx="27">
                  <c:v>147284180085.39566</c:v>
                </c:pt>
                <c:pt idx="28">
                  <c:v>124933291351.08878</c:v>
                </c:pt>
                <c:pt idx="29">
                  <c:v>101832582880.56674</c:v>
                </c:pt>
                <c:pt idx="30">
                  <c:v>78038480624.252731</c:v>
                </c:pt>
                <c:pt idx="31">
                  <c:v>53611840566.102486</c:v>
                </c:pt>
                <c:pt idx="32">
                  <c:v>28618209130.084129</c:v>
                </c:pt>
                <c:pt idx="33">
                  <c:v>3128065620.7815065</c:v>
                </c:pt>
                <c:pt idx="34">
                  <c:v>-22782960784.579918</c:v>
                </c:pt>
                <c:pt idx="35">
                  <c:v>-49033907804.074516</c:v>
                </c:pt>
                <c:pt idx="36">
                  <c:v>-75538339685.978851</c:v>
                </c:pt>
                <c:pt idx="37">
                  <c:v>-102204259541.00375</c:v>
                </c:pt>
                <c:pt idx="38">
                  <c:v>-128934084806.64072</c:v>
                </c:pt>
                <c:pt idx="39">
                  <c:v>-155624696710.07379</c:v>
                </c:pt>
                <c:pt idx="40">
                  <c:v>-182167574794.6127</c:v>
                </c:pt>
                <c:pt idx="41">
                  <c:v>-208449027475.51105</c:v>
                </c:pt>
                <c:pt idx="42">
                  <c:v>-234350529126.41833</c:v>
                </c:pt>
                <c:pt idx="43">
                  <c:v>-259749173302.29279</c:v>
                </c:pt>
                <c:pt idx="44">
                  <c:v>-284518250317.13623</c:v>
                </c:pt>
                <c:pt idx="45">
                  <c:v>-308527955465.76819</c:v>
                </c:pt>
                <c:pt idx="46">
                  <c:v>-331646231674.72192</c:v>
                </c:pt>
                <c:pt idx="47">
                  <c:v>-353739747278.31421</c:v>
                </c:pt>
                <c:pt idx="48">
                  <c:v>-374675005961.69257</c:v>
                </c:pt>
                <c:pt idx="49">
                  <c:v>-394319581748.66748</c:v>
                </c:pt>
                <c:pt idx="50">
                  <c:v>-412543467334.31415</c:v>
                </c:pt>
                <c:pt idx="51">
                  <c:v>-429220519209.05432</c:v>
                </c:pt>
                <c:pt idx="52">
                  <c:v>-444229978074.0014</c:v>
                </c:pt>
                <c:pt idx="53">
                  <c:v>-457458038226.48853</c:v>
                </c:pt>
                <c:pt idx="54">
                  <c:v>-468799435151.13318</c:v>
                </c:pt>
                <c:pt idx="55" formatCode="General">
                  <c:v>-478159016754.73004</c:v>
                </c:pt>
                <c:pt idx="56">
                  <c:v>-485453260804.98175</c:v>
                </c:pt>
                <c:pt idx="57">
                  <c:v>-490611699428.36865</c:v>
                </c:pt>
                <c:pt idx="58">
                  <c:v>-493578211208.68073</c:v>
                </c:pt>
                <c:pt idx="59">
                  <c:v>-494312142662.89258</c:v>
                </c:pt>
                <c:pt idx="60">
                  <c:v>-492789223735.37445</c:v>
                </c:pt>
                <c:pt idx="61">
                  <c:v>-489002246432.51733</c:v>
                </c:pt>
                <c:pt idx="62">
                  <c:v>-482961481704.85352</c:v>
                </c:pt>
                <c:pt idx="63">
                  <c:v>-474694816959.05011</c:v>
                </c:pt>
                <c:pt idx="64">
                  <c:v>-464247604842.19958</c:v>
                </c:pt>
                <c:pt idx="65">
                  <c:v>-451682222805.39838</c:v>
                </c:pt>
                <c:pt idx="66">
                  <c:v>-437077351992.56317</c:v>
                </c:pt>
                <c:pt idx="67">
                  <c:v>-420526992763.83972</c:v>
                </c:pt>
                <c:pt idx="68">
                  <c:v>-402139242213.53674</c:v>
                </c:pt>
                <c:pt idx="69">
                  <c:v>-382034865987.55084</c:v>
                </c:pt>
                <c:pt idx="70">
                  <c:v>-360345702224.3028</c:v>
                </c:pt>
                <c:pt idx="71">
                  <c:v>-337212939309.58154</c:v>
                </c:pt>
                <c:pt idx="72">
                  <c:v>-312785311229.02106</c:v>
                </c:pt>
                <c:pt idx="73">
                  <c:v>-287217254611.59827</c:v>
                </c:pt>
                <c:pt idx="74">
                  <c:v>-260667070176.80844</c:v>
                </c:pt>
                <c:pt idx="75">
                  <c:v>-233295128410.31818</c:v>
                </c:pt>
                <c:pt idx="76">
                  <c:v>-205262155151.2236</c:v>
                </c:pt>
                <c:pt idx="77">
                  <c:v>-176727627678.55219</c:v>
                </c:pt>
                <c:pt idx="78">
                  <c:v>-147848306156.87189</c:v>
                </c:pt>
                <c:pt idx="79">
                  <c:v>-118776919261.40569</c:v>
                </c:pt>
                <c:pt idx="80">
                  <c:v>-89661016749.827148</c:v>
                </c:pt>
                <c:pt idx="81">
                  <c:v>-60641995942.120262</c:v>
                </c:pt>
                <c:pt idx="82">
                  <c:v>-31854303723.61026</c:v>
                </c:pt>
                <c:pt idx="83">
                  <c:v>-3424810958.2889867</c:v>
                </c:pt>
                <c:pt idx="84">
                  <c:v>24527647806.822388</c:v>
                </c:pt>
                <c:pt idx="85">
                  <c:v>51892579697.611832</c:v>
                </c:pt>
                <c:pt idx="86">
                  <c:v>78567996732.374557</c:v>
                </c:pt>
                <c:pt idx="87">
                  <c:v>104460451410.59711</c:v>
                </c:pt>
                <c:pt idx="88">
                  <c:v>129484960190.25874</c:v>
                </c:pt>
                <c:pt idx="89">
                  <c:v>153564830777.31168</c:v>
                </c:pt>
                <c:pt idx="90">
                  <c:v>176631409038.7562</c:v>
                </c:pt>
                <c:pt idx="91">
                  <c:v>198623760817.99164</c:v>
                </c:pt>
                <c:pt idx="92">
                  <c:v>219488303074.15219</c:v>
                </c:pt>
                <c:pt idx="93">
                  <c:v>239178397674.92648</c:v>
                </c:pt>
                <c:pt idx="94">
                  <c:v>257653919926.73975</c:v>
                </c:pt>
                <c:pt idx="95">
                  <c:v>274880812597.10602</c:v>
                </c:pt>
                <c:pt idx="96">
                  <c:v>290830634830.54956</c:v>
                </c:pt>
                <c:pt idx="97">
                  <c:v>305480114028.96326</c:v>
                </c:pt>
                <c:pt idx="98">
                  <c:v>318810707496.10699</c:v>
                </c:pt>
                <c:pt idx="99">
                  <c:v>330808179460.32202</c:v>
                </c:pt>
                <c:pt idx="100" formatCode="General">
                  <c:v>341462198007.20416</c:v>
                </c:pt>
              </c:numCache>
            </c:numRef>
          </c:xVal>
          <c:yVal>
            <c:numRef>
              <c:f>RPlot!$K$4:$K$104</c:f>
              <c:numCache>
                <c:formatCode>0.00E+00</c:formatCode>
                <c:ptCount val="101"/>
                <c:pt idx="0">
                  <c:v>-138163310.5834024</c:v>
                </c:pt>
                <c:pt idx="1">
                  <c:v>-1456554211.5811074</c:v>
                </c:pt>
                <c:pt idx="2">
                  <c:v>-2755179220.1782074</c:v>
                </c:pt>
                <c:pt idx="3">
                  <c:v>-4030698930.2158318</c:v>
                </c:pt>
                <c:pt idx="4">
                  <c:v>-5279932137.0393267</c:v>
                </c:pt>
                <c:pt idx="5">
                  <c:v>-6499844974.9927378</c:v>
                </c:pt>
                <c:pt idx="6">
                  <c:v>-7687539912.9603319</c:v>
                </c:pt>
                <c:pt idx="7">
                  <c:v>-8840244794.5798302</c:v>
                </c:pt>
                <c:pt idx="8">
                  <c:v>-9955302087.8633633</c:v>
                </c:pt>
                <c:pt idx="9">
                  <c:v>-11030158489.841997</c:v>
                </c:pt>
                <c:pt idx="10">
                  <c:v>-12062355015.528511</c:v>
                </c:pt>
                <c:pt idx="11">
                  <c:v>-13049517686.907715</c:v>
                </c:pt>
                <c:pt idx="12">
                  <c:v>-13989348926.704527</c:v>
                </c:pt>
                <c:pt idx="13">
                  <c:v>-14879619753.182487</c:v>
                </c:pt>
                <c:pt idx="14">
                  <c:v>-15718162865.997257</c:v>
                </c:pt>
                <c:pt idx="15">
                  <c:v>-16502866708.942411</c:v>
                </c:pt>
                <c:pt idx="16">
                  <c:v>-17231670593.036766</c:v>
                </c:pt>
                <c:pt idx="17">
                  <c:v>-17902560962.526539</c:v>
                </c:pt>
                <c:pt idx="18">
                  <c:v>-18513568886.737652</c:v>
                </c:pt>
                <c:pt idx="19">
                  <c:v>-19062768861.97126</c:v>
                </c:pt>
                <c:pt idx="20">
                  <c:v>-19548279009.451859</c:v>
                </c:pt>
                <c:pt idx="21">
                  <c:v>-19968262757.322384</c:v>
                </c:pt>
                <c:pt idx="22">
                  <c:v>-20320932096.411121</c:v>
                </c:pt>
                <c:pt idx="23">
                  <c:v>-20604552500.501995</c:v>
                </c:pt>
                <c:pt idx="24">
                  <c:v>-20817449601.605019</c:v>
                </c:pt>
                <c:pt idx="25">
                  <c:v>-20958017708.673157</c:v>
                </c:pt>
                <c:pt idx="26">
                  <c:v>-21024730253.718987</c:v>
                </c:pt>
                <c:pt idx="27">
                  <c:v>-21016152241.664448</c:v>
                </c:pt>
                <c:pt idx="28">
                  <c:v>-20930954768.777557</c:v>
                </c:pt>
                <c:pt idx="29">
                  <c:v>-20767931658.435295</c:v>
                </c:pt>
                <c:pt idx="30">
                  <c:v>-20526018241.407093</c:v>
                </c:pt>
                <c:pt idx="31">
                  <c:v>-20204312280.078583</c:v>
                </c:pt>
                <c:pt idx="32">
                  <c:v>-19802097001.269611</c:v>
                </c:pt>
                <c:pt idx="33">
                  <c:v>-19318866159.858818</c:v>
                </c:pt>
                <c:pt idx="34">
                  <c:v>-18754351004.76162</c:v>
                </c:pt>
                <c:pt idx="35">
                  <c:v>-18108548959.571018</c:v>
                </c:pt>
                <c:pt idx="36">
                  <c:v>-17381753762.299217</c:v>
                </c:pt>
                <c:pt idx="37">
                  <c:v>-16574586732.459932</c:v>
                </c:pt>
                <c:pt idx="38">
                  <c:v>-15688028749.984196</c:v>
                </c:pt>
                <c:pt idx="39">
                  <c:v>-14723452440.509127</c:v>
                </c:pt>
                <c:pt idx="40">
                  <c:v>-13682653967.432316</c:v>
                </c:pt>
                <c:pt idx="41">
                  <c:v>-12567883735.514471</c:v>
                </c:pt>
                <c:pt idx="42">
                  <c:v>-11381875217.306547</c:v>
                </c:pt>
                <c:pt idx="43">
                  <c:v>-10127871026.59697</c:v>
                </c:pt>
                <c:pt idx="44">
                  <c:v>-8809645287.5584869</c:v>
                </c:pt>
                <c:pt idx="45">
                  <c:v>-7431521290.0938082</c:v>
                </c:pt>
                <c:pt idx="46">
                  <c:v>-5998383387.2888441</c:v>
                </c:pt>
                <c:pt idx="47">
                  <c:v>-4515682086.3232403</c:v>
                </c:pt>
                <c:pt idx="48">
                  <c:v>-2989431315.923533</c:v>
                </c:pt>
                <c:pt idx="49">
                  <c:v>-1426196927.0943782</c:v>
                </c:pt>
                <c:pt idx="50">
                  <c:v>166924396.13816822</c:v>
                </c:pt>
                <c:pt idx="51">
                  <c:v>1782336470.1589403</c:v>
                </c:pt>
                <c:pt idx="52">
                  <c:v>3411985625.0325103</c:v>
                </c:pt>
                <c:pt idx="53">
                  <c:v>5047413567.6713972</c:v>
                </c:pt>
                <c:pt idx="54">
                  <c:v>6679820957.9188576</c:v>
                </c:pt>
                <c:pt idx="55">
                  <c:v>8300141221.0059662</c:v>
                </c:pt>
                <c:pt idx="56">
                  <c:v>9899123760.1005249</c:v>
                </c:pt>
                <c:pt idx="57">
                  <c:v>11467425367.953121</c:v>
                </c:pt>
                <c:pt idx="58">
                  <c:v>12995708284.525499</c:v>
                </c:pt>
                <c:pt idx="59">
                  <c:v>14474743026.802271</c:v>
                </c:pt>
                <c:pt idx="60">
                  <c:v>15895513846.705526</c:v>
                </c:pt>
                <c:pt idx="61">
                  <c:v>17249324470.797554</c:v>
                </c:pt>
                <c:pt idx="62">
                  <c:v>18527901656.225117</c:v>
                </c:pt>
                <c:pt idx="63">
                  <c:v>19723494071.995831</c:v>
                </c:pt>
                <c:pt idx="64">
                  <c:v>20828964088.923889</c:v>
                </c:pt>
                <c:pt idx="65">
                  <c:v>21837870235.305988</c:v>
                </c:pt>
                <c:pt idx="66">
                  <c:v>22744538342.346291</c:v>
                </c:pt>
                <c:pt idx="67">
                  <c:v>23544119751.470615</c:v>
                </c:pt>
                <c:pt idx="68">
                  <c:v>24232635367.829502</c:v>
                </c:pt>
                <c:pt idx="69">
                  <c:v>24807004799.542885</c:v>
                </c:pt>
                <c:pt idx="70">
                  <c:v>25265060297.370949</c:v>
                </c:pt>
                <c:pt idx="71">
                  <c:v>25605545680.725788</c:v>
                </c:pt>
                <c:pt idx="72">
                  <c:v>25828100880.638092</c:v>
                </c:pt>
                <c:pt idx="73">
                  <c:v>25933233128.51004</c:v>
                </c:pt>
                <c:pt idx="74">
                  <c:v>25922276155.174088</c:v>
                </c:pt>
                <c:pt idx="75">
                  <c:v>25797339026.616947</c:v>
                </c:pt>
                <c:pt idx="76">
                  <c:v>25561246424.497326</c:v>
                </c:pt>
                <c:pt idx="77">
                  <c:v>25217472280.098202</c:v>
                </c:pt>
                <c:pt idx="78">
                  <c:v>24770068693.00499</c:v>
                </c:pt>
                <c:pt idx="79">
                  <c:v>24223592017.824604</c:v>
                </c:pt>
                <c:pt idx="80">
                  <c:v>23583027893.778713</c:v>
                </c:pt>
                <c:pt idx="81">
                  <c:v>22853716835.013462</c:v>
                </c:pt>
                <c:pt idx="82">
                  <c:v>22041281806.817051</c:v>
                </c:pt>
                <c:pt idx="83">
                  <c:v>21151558997.430798</c:v>
                </c:pt>
                <c:pt idx="84">
                  <c:v>20190532768.763096</c:v>
                </c:pt>
                <c:pt idx="85">
                  <c:v>19164275542.70438</c:v>
                </c:pt>
                <c:pt idx="86">
                  <c:v>18078893161.758671</c:v>
                </c:pt>
                <c:pt idx="87">
                  <c:v>16940476060.319307</c:v>
                </c:pt>
                <c:pt idx="88">
                  <c:v>15755056401.119616</c:v>
                </c:pt>
                <c:pt idx="89">
                  <c:v>14528571173.359112</c:v>
                </c:pt>
                <c:pt idx="90">
                  <c:v>13266831116.252672</c:v>
                </c:pt>
                <c:pt idx="91">
                  <c:v>11975495224.436039</c:v>
                </c:pt>
                <c:pt idx="92">
                  <c:v>10660050508.786837</c:v>
                </c:pt>
                <c:pt idx="93">
                  <c:v>9325796626.0429592</c:v>
                </c:pt>
                <c:pt idx="94">
                  <c:v>7977834950.7410908</c:v>
                </c:pt>
                <c:pt idx="95">
                  <c:v>6621061640.8163586</c:v>
                </c:pt>
                <c:pt idx="96">
                  <c:v>5260164240.8935337</c:v>
                </c:pt>
                <c:pt idx="97">
                  <c:v>3899621372.1028166</c:v>
                </c:pt>
                <c:pt idx="98">
                  <c:v>2543705071.531322</c:v>
                </c:pt>
                <c:pt idx="99">
                  <c:v>1196485365.7834918</c:v>
                </c:pt>
                <c:pt idx="100" formatCode="General">
                  <c:v>-138163310.58274671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C7-4418-B7BE-0E4200C695E5}"/>
            </c:ext>
          </c:extLst>
        </c:ser>
        <c:ser>
          <c:idx val="2"/>
          <c:order val="2"/>
          <c:tx>
            <c:v>Launch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133533011460.68109</c:v>
                </c:pt>
              </c:numCache>
            </c:numRef>
          </c:xVal>
          <c:yVal>
            <c:numRef>
              <c:f>RPlot!$AI$4:$AI$5</c:f>
              <c:numCache>
                <c:formatCode>0.00E+00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C7-4418-B7BE-0E4200C695E5}"/>
            </c:ext>
          </c:extLst>
        </c:ser>
        <c:ser>
          <c:idx val="3"/>
          <c:order val="3"/>
          <c:tx>
            <c:v>Intercept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-401377095698.70483</c:v>
                </c:pt>
              </c:numCache>
            </c:numRef>
          </c:xVal>
          <c:yVal>
            <c:numRef>
              <c:f>RPlot!$AI$9:$AI$10</c:f>
              <c:numCache>
                <c:formatCode>0.00E+00</c:formatCode>
                <c:ptCount val="2"/>
                <c:pt idx="0">
                  <c:v>0</c:v>
                </c:pt>
                <c:pt idx="1">
                  <c:v>-827546227.54609811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C7-4418-B7BE-0E4200C695E5}"/>
            </c:ext>
          </c:extLst>
        </c:ser>
        <c:ser>
          <c:idx val="6"/>
          <c:order val="4"/>
          <c:tx>
            <c:v>Direct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RPlot!$M$4:$M$104</c:f>
              <c:numCache>
                <c:formatCode>0.00E+00</c:formatCode>
                <c:ptCount val="101"/>
              </c:numCache>
            </c:numRef>
          </c:xVal>
          <c:yVal>
            <c:numRef>
              <c:f>RPlot!$O$4:$O$104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8C7-4418-B7BE-0E4200C695E5}"/>
            </c:ext>
          </c:extLst>
        </c:ser>
        <c:ser>
          <c:idx val="7"/>
          <c:order val="5"/>
          <c:tx>
            <c:v>90 Deg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RPlot!$U$4:$U$104</c:f>
              <c:numCache>
                <c:formatCode>0.00E+00</c:formatCode>
                <c:ptCount val="101"/>
                <c:pt idx="0">
                  <c:v>119321262911.86143</c:v>
                </c:pt>
                <c:pt idx="1">
                  <c:v>117190053473.39749</c:v>
                </c:pt>
                <c:pt idx="2">
                  <c:v>114994809248.05049</c:v>
                </c:pt>
                <c:pt idx="3">
                  <c:v>112734512088.7858</c:v>
                </c:pt>
                <c:pt idx="4">
                  <c:v>110408136708.62233</c:v>
                </c:pt>
                <c:pt idx="5">
                  <c:v>108014651624.42924</c:v>
                </c:pt>
                <c:pt idx="6">
                  <c:v>105553020181.58502</c:v>
                </c:pt>
                <c:pt idx="7">
                  <c:v>103022201663.80846</c:v>
                </c:pt>
                <c:pt idx="8">
                  <c:v>100421152492.65891</c:v>
                </c:pt>
                <c:pt idx="9">
                  <c:v>97748827521.291382</c:v>
                </c:pt>
                <c:pt idx="10">
                  <c:v>95004181427.183823</c:v>
                </c:pt>
                <c:pt idx="11">
                  <c:v>92186170208.630066</c:v>
                </c:pt>
                <c:pt idx="12">
                  <c:v>89293752789.921066</c:v>
                </c:pt>
                <c:pt idx="13">
                  <c:v>86325892740.166214</c:v>
                </c:pt>
                <c:pt idx="14">
                  <c:v>83281560110.795258</c:v>
                </c:pt>
                <c:pt idx="15">
                  <c:v>80159733396.814194</c:v>
                </c:pt>
                <c:pt idx="16">
                  <c:v>76959401626.893661</c:v>
                </c:pt>
                <c:pt idx="17">
                  <c:v>73679566587.394745</c:v>
                </c:pt>
                <c:pt idx="18">
                  <c:v>70319245185.35022</c:v>
                </c:pt>
                <c:pt idx="19">
                  <c:v>66877471955.396873</c:v>
                </c:pt>
                <c:pt idx="20">
                  <c:v>63353301715.542442</c:v>
                </c:pt>
                <c:pt idx="21">
                  <c:v>59745812376.500282</c:v>
                </c:pt>
                <c:pt idx="22">
                  <c:v>56054107909.143814</c:v>
                </c:pt>
                <c:pt idx="23">
                  <c:v>52277321474.411942</c:v>
                </c:pt>
                <c:pt idx="24">
                  <c:v>48414618719.731392</c:v>
                </c:pt>
                <c:pt idx="25">
                  <c:v>44465201245.629593</c:v>
                </c:pt>
                <c:pt idx="26">
                  <c:v>40428310245.881752</c:v>
                </c:pt>
                <c:pt idx="27">
                  <c:v>36303230324.016571</c:v>
                </c:pt>
                <c:pt idx="28">
                  <c:v>32089293488.521645</c:v>
                </c:pt>
                <c:pt idx="29">
                  <c:v>27785883328.429256</c:v>
                </c:pt>
                <c:pt idx="30">
                  <c:v>23392439370.295841</c:v>
                </c:pt>
                <c:pt idx="31">
                  <c:v>18908461616.837627</c:v>
                </c:pt>
                <c:pt idx="32">
                  <c:v>14333515266.556002</c:v>
                </c:pt>
                <c:pt idx="33">
                  <c:v>9667235612.771698</c:v>
                </c:pt>
                <c:pt idx="34">
                  <c:v>4909333119.4101219</c:v>
                </c:pt>
                <c:pt idx="35">
                  <c:v>59598669.701467797</c:v>
                </c:pt>
                <c:pt idx="36">
                  <c:v>-4882091017.3191366</c:v>
                </c:pt>
                <c:pt idx="37">
                  <c:v>-9915767808.990963</c:v>
                </c:pt>
                <c:pt idx="38">
                  <c:v>-15041366427.894852</c:v>
                </c:pt>
                <c:pt idx="39">
                  <c:v>-20258718577.021278</c:v>
                </c:pt>
                <c:pt idx="40">
                  <c:v>-25567546932.594162</c:v>
                </c:pt>
                <c:pt idx="41">
                  <c:v>-30967459017.72649</c:v>
                </c:pt>
                <c:pt idx="42">
                  <c:v>-36457940972.096794</c:v>
                </c:pt>
                <c:pt idx="43">
                  <c:v>-42038351234.829674</c:v>
                </c:pt>
                <c:pt idx="44">
                  <c:v>-47707914160.021935</c:v>
                </c:pt>
                <c:pt idx="45">
                  <c:v>-53465713586.595627</c:v>
                </c:pt>
                <c:pt idx="46">
                  <c:v>-59310686386.434845</c:v>
                </c:pt>
                <c:pt idx="47">
                  <c:v>-65241616017.393036</c:v>
                </c:pt>
                <c:pt idx="48">
                  <c:v>-71257126110.030411</c:v>
                </c:pt>
                <c:pt idx="49">
                  <c:v>-77355674119.687576</c:v>
                </c:pt>
                <c:pt idx="50">
                  <c:v>-83535545077.91951</c:v>
                </c:pt>
                <c:pt idx="51">
                  <c:v>-89794845479.984879</c:v>
                </c:pt>
                <c:pt idx="52">
                  <c:v>-96131497347.631241</c:v>
                </c:pt>
                <c:pt idx="53">
                  <c:v>-102543232508.86182</c:v>
                </c:pt>
                <c:pt idx="54">
                  <c:v>-109027587138.91803</c:v>
                </c:pt>
                <c:pt idx="55">
                  <c:v>-115581896608.89734</c:v>
                </c:pt>
                <c:pt idx="56">
                  <c:v>-122203290690.72212</c:v>
                </c:pt>
                <c:pt idx="57">
                  <c:v>-128888689169.03767</c:v>
                </c:pt>
                <c:pt idx="58">
                  <c:v>-135634797912.47374</c:v>
                </c:pt>
                <c:pt idx="59">
                  <c:v>-142438105458.08658</c:v>
                </c:pt>
                <c:pt idx="60">
                  <c:v>-149294880164.00812</c:v>
                </c:pt>
                <c:pt idx="61">
                  <c:v>-156201167986.09824</c:v>
                </c:pt>
                <c:pt idx="62">
                  <c:v>-163152790934.74054</c:v>
                </c:pt>
                <c:pt idx="63">
                  <c:v>-170145346267.85803</c:v>
                </c:pt>
                <c:pt idx="64">
                  <c:v>-177174206475.59933</c:v>
                </c:pt>
                <c:pt idx="65">
                  <c:v>-184234520110.97812</c:v>
                </c:pt>
                <c:pt idx="66">
                  <c:v>-191321213519.02509</c:v>
                </c:pt>
                <c:pt idx="67">
                  <c:v>-198428993514.53259</c:v>
                </c:pt>
                <c:pt idx="68">
                  <c:v>-205552351055.52295</c:v>
                </c:pt>
                <c:pt idx="69">
                  <c:v>-212685565955.68674</c:v>
                </c:pt>
                <c:pt idx="70">
                  <c:v>-219822712674.64737</c:v>
                </c:pt>
                <c:pt idx="71">
                  <c:v>-226957667219.62143</c:v>
                </c:pt>
                <c:pt idx="72">
                  <c:v>-234084115186.17035</c:v>
                </c:pt>
                <c:pt idx="73">
                  <c:v>-241195560958.97803</c:v>
                </c:pt>
                <c:pt idx="74">
                  <c:v>-248285338086.31128</c:v>
                </c:pt>
                <c:pt idx="75">
                  <c:v>-255346620833.67505</c:v>
                </c:pt>
                <c:pt idx="76">
                  <c:v>-262372436913.54572</c:v>
                </c:pt>
                <c:pt idx="77">
                  <c:v>-269355681378.79932</c:v>
                </c:pt>
                <c:pt idx="78">
                  <c:v>-276289131657.69226</c:v>
                </c:pt>
                <c:pt idx="79">
                  <c:v>-283165463698.08179</c:v>
                </c:pt>
                <c:pt idx="80">
                  <c:v>-289977269178.10413</c:v>
                </c:pt>
                <c:pt idx="81">
                  <c:v>-296717073729.81226</c:v>
                </c:pt>
                <c:pt idx="82">
                  <c:v>-303377356111.54504</c:v>
                </c:pt>
                <c:pt idx="83">
                  <c:v>-309950568254.02966</c:v>
                </c:pt>
                <c:pt idx="84">
                  <c:v>-316429156094.7373</c:v>
                </c:pt>
                <c:pt idx="85">
                  <c:v>-322805581104.81696</c:v>
                </c:pt>
                <c:pt idx="86">
                  <c:v>-329072342403.18463</c:v>
                </c:pt>
                <c:pt idx="87">
                  <c:v>-335221999343.39203</c:v>
                </c:pt>
                <c:pt idx="88">
                  <c:v>-341247194450.54126</c:v>
                </c:pt>
                <c:pt idx="89">
                  <c:v>-347140676578.27728</c:v>
                </c:pt>
                <c:pt idx="90">
                  <c:v>-352895324149.61536</c:v>
                </c:pt>
                <c:pt idx="91">
                  <c:v>-358504168340.35657</c:v>
                </c:pt>
                <c:pt idx="92">
                  <c:v>-363960416060.15979</c:v>
                </c:pt>
                <c:pt idx="93">
                  <c:v>-369257472584.04291</c:v>
                </c:pt>
                <c:pt idx="94">
                  <c:v>-374388963686.36127</c:v>
                </c:pt>
                <c:pt idx="95">
                  <c:v>-379348757130.04138</c:v>
                </c:pt>
                <c:pt idx="96">
                  <c:v>-384130983366.31586</c:v>
                </c:pt>
                <c:pt idx="97">
                  <c:v>-388730055304.09613</c:v>
                </c:pt>
                <c:pt idx="98">
                  <c:v>-393140687013.7926</c:v>
                </c:pt>
                <c:pt idx="99">
                  <c:v>-397357911237.40308</c:v>
                </c:pt>
                <c:pt idx="100" formatCode="General">
                  <c:v>-401377095585.35663</c:v>
                </c:pt>
              </c:numCache>
            </c:numRef>
          </c:xVal>
          <c:yVal>
            <c:numRef>
              <c:f>RPlot!$W$4:$W$104</c:f>
              <c:numCache>
                <c:formatCode>0.00E+00</c:formatCode>
                <c:ptCount val="101"/>
                <c:pt idx="0">
                  <c:v>2.2766744223190472E-7</c:v>
                </c:pt>
                <c:pt idx="1">
                  <c:v>-6354096.9928152328</c:v>
                </c:pt>
                <c:pt idx="2">
                  <c:v>-12810269.200776357</c:v>
                </c:pt>
                <c:pt idx="3">
                  <c:v>-19369383.280181151</c:v>
                </c:pt>
                <c:pt idx="4">
                  <c:v>-26032280.299919773</c:v>
                </c:pt>
                <c:pt idx="5">
                  <c:v>-32799772.947466101</c:v>
                </c:pt>
                <c:pt idx="6">
                  <c:v>-39672642.583446361</c:v>
                </c:pt>
                <c:pt idx="7">
                  <c:v>-46651636.139540702</c:v>
                </c:pt>
                <c:pt idx="8">
                  <c:v>-53737462.854323827</c:v>
                </c:pt>
                <c:pt idx="9">
                  <c:v>-60930790.841812827</c:v>
                </c:pt>
                <c:pt idx="10">
                  <c:v>-68232243.487524346</c:v>
                </c:pt>
                <c:pt idx="11">
                  <c:v>-75642395.667045474</c:v>
                </c:pt>
                <c:pt idx="12">
                  <c:v>-83161769.782189459</c:v>
                </c:pt>
                <c:pt idx="13">
                  <c:v>-90790831.6101446</c:v>
                </c:pt>
                <c:pt idx="14">
                  <c:v>-98529985.96121037</c:v>
                </c:pt>
                <c:pt idx="15">
                  <c:v>-106379572.14104825</c:v>
                </c:pt>
                <c:pt idx="16">
                  <c:v>-114339859.21378574</c:v>
                </c:pt>
                <c:pt idx="17">
                  <c:v>-122411041.06266344</c:v>
                </c:pt>
                <c:pt idx="18">
                  <c:v>-130593231.24555461</c:v>
                </c:pt>
                <c:pt idx="19">
                  <c:v>-138886457.64315489</c:v>
                </c:pt>
                <c:pt idx="20">
                  <c:v>-147290656.89832976</c:v>
                </c:pt>
                <c:pt idx="21">
                  <c:v>-155805668.64587632</c:v>
                </c:pt>
                <c:pt idx="22">
                  <c:v>-164431229.53278792</c:v>
                </c:pt>
                <c:pt idx="23">
                  <c:v>-173166967.03002021</c:v>
                </c:pt>
                <c:pt idx="24">
                  <c:v>-182012393.03775489</c:v>
                </c:pt>
                <c:pt idx="25">
                  <c:v>-190966897.28743047</c:v>
                </c:pt>
                <c:pt idx="26">
                  <c:v>-200029740.54490525</c:v>
                </c:pt>
                <c:pt idx="27">
                  <c:v>-209200047.62061945</c:v>
                </c:pt>
                <c:pt idx="28">
                  <c:v>-218476800.1940127</c:v>
                </c:pt>
                <c:pt idx="29">
                  <c:v>-227858829.46118525</c:v>
                </c:pt>
                <c:pt idx="30">
                  <c:v>-237344808.61650482</c:v>
                </c:pt>
                <c:pt idx="31">
                  <c:v>-246933245.18069851</c:v>
                </c:pt>
                <c:pt idx="32">
                  <c:v>-256622473.19013536</c:v>
                </c:pt>
                <c:pt idx="33">
                  <c:v>-266410645.26407766</c:v>
                </c:pt>
                <c:pt idx="34">
                  <c:v>-276295724.56902176</c:v>
                </c:pt>
                <c:pt idx="35">
                  <c:v>-286275476.70172697</c:v>
                </c:pt>
                <c:pt idx="36">
                  <c:v>-296347461.51513416</c:v>
                </c:pt>
                <c:pt idx="37">
                  <c:v>-306509024.91404909</c:v>
                </c:pt>
                <c:pt idx="38">
                  <c:v>-316757290.65038592</c:v>
                </c:pt>
                <c:pt idx="39">
                  <c:v>-327089152.15071195</c:v>
                </c:pt>
                <c:pt idx="40">
                  <c:v>-337501264.41194105</c:v>
                </c:pt>
                <c:pt idx="41">
                  <c:v>-347990036.00414562</c:v>
                </c:pt>
                <c:pt idx="42">
                  <c:v>-358551621.22282571</c:v>
                </c:pt>
                <c:pt idx="43">
                  <c:v>-369181912.43613309</c:v>
                </c:pt>
                <c:pt idx="44">
                  <c:v>-379876532.67607695</c:v>
                </c:pt>
                <c:pt idx="45">
                  <c:v>-390630828.52602565</c:v>
                </c:pt>
                <c:pt idx="46">
                  <c:v>-401439863.36001569</c:v>
                </c:pt>
                <c:pt idx="47">
                  <c:v>-412298410.993029</c:v>
                </c:pt>
                <c:pt idx="48">
                  <c:v>-423200949.80417538</c:v>
                </c:pt>
                <c:pt idx="49">
                  <c:v>-434141657.39815551</c:v>
                </c:pt>
                <c:pt idx="50">
                  <c:v>-445114405.8729831</c:v>
                </c:pt>
                <c:pt idx="51">
                  <c:v>-456112757.76477128</c:v>
                </c:pt>
                <c:pt idx="52">
                  <c:v>-467129962.74274093</c:v>
                </c:pt>
                <c:pt idx="53">
                  <c:v>-478158955.12953192</c:v>
                </c:pt>
                <c:pt idx="54">
                  <c:v>-489192352.32373905</c:v>
                </c:pt>
                <c:pt idx="55">
                  <c:v>-500222454.20254028</c:v>
                </c:pt>
                <c:pt idx="56">
                  <c:v>-511241243.58315569</c:v>
                </c:pt>
                <c:pt idx="57">
                  <c:v>-522240387.82172859</c:v>
                </c:pt>
                <c:pt idx="58">
                  <c:v>-533211241.6278035</c:v>
                </c:pt>
                <c:pt idx="59">
                  <c:v>-544144851.1710968</c:v>
                </c:pt>
                <c:pt idx="60">
                  <c:v>-555031959.55523109</c:v>
                </c:pt>
                <c:pt idx="61">
                  <c:v>-565863013.73011458</c:v>
                </c:pt>
                <c:pt idx="62">
                  <c:v>-576628172.91072607</c:v>
                </c:pt>
                <c:pt idx="63">
                  <c:v>-587317318.56527781</c:v>
                </c:pt>
                <c:pt idx="64">
                  <c:v>-597920066.02984643</c:v>
                </c:pt>
                <c:pt idx="65">
                  <c:v>-608425777.7996608</c:v>
                </c:pt>
                <c:pt idx="66">
                  <c:v>-618823578.539325</c:v>
                </c:pt>
                <c:pt idx="67">
                  <c:v>-629102371.84508634</c:v>
                </c:pt>
                <c:pt idx="68">
                  <c:v>-639250858.78229833</c:v>
                </c:pt>
                <c:pt idx="69">
                  <c:v>-649257558.20985556</c:v>
                </c:pt>
                <c:pt idx="70">
                  <c:v>-659110828.8912766</c:v>
                </c:pt>
                <c:pt idx="71">
                  <c:v>-668798893.37878776</c:v>
                </c:pt>
                <c:pt idx="72">
                  <c:v>-678309863.64273155</c:v>
                </c:pt>
                <c:pt idx="73">
                  <c:v>-687631768.40354586</c:v>
                </c:pt>
                <c:pt idx="74">
                  <c:v>-696752582.1080265</c:v>
                </c:pt>
                <c:pt idx="75">
                  <c:v>-705660255.47522211</c:v>
                </c:pt>
                <c:pt idx="76">
                  <c:v>-714342747.52070522</c:v>
                </c:pt>
                <c:pt idx="77">
                  <c:v>-722788058.95102441</c:v>
                </c:pt>
                <c:pt idx="78">
                  <c:v>-730984266.80315351</c:v>
                </c:pt>
                <c:pt idx="79">
                  <c:v>-738919560.18690848</c:v>
                </c:pt>
                <c:pt idx="80">
                  <c:v>-746582276.97186065</c:v>
                </c:pt>
                <c:pt idx="81">
                  <c:v>-753960941.24437356</c:v>
                </c:pt>
                <c:pt idx="82">
                  <c:v>-761044301.34543431</c:v>
                </c:pt>
                <c:pt idx="83">
                  <c:v>-767821368.28596151</c:v>
                </c:pt>
                <c:pt idx="84">
                  <c:v>-774281454.32375896</c:v>
                </c:pt>
                <c:pt idx="85">
                  <c:v>-780414211.4752717</c:v>
                </c:pt>
                <c:pt idx="86">
                  <c:v>-786209669.72607255</c:v>
                </c:pt>
                <c:pt idx="87">
                  <c:v>-791658274.69696784</c:v>
                </c:pt>
                <c:pt idx="88">
                  <c:v>-796750924.51758671</c:v>
                </c:pt>
                <c:pt idx="89">
                  <c:v>-801479005.65688932</c:v>
                </c:pt>
                <c:pt idx="90">
                  <c:v>-805834427.46001697</c:v>
                </c:pt>
                <c:pt idx="91">
                  <c:v>-809809655.14361119</c:v>
                </c:pt>
                <c:pt idx="92">
                  <c:v>-813397741.00714111</c:v>
                </c:pt>
                <c:pt idx="93">
                  <c:v>-816592353.62592828</c:v>
                </c:pt>
                <c:pt idx="94">
                  <c:v>-819387804.80247772</c:v>
                </c:pt>
                <c:pt idx="95">
                  <c:v>-821779074.06626737</c:v>
                </c:pt>
                <c:pt idx="96">
                  <c:v>-823761830.52834034</c:v>
                </c:pt>
                <c:pt idx="97">
                  <c:v>-825332451.91555619</c:v>
                </c:pt>
                <c:pt idx="98">
                  <c:v>-826488040.63020825</c:v>
                </c:pt>
                <c:pt idx="99">
                  <c:v>-827226436.70344007</c:v>
                </c:pt>
                <c:pt idx="100" formatCode="General">
                  <c:v>-827546227.53543866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8C7-4418-B7BE-0E4200C695E5}"/>
            </c:ext>
          </c:extLst>
        </c:ser>
        <c:ser>
          <c:idx val="4"/>
          <c:order val="6"/>
          <c:tx>
            <c:strRef>
              <c:f>RPlot!$Q$2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RPlot!$Q$4:$Q$104</c:f>
              <c:numCache>
                <c:formatCode>0.00E+00</c:formatCode>
                <c:ptCount val="101"/>
                <c:pt idx="0">
                  <c:v>133533011460.68286</c:v>
                </c:pt>
                <c:pt idx="1">
                  <c:v>135772263872.89291</c:v>
                </c:pt>
                <c:pt idx="2">
                  <c:v>137929732279.88449</c:v>
                </c:pt>
                <c:pt idx="3">
                  <c:v>140005200542.07349</c:v>
                </c:pt>
                <c:pt idx="4">
                  <c:v>141998366571.77408</c:v>
                </c:pt>
                <c:pt idx="5">
                  <c:v>143908840532.32199</c:v>
                </c:pt>
                <c:pt idx="6">
                  <c:v>145736142921.60416</c:v>
                </c:pt>
                <c:pt idx="7">
                  <c:v>147479702534.4389</c:v>
                </c:pt>
                <c:pt idx="8">
                  <c:v>149138854298.6492</c:v>
                </c:pt>
                <c:pt idx="9">
                  <c:v>150712836979.90897</c:v>
                </c:pt>
                <c:pt idx="10">
                  <c:v>152200790750.7901</c:v>
                </c:pt>
                <c:pt idx="11">
                  <c:v>153601754619.74994</c:v>
                </c:pt>
                <c:pt idx="12">
                  <c:v>154914663716.23257</c:v>
                </c:pt>
                <c:pt idx="13">
                  <c:v>156138346428.43488</c:v>
                </c:pt>
                <c:pt idx="14">
                  <c:v>157271521390.85022</c:v>
                </c:pt>
                <c:pt idx="15">
                  <c:v>158312794319.23172</c:v>
                </c:pt>
                <c:pt idx="16">
                  <c:v>159260654691.29453</c:v>
                </c:pt>
                <c:pt idx="17">
                  <c:v>160113472272.26437</c:v>
                </c:pt>
                <c:pt idx="18">
                  <c:v>160869493485.22971</c:v>
                </c:pt>
                <c:pt idx="19">
                  <c:v>161526837627.34833</c:v>
                </c:pt>
                <c:pt idx="20">
                  <c:v>162083492934.08777</c:v>
                </c:pt>
                <c:pt idx="21">
                  <c:v>162537312495.12949</c:v>
                </c:pt>
                <c:pt idx="22">
                  <c:v>162886010027.11783</c:v>
                </c:pt>
                <c:pt idx="23">
                  <c:v>163127155510.30768</c:v>
                </c:pt>
                <c:pt idx="24">
                  <c:v>163258170698.26605</c:v>
                </c:pt>
                <c:pt idx="25">
                  <c:v>163276324512.22385</c:v>
                </c:pt>
                <c:pt idx="26">
                  <c:v>163178728334.45557</c:v>
                </c:pt>
                <c:pt idx="27">
                  <c:v>162962331218.24185</c:v>
                </c:pt>
                <c:pt idx="28">
                  <c:v>162623915035.59647</c:v>
                </c:pt>
                <c:pt idx="29">
                  <c:v>162160089588.06033</c:v>
                </c:pt>
                <c:pt idx="30">
                  <c:v>161567287710.53873</c:v>
                </c:pt>
                <c:pt idx="31">
                  <c:v>160841760403.45154</c:v>
                </c:pt>
                <c:pt idx="32">
                  <c:v>159979572034.44876</c:v>
                </c:pt>
                <c:pt idx="33">
                  <c:v>158976595657.67444</c:v>
                </c:pt>
                <c:pt idx="34">
                  <c:v>157828508506.1373</c:v>
                </c:pt>
                <c:pt idx="35">
                  <c:v>156530787721.24353</c:v>
                </c:pt>
                <c:pt idx="36">
                  <c:v>155078706393.03088</c:v>
                </c:pt>
                <c:pt idx="37">
                  <c:v>153467329995.25885</c:v>
                </c:pt>
                <c:pt idx="38">
                  <c:v>151691513311.28668</c:v>
                </c:pt>
                <c:pt idx="39">
                  <c:v>149745897959.72842</c:v>
                </c:pt>
                <c:pt idx="40">
                  <c:v>147624910643.3493</c:v>
                </c:pt>
                <c:pt idx="41">
                  <c:v>145322762260.58191</c:v>
                </c:pt>
                <c:pt idx="42">
                  <c:v>142833448036.47455</c:v>
                </c:pt>
                <c:pt idx="43">
                  <c:v>140150748849.0423</c:v>
                </c:pt>
                <c:pt idx="44">
                  <c:v>137268233947.7034</c:v>
                </c:pt>
                <c:pt idx="45">
                  <c:v>134179265282.99229</c:v>
                </c:pt>
                <c:pt idx="46">
                  <c:v>130877003690.95667</c:v>
                </c:pt>
                <c:pt idx="47">
                  <c:v>127354417201.45905</c:v>
                </c:pt>
                <c:pt idx="48">
                  <c:v>123604291767.09676</c:v>
                </c:pt>
                <c:pt idx="49">
                  <c:v>119619244738.31543</c:v>
                </c:pt>
                <c:pt idx="50">
                  <c:v>115391741440.29382</c:v>
                </c:pt>
                <c:pt idx="51">
                  <c:v>110914115238.13634</c:v>
                </c:pt>
                <c:pt idx="52">
                  <c:v>106178591508.08461</c:v>
                </c:pt>
                <c:pt idx="53">
                  <c:v>101177315963.57155</c:v>
                </c:pt>
                <c:pt idx="54">
                  <c:v>95902387814.863327</c:v>
                </c:pt>
                <c:pt idx="55">
                  <c:v>90345898269.099396</c:v>
                </c:pt>
                <c:pt idx="56">
                  <c:v>84499974902.328735</c:v>
                </c:pt>
                <c:pt idx="57">
                  <c:v>78356832455.224487</c:v>
                </c:pt>
                <c:pt idx="58">
                  <c:v>71908830617.81012</c:v>
                </c:pt>
                <c:pt idx="59">
                  <c:v>65148539373.662086</c:v>
                </c:pt>
                <c:pt idx="60">
                  <c:v>58068812468.099777</c:v>
                </c:pt>
                <c:pt idx="61">
                  <c:v>50662869545.23996</c:v>
                </c:pt>
                <c:pt idx="62">
                  <c:v>42924387462.096992</c:v>
                </c:pt>
                <c:pt idx="63">
                  <c:v>34847601230.797966</c:v>
                </c:pt>
                <c:pt idx="64">
                  <c:v>26427414958.471695</c:v>
                </c:pt>
                <c:pt idx="65">
                  <c:v>17659523044.44799</c:v>
                </c:pt>
                <c:pt idx="66">
                  <c:v>8540541751.7085018</c:v>
                </c:pt>
                <c:pt idx="67">
                  <c:v>-931848910.12118065</c:v>
                </c:pt>
                <c:pt idx="68">
                  <c:v>-10758753273.73645</c:v>
                </c:pt>
                <c:pt idx="69">
                  <c:v>-20939898624.187096</c:v>
                </c:pt>
                <c:pt idx="70">
                  <c:v>-31473465192.213497</c:v>
                </c:pt>
                <c:pt idx="71">
                  <c:v>-42355908755.834549</c:v>
                </c:pt>
                <c:pt idx="72">
                  <c:v>-53581777487.111366</c:v>
                </c:pt>
                <c:pt idx="73">
                  <c:v>-65143525140.520668</c:v>
                </c:pt>
                <c:pt idx="74">
                  <c:v>-77031323181.300369</c:v>
                </c:pt>
                <c:pt idx="75">
                  <c:v>-89232874988.657898</c:v>
                </c:pt>
                <c:pt idx="76">
                  <c:v>-101733235827.28857</c:v>
                </c:pt>
                <c:pt idx="77">
                  <c:v>-114514642845.32327</c:v>
                </c:pt>
                <c:pt idx="78">
                  <c:v>-127556359905.68951</c:v>
                </c:pt>
                <c:pt idx="79">
                  <c:v>-140834542565.30655</c:v>
                </c:pt>
                <c:pt idx="80">
                  <c:v>-154322128950.88986</c:v>
                </c:pt>
                <c:pt idx="81">
                  <c:v>-167988762606.79272</c:v>
                </c:pt>
                <c:pt idx="82">
                  <c:v>-181800753570.32019</c:v>
                </c:pt>
                <c:pt idx="83">
                  <c:v>-195721083923.88937</c:v>
                </c:pt>
                <c:pt idx="84">
                  <c:v>-209709463841.61081</c:v>
                </c:pt>
                <c:pt idx="85">
                  <c:v>-223722443655.00507</c:v>
                </c:pt>
                <c:pt idx="86">
                  <c:v>-237713586679.30402</c:v>
                </c:pt>
                <c:pt idx="87">
                  <c:v>-251633706449.99664</c:v>
                </c:pt>
                <c:pt idx="88">
                  <c:v>-265431170614.22296</c:v>
                </c:pt>
                <c:pt idx="89">
                  <c:v>-279052272016.62823</c:v>
                </c:pt>
                <c:pt idx="90">
                  <c:v>-292441665548.10339</c:v>
                </c:pt>
                <c:pt idx="91">
                  <c:v>-305542867143.38751</c:v>
                </c:pt>
                <c:pt idx="92">
                  <c:v>-318298808998.2309</c:v>
                </c:pt>
                <c:pt idx="93">
                  <c:v>-330652442725.97131</c:v>
                </c:pt>
                <c:pt idx="94">
                  <c:v>-342547379901.81293</c:v>
                </c:pt>
                <c:pt idx="95">
                  <c:v>-353928557375.34381</c:v>
                </c:pt>
                <c:pt idx="96">
                  <c:v>-364742912995.2655</c:v>
                </c:pt>
                <c:pt idx="97">
                  <c:v>-374940056105.34625</c:v>
                </c:pt>
                <c:pt idx="98">
                  <c:v>-384472916441.05139</c:v>
                </c:pt>
                <c:pt idx="99">
                  <c:v>-393298354959.73981</c:v>
                </c:pt>
                <c:pt idx="100" formatCode="General">
                  <c:v>-401377720717.01642</c:v>
                </c:pt>
              </c:numCache>
            </c:numRef>
          </c:xVal>
          <c:yVal>
            <c:numRef>
              <c:f>RPlot!$S$4:$S$104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8C7-4418-B7BE-0E4200C69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Δ</a:t>
            </a:r>
            <a:r>
              <a:rPr lang="en-US"/>
              <a:t>v (total) for Plane</a:t>
            </a:r>
            <a:r>
              <a:rPr lang="en-US" baseline="0"/>
              <a:t> Change Type</a:t>
            </a:r>
            <a:endParaRPr lang="en-US"/>
          </a:p>
        </c:rich>
      </c:tx>
      <c:layout>
        <c:manualLayout>
          <c:xMode val="edge"/>
          <c:yMode val="edge"/>
          <c:x val="0.16419006586440846"/>
          <c:y val="5.43109184617779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RPlot!$AK$3:$AK$6</c:f>
              <c:strCache>
                <c:ptCount val="4"/>
                <c:pt idx="0">
                  <c:v>Direct</c:v>
                </c:pt>
                <c:pt idx="1">
                  <c:v>90°</c:v>
                </c:pt>
                <c:pt idx="2">
                  <c:v>AN</c:v>
                </c:pt>
                <c:pt idx="3">
                  <c:v>DN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RPlot!$AK$3:$AK$6</c:f>
              <c:strCache>
                <c:ptCount val="4"/>
                <c:pt idx="0">
                  <c:v>Direct</c:v>
                </c:pt>
                <c:pt idx="1">
                  <c:v>90°</c:v>
                </c:pt>
                <c:pt idx="2">
                  <c:v>AN</c:v>
                </c:pt>
                <c:pt idx="3">
                  <c:v>DN</c:v>
                </c:pt>
              </c:strCache>
            </c:strRef>
          </c:cat>
          <c:val>
            <c:numRef>
              <c:f>RPlot!$AO$3:$AO$6</c:f>
              <c:numCache>
                <c:formatCode>0.0</c:formatCode>
                <c:ptCount val="4"/>
                <c:pt idx="1">
                  <c:v>9961.563798679108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C-478D-B466-1B03CB4DDCC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Optimum Transfer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RPlot!$AK$7</c:f>
              <c:strCache>
                <c:ptCount val="1"/>
                <c:pt idx="0">
                  <c:v>Optimum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RPlot!$AL$2:$AO$2</c:f>
              <c:strCache>
                <c:ptCount val="4"/>
                <c:pt idx="0">
                  <c:v>Vi</c:v>
                </c:pt>
                <c:pt idx="1">
                  <c:v>Vp</c:v>
                </c:pt>
                <c:pt idx="2">
                  <c:v>Vc</c:v>
                </c:pt>
                <c:pt idx="3">
                  <c:v>Vt</c:v>
                </c:pt>
              </c:strCache>
            </c:strRef>
          </c:cat>
          <c:val>
            <c:numRef>
              <c:f>RPlot!$AL$7:$AO$7</c:f>
              <c:numCache>
                <c:formatCode>0.0</c:formatCode>
                <c:ptCount val="4"/>
                <c:pt idx="0">
                  <c:v>5304.1919882103612</c:v>
                </c:pt>
                <c:pt idx="1">
                  <c:v>42.457581594217409</c:v>
                </c:pt>
                <c:pt idx="2">
                  <c:v>4614.9142288745297</c:v>
                </c:pt>
                <c:pt idx="3">
                  <c:v>9961.563798679108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9E-415B-952B-49866C184BF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Launch Window Plot (</a:t>
            </a:r>
            <a:r>
              <a:rPr lang="el-GR"/>
              <a:t>Δ</a:t>
            </a:r>
            <a:r>
              <a:rPr lang="en-US"/>
              <a:t>v [m/s])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1471801925722145E-2"/>
          <c:y val="0.17171296296296298"/>
          <c:w val="0.85162971547401145"/>
          <c:h val="0.62361876640419944"/>
        </c:manualLayout>
      </c:layout>
      <c:surfaceChart>
        <c:wireframe val="1"/>
        <c:ser>
          <c:idx val="0"/>
          <c:order val="0"/>
          <c:tx>
            <c:strRef>
              <c:f>RPlot!$EP$3</c:f>
              <c:strCache>
                <c:ptCount val="1"/>
                <c:pt idx="0">
                  <c:v>0y 143d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RPlot!$AT$3:$EO$3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2-4398-90F9-0635F73C17C7}"/>
            </c:ext>
          </c:extLst>
        </c:ser>
        <c:ser>
          <c:idx val="1"/>
          <c:order val="1"/>
          <c:tx>
            <c:strRef>
              <c:f>RPlot!$EP$4</c:f>
              <c:strCache>
                <c:ptCount val="1"/>
                <c:pt idx="0">
                  <c:v>0y 157d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RPlot!$AT$4:$EO$4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92-4398-90F9-0635F73C17C7}"/>
            </c:ext>
          </c:extLst>
        </c:ser>
        <c:ser>
          <c:idx val="2"/>
          <c:order val="2"/>
          <c:tx>
            <c:strRef>
              <c:f>RPlot!$EP$5</c:f>
              <c:strCache>
                <c:ptCount val="1"/>
                <c:pt idx="0">
                  <c:v>0y 171d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RPlot!$AT$5:$EO$5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92-4398-90F9-0635F73C17C7}"/>
            </c:ext>
          </c:extLst>
        </c:ser>
        <c:ser>
          <c:idx val="3"/>
          <c:order val="3"/>
          <c:tx>
            <c:strRef>
              <c:f>RPlot!$EP$6</c:f>
              <c:strCache>
                <c:ptCount val="1"/>
                <c:pt idx="0">
                  <c:v>0y 184d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RPlot!$AT$6:$EO$6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92-4398-90F9-0635F73C17C7}"/>
            </c:ext>
          </c:extLst>
        </c:ser>
        <c:ser>
          <c:idx val="4"/>
          <c:order val="4"/>
          <c:tx>
            <c:strRef>
              <c:f>RPlot!$EP$7</c:f>
              <c:strCache>
                <c:ptCount val="1"/>
                <c:pt idx="0">
                  <c:v>0y 198d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RPlot!$AT$7:$EO$7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92-4398-90F9-0635F73C17C7}"/>
            </c:ext>
          </c:extLst>
        </c:ser>
        <c:ser>
          <c:idx val="5"/>
          <c:order val="5"/>
          <c:tx>
            <c:strRef>
              <c:f>RPlot!$EP$8</c:f>
              <c:strCache>
                <c:ptCount val="1"/>
                <c:pt idx="0">
                  <c:v>0y 212d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RPlot!$AT$8:$EO$8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19494.636175681317</c:v>
                </c:pt>
                <c:pt idx="33">
                  <c:v>19277.987289058001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92-4398-90F9-0635F73C17C7}"/>
            </c:ext>
          </c:extLst>
        </c:ser>
        <c:ser>
          <c:idx val="6"/>
          <c:order val="6"/>
          <c:tx>
            <c:strRef>
              <c:f>RPlot!$EP$9</c:f>
              <c:strCache>
                <c:ptCount val="1"/>
                <c:pt idx="0">
                  <c:v>0y 226d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RPlot!$AT$9:$EO$9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19490.410476927213</c:v>
                </c:pt>
                <c:pt idx="32">
                  <c:v>18051.449224453707</c:v>
                </c:pt>
                <c:pt idx="33">
                  <c:v>18019.907383926431</c:v>
                </c:pt>
                <c:pt idx="34">
                  <c:v>19774.580633952472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92-4398-90F9-0635F73C17C7}"/>
            </c:ext>
          </c:extLst>
        </c:ser>
        <c:ser>
          <c:idx val="7"/>
          <c:order val="7"/>
          <c:tx>
            <c:strRef>
              <c:f>RPlot!$EP$10</c:f>
              <c:strCache>
                <c:ptCount val="1"/>
                <c:pt idx="0">
                  <c:v>0y 239d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RPlot!$AT$10:$EO$10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19062.109931816816</c:v>
                </c:pt>
                <c:pt idx="6">
                  <c:v>18599.70146052463</c:v>
                </c:pt>
                <c:pt idx="7">
                  <c:v>19621.405143535892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18091.690797662573</c:v>
                </c:pt>
                <c:pt idx="32">
                  <c:v>16825.99692609219</c:v>
                </c:pt>
                <c:pt idx="33">
                  <c:v>16946.170701501662</c:v>
                </c:pt>
                <c:pt idx="34">
                  <c:v>18800.553061237631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92-4398-90F9-0635F73C17C7}"/>
            </c:ext>
          </c:extLst>
        </c:ser>
        <c:ser>
          <c:idx val="8"/>
          <c:order val="8"/>
          <c:tx>
            <c:strRef>
              <c:f>RPlot!$EP$11</c:f>
              <c:strCache>
                <c:ptCount val="1"/>
                <c:pt idx="0">
                  <c:v>0y 253d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RPlot!$AT$11:$EO$11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19132.347669266841</c:v>
                </c:pt>
                <c:pt idx="5">
                  <c:v>17608.47086117517</c:v>
                </c:pt>
                <c:pt idx="6">
                  <c:v>17385.045000726099</c:v>
                </c:pt>
                <c:pt idx="7">
                  <c:v>18552.37195528789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19008.65920829368</c:v>
                </c:pt>
                <c:pt idx="31">
                  <c:v>16915.412641800027</c:v>
                </c:pt>
                <c:pt idx="32">
                  <c:v>15779.182434637532</c:v>
                </c:pt>
                <c:pt idx="33">
                  <c:v>16024.886694557754</c:v>
                </c:pt>
                <c:pt idx="34">
                  <c:v>17963.525458120333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92-4398-90F9-0635F73C17C7}"/>
            </c:ext>
          </c:extLst>
        </c:ser>
        <c:ser>
          <c:idx val="9"/>
          <c:order val="9"/>
          <c:tx>
            <c:strRef>
              <c:f>RPlot!$EP$12</c:f>
              <c:strCache>
                <c:ptCount val="1"/>
                <c:pt idx="0">
                  <c:v>0y 267d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RPlot!$AT$12:$EO$12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19798.837283790919</c:v>
                </c:pt>
                <c:pt idx="4">
                  <c:v>17610.664470253418</c:v>
                </c:pt>
                <c:pt idx="5">
                  <c:v>16363.819726218178</c:v>
                </c:pt>
                <c:pt idx="6">
                  <c:v>16342.891126491941</c:v>
                </c:pt>
                <c:pt idx="7">
                  <c:v>17636.038209996797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17996.228779901881</c:v>
                </c:pt>
                <c:pt idx="31">
                  <c:v>15925.13478085044</c:v>
                </c:pt>
                <c:pt idx="32">
                  <c:v>14881.340859242671</c:v>
                </c:pt>
                <c:pt idx="33">
                  <c:v>15231.625344436156</c:v>
                </c:pt>
                <c:pt idx="34">
                  <c:v>17241.846677475813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92-4398-90F9-0635F73C17C7}"/>
            </c:ext>
          </c:extLst>
        </c:ser>
        <c:ser>
          <c:idx val="10"/>
          <c:order val="10"/>
          <c:tx>
            <c:strRef>
              <c:f>RPlot!$EP$13</c:f>
              <c:strCache>
                <c:ptCount val="1"/>
                <c:pt idx="0">
                  <c:v>0y 281d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RPlot!$AT$13:$EO$13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18221.199047548107</c:v>
                </c:pt>
                <c:pt idx="4">
                  <c:v>16305.998272446082</c:v>
                </c:pt>
                <c:pt idx="5">
                  <c:v>15301.736852555725</c:v>
                </c:pt>
                <c:pt idx="6">
                  <c:v>15451.414100507212</c:v>
                </c:pt>
                <c:pt idx="7">
                  <c:v>16853.858304071524</c:v>
                </c:pt>
                <c:pt idx="8">
                  <c:v>19507.990864670574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18862.091909651597</c:v>
                </c:pt>
                <c:pt idx="30">
                  <c:v>16934.468572360605</c:v>
                </c:pt>
                <c:pt idx="31">
                  <c:v>15093.073392226084</c:v>
                </c:pt>
                <c:pt idx="32">
                  <c:v>14109.683226767735</c:v>
                </c:pt>
                <c:pt idx="33">
                  <c:v>14547.318559459007</c:v>
                </c:pt>
                <c:pt idx="34">
                  <c:v>16618.190807810694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19802.400613359932</c:v>
                </c:pt>
                <c:pt idx="57">
                  <c:v>19352.794089804538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92-4398-90F9-0635F73C17C7}"/>
            </c:ext>
          </c:extLst>
        </c:ser>
        <c:ser>
          <c:idx val="11"/>
          <c:order val="11"/>
          <c:tx>
            <c:strRef>
              <c:f>RPlot!$EP$14</c:f>
              <c:strCache>
                <c:ptCount val="1"/>
                <c:pt idx="0">
                  <c:v>0y 294d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RPlot!$AT$14:$EO$14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19227.038366840967</c:v>
                </c:pt>
                <c:pt idx="3">
                  <c:v>16861.336781857193</c:v>
                </c:pt>
                <c:pt idx="4">
                  <c:v>15202.376285589042</c:v>
                </c:pt>
                <c:pt idx="5">
                  <c:v>14404.833509679083</c:v>
                </c:pt>
                <c:pt idx="6">
                  <c:v>14695.110188863708</c:v>
                </c:pt>
                <c:pt idx="7">
                  <c:v>16191.344579885597</c:v>
                </c:pt>
                <c:pt idx="8">
                  <c:v>18898.119160810274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19683.186240865289</c:v>
                </c:pt>
                <c:pt idx="29">
                  <c:v>17709.26101230162</c:v>
                </c:pt>
                <c:pt idx="30">
                  <c:v>15910.010628539781</c:v>
                </c:pt>
                <c:pt idx="31">
                  <c:v>14398.270035205725</c:v>
                </c:pt>
                <c:pt idx="32">
                  <c:v>13446.437066919169</c:v>
                </c:pt>
                <c:pt idx="33">
                  <c:v>13956.767908036945</c:v>
                </c:pt>
                <c:pt idx="34">
                  <c:v>16078.357973075006</c:v>
                </c:pt>
                <c:pt idx="35">
                  <c:v>19678.102610071321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18654.661316749451</c:v>
                </c:pt>
                <c:pt idx="57">
                  <c:v>18366.666085047189</c:v>
                </c:pt>
                <c:pt idx="58">
                  <c:v>19754.775751579022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19684.236351519685</c:v>
                </c:pt>
                <c:pt idx="81">
                  <c:v>19952.301425014346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92-4398-90F9-0635F73C17C7}"/>
            </c:ext>
          </c:extLst>
        </c:ser>
        <c:ser>
          <c:idx val="12"/>
          <c:order val="12"/>
          <c:tx>
            <c:strRef>
              <c:f>RPlot!$EP$15</c:f>
              <c:strCache>
                <c:ptCount val="1"/>
                <c:pt idx="0">
                  <c:v>0y 308d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RPlot!$AT$15:$EO$15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17773.858967159875</c:v>
                </c:pt>
                <c:pt idx="3">
                  <c:v>15738.378915448866</c:v>
                </c:pt>
                <c:pt idx="4">
                  <c:v>14300.177148029255</c:v>
                </c:pt>
                <c:pt idx="5">
                  <c:v>13663.74548950699</c:v>
                </c:pt>
                <c:pt idx="6">
                  <c:v>14063.26380289474</c:v>
                </c:pt>
                <c:pt idx="7">
                  <c:v>15636.659119390277</c:v>
                </c:pt>
                <c:pt idx="8">
                  <c:v>18381.906222712831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18602.894200973817</c:v>
                </c:pt>
                <c:pt idx="29">
                  <c:v>16713.442003253298</c:v>
                </c:pt>
                <c:pt idx="30">
                  <c:v>15023.121550850701</c:v>
                </c:pt>
                <c:pt idx="31">
                  <c:v>13820.065754844472</c:v>
                </c:pt>
                <c:pt idx="32">
                  <c:v>12877.488148982811</c:v>
                </c:pt>
                <c:pt idx="33">
                  <c:v>13447.570481578725</c:v>
                </c:pt>
                <c:pt idx="34">
                  <c:v>15610.44520323172</c:v>
                </c:pt>
                <c:pt idx="35">
                  <c:v>19207.432079820646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19148.776323412018</c:v>
                </c:pt>
                <c:pt idx="56">
                  <c:v>17660.40354125225</c:v>
                </c:pt>
                <c:pt idx="57">
                  <c:v>17499.140686033639</c:v>
                </c:pt>
                <c:pt idx="58">
                  <c:v>18968.255226315188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18668.452613534908</c:v>
                </c:pt>
                <c:pt idx="81">
                  <c:v>19034.925452616553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92-4398-90F9-0635F73C17C7}"/>
            </c:ext>
          </c:extLst>
        </c:ser>
        <c:ser>
          <c:idx val="13"/>
          <c:order val="13"/>
          <c:tx>
            <c:strRef>
              <c:f>RPlot!$EP$16</c:f>
              <c:strCache>
                <c:ptCount val="1"/>
                <c:pt idx="0">
                  <c:v>0y 322d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RPlot!$AT$16:$EO$16</c:f>
              <c:numCache>
                <c:formatCode>0</c:formatCode>
                <c:ptCount val="100"/>
                <c:pt idx="0">
                  <c:v>20000</c:v>
                </c:pt>
                <c:pt idx="1">
                  <c:v>18698.959687794475</c:v>
                </c:pt>
                <c:pt idx="2">
                  <c:v>16594.341129779623</c:v>
                </c:pt>
                <c:pt idx="3">
                  <c:v>14866.229255292643</c:v>
                </c:pt>
                <c:pt idx="4">
                  <c:v>13621.740003513816</c:v>
                </c:pt>
                <c:pt idx="5">
                  <c:v>13076.943845092133</c:v>
                </c:pt>
                <c:pt idx="6">
                  <c:v>13548.841177142625</c:v>
                </c:pt>
                <c:pt idx="7">
                  <c:v>15179.636142183126</c:v>
                </c:pt>
                <c:pt idx="8">
                  <c:v>17946.219211833264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19060.338560950153</c:v>
                </c:pt>
                <c:pt idx="28">
                  <c:v>17677.281446038189</c:v>
                </c:pt>
                <c:pt idx="29">
                  <c:v>15856.065936153153</c:v>
                </c:pt>
                <c:pt idx="30">
                  <c:v>14257.107844938486</c:v>
                </c:pt>
                <c:pt idx="31">
                  <c:v>13155.401662433549</c:v>
                </c:pt>
                <c:pt idx="32">
                  <c:v>12391.377325159734</c:v>
                </c:pt>
                <c:pt idx="33">
                  <c:v>13009.342741389206</c:v>
                </c:pt>
                <c:pt idx="34">
                  <c:v>15204.280225906401</c:v>
                </c:pt>
                <c:pt idx="35">
                  <c:v>18790.675176627516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18202.555421165431</c:v>
                </c:pt>
                <c:pt idx="56">
                  <c:v>16800.029475355488</c:v>
                </c:pt>
                <c:pt idx="57">
                  <c:v>16733.279954065445</c:v>
                </c:pt>
                <c:pt idx="58">
                  <c:v>18266.579951648924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19087.641339823393</c:v>
                </c:pt>
                <c:pt idx="80">
                  <c:v>17769.023879926805</c:v>
                </c:pt>
                <c:pt idx="81">
                  <c:v>18214.713675468483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92-4398-90F9-0635F73C17C7}"/>
            </c:ext>
          </c:extLst>
        </c:ser>
        <c:ser>
          <c:idx val="14"/>
          <c:order val="14"/>
          <c:tx>
            <c:strRef>
              <c:f>RPlot!$EP$17</c:f>
              <c:strCache>
                <c:ptCount val="1"/>
                <c:pt idx="0">
                  <c:v>0y 336d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RPlot!$AT$17:$EO$17</c:f>
              <c:numCache>
                <c:formatCode>0</c:formatCode>
                <c:ptCount val="100"/>
                <c:pt idx="0">
                  <c:v>19690.621788595054</c:v>
                </c:pt>
                <c:pt idx="1">
                  <c:v>17551.780500655088</c:v>
                </c:pt>
                <c:pt idx="2">
                  <c:v>15686.447631322739</c:v>
                </c:pt>
                <c:pt idx="3">
                  <c:v>14097.14892467979</c:v>
                </c:pt>
                <c:pt idx="4">
                  <c:v>13041.81028808629</c:v>
                </c:pt>
                <c:pt idx="5">
                  <c:v>12651.458406786332</c:v>
                </c:pt>
                <c:pt idx="6">
                  <c:v>13147.790973968764</c:v>
                </c:pt>
                <c:pt idx="7">
                  <c:v>14811.208150588674</c:v>
                </c:pt>
                <c:pt idx="8">
                  <c:v>17579.202397020294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19398.534879774201</c:v>
                </c:pt>
                <c:pt idx="27">
                  <c:v>18107.242952806177</c:v>
                </c:pt>
                <c:pt idx="28">
                  <c:v>16890.062239083516</c:v>
                </c:pt>
                <c:pt idx="29">
                  <c:v>15121.962091793357</c:v>
                </c:pt>
                <c:pt idx="30">
                  <c:v>13598.358560148123</c:v>
                </c:pt>
                <c:pt idx="31">
                  <c:v>12581.682373831976</c:v>
                </c:pt>
                <c:pt idx="32">
                  <c:v>11978.555172843888</c:v>
                </c:pt>
                <c:pt idx="33">
                  <c:v>12633.166508941933</c:v>
                </c:pt>
                <c:pt idx="34">
                  <c:v>14851.045710460485</c:v>
                </c:pt>
                <c:pt idx="35">
                  <c:v>18419.137501182675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19323.725053368533</c:v>
                </c:pt>
                <c:pt idx="55">
                  <c:v>17433.015639083322</c:v>
                </c:pt>
                <c:pt idx="56">
                  <c:v>16058.160517300708</c:v>
                </c:pt>
                <c:pt idx="57">
                  <c:v>16055.661911753734</c:v>
                </c:pt>
                <c:pt idx="58">
                  <c:v>17638.810437367269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19644.425444606477</c:v>
                </c:pt>
                <c:pt idx="79">
                  <c:v>18110.435283281651</c:v>
                </c:pt>
                <c:pt idx="80">
                  <c:v>16970.715727972038</c:v>
                </c:pt>
                <c:pt idx="81">
                  <c:v>17479.378356124238</c:v>
                </c:pt>
                <c:pt idx="82">
                  <c:v>19605.985297513769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19784.593616610659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92-4398-90F9-0635F73C17C7}"/>
            </c:ext>
          </c:extLst>
        </c:ser>
        <c:ser>
          <c:idx val="15"/>
          <c:order val="15"/>
          <c:tx>
            <c:strRef>
              <c:f>RPlot!$EP$18</c:f>
              <c:strCache>
                <c:ptCount val="1"/>
                <c:pt idx="0">
                  <c:v>0y 349d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RPlot!$AT$18:$EO$18</c:f>
              <c:numCache>
                <c:formatCode>0</c:formatCode>
                <c:ptCount val="100"/>
                <c:pt idx="0">
                  <c:v>18647.584629478319</c:v>
                </c:pt>
                <c:pt idx="1">
                  <c:v>16590.795185717117</c:v>
                </c:pt>
                <c:pt idx="2">
                  <c:v>14923.944816398038</c:v>
                </c:pt>
                <c:pt idx="3">
                  <c:v>13456.67545290797</c:v>
                </c:pt>
                <c:pt idx="4">
                  <c:v>12528.430538584362</c:v>
                </c:pt>
                <c:pt idx="5">
                  <c:v>12388.630708295424</c:v>
                </c:pt>
                <c:pt idx="6">
                  <c:v>12858.820169366443</c:v>
                </c:pt>
                <c:pt idx="7">
                  <c:v>14523.231622346859</c:v>
                </c:pt>
                <c:pt idx="8">
                  <c:v>17270.317682928784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18781.09463019278</c:v>
                </c:pt>
                <c:pt idx="27">
                  <c:v>17346.750516114163</c:v>
                </c:pt>
                <c:pt idx="28">
                  <c:v>16227.694284415535</c:v>
                </c:pt>
                <c:pt idx="29">
                  <c:v>14498.553509844996</c:v>
                </c:pt>
                <c:pt idx="30">
                  <c:v>13035.594102877287</c:v>
                </c:pt>
                <c:pt idx="31">
                  <c:v>12089.144632505395</c:v>
                </c:pt>
                <c:pt idx="32">
                  <c:v>11630.8285779986</c:v>
                </c:pt>
                <c:pt idx="33">
                  <c:v>12311.202827434638</c:v>
                </c:pt>
                <c:pt idx="34">
                  <c:v>14543.036938290072</c:v>
                </c:pt>
                <c:pt idx="35">
                  <c:v>18085.457814743455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18346.36130296718</c:v>
                </c:pt>
                <c:pt idx="55">
                  <c:v>16684.342704113762</c:v>
                </c:pt>
                <c:pt idx="56">
                  <c:v>15423.011507188299</c:v>
                </c:pt>
                <c:pt idx="57">
                  <c:v>15455.662740279575</c:v>
                </c:pt>
                <c:pt idx="58">
                  <c:v>17076.146382794192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18521.989928058782</c:v>
                </c:pt>
                <c:pt idx="79">
                  <c:v>17155.279511825236</c:v>
                </c:pt>
                <c:pt idx="80">
                  <c:v>16261.847998665824</c:v>
                </c:pt>
                <c:pt idx="81">
                  <c:v>16819.285643389077</c:v>
                </c:pt>
                <c:pt idx="82">
                  <c:v>18987.954422957711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18746.370274649064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92-4398-90F9-0635F73C17C7}"/>
            </c:ext>
          </c:extLst>
        </c:ser>
        <c:ser>
          <c:idx val="16"/>
          <c:order val="16"/>
          <c:tx>
            <c:strRef>
              <c:f>RPlot!$EP$19</c:f>
              <c:strCache>
                <c:ptCount val="1"/>
                <c:pt idx="0">
                  <c:v>0y 363d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RPlot!$AT$19:$EO$19</c:f>
              <c:numCache>
                <c:formatCode>0</c:formatCode>
                <c:ptCount val="100"/>
                <c:pt idx="0">
                  <c:v>17776.529372810437</c:v>
                </c:pt>
                <c:pt idx="1">
                  <c:v>15794.631348860807</c:v>
                </c:pt>
                <c:pt idx="2">
                  <c:v>14296.825835728005</c:v>
                </c:pt>
                <c:pt idx="3">
                  <c:v>12935.945004994937</c:v>
                </c:pt>
                <c:pt idx="4">
                  <c:v>12118.576816639179</c:v>
                </c:pt>
                <c:pt idx="5">
                  <c:v>12076.537193246466</c:v>
                </c:pt>
                <c:pt idx="6">
                  <c:v>12683.789701245945</c:v>
                </c:pt>
                <c:pt idx="7">
                  <c:v>14308.664953651401</c:v>
                </c:pt>
                <c:pt idx="8">
                  <c:v>17010.474063447255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18309.761519823638</c:v>
                </c:pt>
                <c:pt idx="27">
                  <c:v>16749.279789296812</c:v>
                </c:pt>
                <c:pt idx="28">
                  <c:v>15678.656918758033</c:v>
                </c:pt>
                <c:pt idx="29">
                  <c:v>13975.194648530658</c:v>
                </c:pt>
                <c:pt idx="30">
                  <c:v>12559.257845050401</c:v>
                </c:pt>
                <c:pt idx="31">
                  <c:v>11669.428222136885</c:v>
                </c:pt>
                <c:pt idx="32">
                  <c:v>11340.957637110232</c:v>
                </c:pt>
                <c:pt idx="33">
                  <c:v>12036.44263062553</c:v>
                </c:pt>
                <c:pt idx="34">
                  <c:v>14273.508360305719</c:v>
                </c:pt>
                <c:pt idx="35">
                  <c:v>17783.424696674629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19399.681978901641</c:v>
                </c:pt>
                <c:pt idx="54">
                  <c:v>17460.352386077866</c:v>
                </c:pt>
                <c:pt idx="55">
                  <c:v>15889.869331167678</c:v>
                </c:pt>
                <c:pt idx="56">
                  <c:v>14885.94039651723</c:v>
                </c:pt>
                <c:pt idx="57">
                  <c:v>14924.910189399396</c:v>
                </c:pt>
                <c:pt idx="58">
                  <c:v>16571.462724196812</c:v>
                </c:pt>
                <c:pt idx="59">
                  <c:v>19641.760410094463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19457.809065928661</c:v>
                </c:pt>
                <c:pt idx="78">
                  <c:v>17512.456937169118</c:v>
                </c:pt>
                <c:pt idx="79">
                  <c:v>16294.766295075151</c:v>
                </c:pt>
                <c:pt idx="80">
                  <c:v>15633.598164435427</c:v>
                </c:pt>
                <c:pt idx="81">
                  <c:v>16226.882516298927</c:v>
                </c:pt>
                <c:pt idx="82">
                  <c:v>18434.19277609748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19984.894845129151</c:v>
                </c:pt>
                <c:pt idx="99">
                  <c:v>17880.911114818635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92-4398-90F9-0635F73C17C7}"/>
            </c:ext>
          </c:extLst>
        </c:ser>
        <c:ser>
          <c:idx val="17"/>
          <c:order val="17"/>
          <c:tx>
            <c:strRef>
              <c:f>RPlot!$EP$20</c:f>
              <c:strCache>
                <c:ptCount val="1"/>
                <c:pt idx="0">
                  <c:v>1y 12d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RPlot!$AT$20:$EO$20</c:f>
              <c:numCache>
                <c:formatCode>0</c:formatCode>
                <c:ptCount val="100"/>
                <c:pt idx="0">
                  <c:v>17068.832094510082</c:v>
                </c:pt>
                <c:pt idx="1">
                  <c:v>15150.166512008087</c:v>
                </c:pt>
                <c:pt idx="2">
                  <c:v>13797.643087605558</c:v>
                </c:pt>
                <c:pt idx="3">
                  <c:v>12528.14946116566</c:v>
                </c:pt>
                <c:pt idx="4">
                  <c:v>11806.017278560486</c:v>
                </c:pt>
                <c:pt idx="5">
                  <c:v>11845.941813226518</c:v>
                </c:pt>
                <c:pt idx="6">
                  <c:v>12628.921408810291</c:v>
                </c:pt>
                <c:pt idx="7">
                  <c:v>14162.042676309198</c:v>
                </c:pt>
                <c:pt idx="8">
                  <c:v>16792.17096155123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19951.843702314221</c:v>
                </c:pt>
                <c:pt idx="26">
                  <c:v>17971.277836900968</c:v>
                </c:pt>
                <c:pt idx="27">
                  <c:v>16293.153505975846</c:v>
                </c:pt>
                <c:pt idx="28">
                  <c:v>15232.852381067976</c:v>
                </c:pt>
                <c:pt idx="29">
                  <c:v>13542.628018648997</c:v>
                </c:pt>
                <c:pt idx="30">
                  <c:v>12161.031163700372</c:v>
                </c:pt>
                <c:pt idx="31">
                  <c:v>11315.171942665675</c:v>
                </c:pt>
                <c:pt idx="32">
                  <c:v>11102.374351490093</c:v>
                </c:pt>
                <c:pt idx="33">
                  <c:v>11802.555247882799</c:v>
                </c:pt>
                <c:pt idx="34">
                  <c:v>14036.574256281598</c:v>
                </c:pt>
                <c:pt idx="35">
                  <c:v>17507.828042759604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19845.289939460694</c:v>
                </c:pt>
                <c:pt idx="53">
                  <c:v>18518.207165698121</c:v>
                </c:pt>
                <c:pt idx="54">
                  <c:v>16649.804066829452</c:v>
                </c:pt>
                <c:pt idx="55">
                  <c:v>15178.02833919847</c:v>
                </c:pt>
                <c:pt idx="56">
                  <c:v>14441.144199310555</c:v>
                </c:pt>
                <c:pt idx="57">
                  <c:v>14456.866172593338</c:v>
                </c:pt>
                <c:pt idx="58">
                  <c:v>16118.951091039551</c:v>
                </c:pt>
                <c:pt idx="59">
                  <c:v>19197.230640803726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18425.027165401105</c:v>
                </c:pt>
                <c:pt idx="78">
                  <c:v>16602.852900725135</c:v>
                </c:pt>
                <c:pt idx="79">
                  <c:v>15517.872838526717</c:v>
                </c:pt>
                <c:pt idx="80">
                  <c:v>15079.499236343647</c:v>
                </c:pt>
                <c:pt idx="81">
                  <c:v>15696.242934357222</c:v>
                </c:pt>
                <c:pt idx="82">
                  <c:v>17939.137938505773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19275.056807160101</c:v>
                </c:pt>
                <c:pt idx="99">
                  <c:v>17179.854148975104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92-4398-90F9-0635F73C17C7}"/>
            </c:ext>
          </c:extLst>
        </c:ser>
        <c:ser>
          <c:idx val="18"/>
          <c:order val="18"/>
          <c:tx>
            <c:strRef>
              <c:f>RPlot!$EP$21</c:f>
              <c:strCache>
                <c:ptCount val="1"/>
                <c:pt idx="0">
                  <c:v>1y 25d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RPlot!$AT$21:$EO$21</c:f>
              <c:numCache>
                <c:formatCode>0</c:formatCode>
                <c:ptCount val="100"/>
                <c:pt idx="0">
                  <c:v>16518.4141733498</c:v>
                </c:pt>
                <c:pt idx="1">
                  <c:v>14648.789466211281</c:v>
                </c:pt>
                <c:pt idx="2">
                  <c:v>13367.500968071821</c:v>
                </c:pt>
                <c:pt idx="3">
                  <c:v>12227.66134978749</c:v>
                </c:pt>
                <c:pt idx="4">
                  <c:v>11584.935759411153</c:v>
                </c:pt>
                <c:pt idx="5">
                  <c:v>11690.017003159352</c:v>
                </c:pt>
                <c:pt idx="6">
                  <c:v>12673.693393250742</c:v>
                </c:pt>
                <c:pt idx="7">
                  <c:v>14080.181502931346</c:v>
                </c:pt>
                <c:pt idx="8">
                  <c:v>16609.620255339167</c:v>
                </c:pt>
                <c:pt idx="9">
                  <c:v>19979.206614081078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19856.296110711406</c:v>
                </c:pt>
                <c:pt idx="26">
                  <c:v>17753.353745864613</c:v>
                </c:pt>
                <c:pt idx="27">
                  <c:v>15961.298293627764</c:v>
                </c:pt>
                <c:pt idx="28">
                  <c:v>14717.196249044744</c:v>
                </c:pt>
                <c:pt idx="29">
                  <c:v>13192.553162303851</c:v>
                </c:pt>
                <c:pt idx="30">
                  <c:v>11833.461594777409</c:v>
                </c:pt>
                <c:pt idx="31">
                  <c:v>11019.724085040023</c:v>
                </c:pt>
                <c:pt idx="32">
                  <c:v>10909.001706262563</c:v>
                </c:pt>
                <c:pt idx="33">
                  <c:v>11603.810679574173</c:v>
                </c:pt>
                <c:pt idx="34">
                  <c:v>13827.138138840868</c:v>
                </c:pt>
                <c:pt idx="35">
                  <c:v>17254.325797493835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19021.943844577887</c:v>
                </c:pt>
                <c:pt idx="53">
                  <c:v>17728.870339340327</c:v>
                </c:pt>
                <c:pt idx="54">
                  <c:v>15923.270168569756</c:v>
                </c:pt>
                <c:pt idx="55">
                  <c:v>14539.615203329377</c:v>
                </c:pt>
                <c:pt idx="56">
                  <c:v>13978.209619847174</c:v>
                </c:pt>
                <c:pt idx="57">
                  <c:v>14046.510621459362</c:v>
                </c:pt>
                <c:pt idx="58">
                  <c:v>15713.841166320841</c:v>
                </c:pt>
                <c:pt idx="59">
                  <c:v>18796.759905202587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19598.424363353082</c:v>
                </c:pt>
                <c:pt idx="77">
                  <c:v>17493.784823821796</c:v>
                </c:pt>
                <c:pt idx="78">
                  <c:v>15782.548904578844</c:v>
                </c:pt>
                <c:pt idx="79">
                  <c:v>14815.786014743713</c:v>
                </c:pt>
                <c:pt idx="80">
                  <c:v>14595.088353242989</c:v>
                </c:pt>
                <c:pt idx="81">
                  <c:v>15222.697207103931</c:v>
                </c:pt>
                <c:pt idx="82">
                  <c:v>17498.007202038851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18737.067712726297</c:v>
                </c:pt>
                <c:pt idx="99">
                  <c:v>16637.298781828846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92-4398-90F9-0635F73C17C7}"/>
            </c:ext>
          </c:extLst>
        </c:ser>
        <c:ser>
          <c:idx val="19"/>
          <c:order val="19"/>
          <c:tx>
            <c:strRef>
              <c:f>RPlot!$EP$22</c:f>
              <c:strCache>
                <c:ptCount val="1"/>
                <c:pt idx="0">
                  <c:v>1y 39d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RPlot!$AT$22:$EO$22</c:f>
              <c:numCache>
                <c:formatCode>0</c:formatCode>
                <c:ptCount val="100"/>
                <c:pt idx="0">
                  <c:v>16120.743216505794</c:v>
                </c:pt>
                <c:pt idx="1">
                  <c:v>14284.327735516295</c:v>
                </c:pt>
                <c:pt idx="2">
                  <c:v>13048.564835161142</c:v>
                </c:pt>
                <c:pt idx="3">
                  <c:v>12029.207680851312</c:v>
                </c:pt>
                <c:pt idx="4">
                  <c:v>11449.302423238696</c:v>
                </c:pt>
                <c:pt idx="5">
                  <c:v>11601.512668225372</c:v>
                </c:pt>
                <c:pt idx="6">
                  <c:v>12565.63928604676</c:v>
                </c:pt>
                <c:pt idx="7">
                  <c:v>14063.09805378843</c:v>
                </c:pt>
                <c:pt idx="8">
                  <c:v>16458.848182233716</c:v>
                </c:pt>
                <c:pt idx="9">
                  <c:v>19707.812156268337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19876.017595237121</c:v>
                </c:pt>
                <c:pt idx="26">
                  <c:v>17644.267550609085</c:v>
                </c:pt>
                <c:pt idx="27">
                  <c:v>15739.403881347531</c:v>
                </c:pt>
                <c:pt idx="28">
                  <c:v>14304.334378459331</c:v>
                </c:pt>
                <c:pt idx="29">
                  <c:v>12917.313418009793</c:v>
                </c:pt>
                <c:pt idx="30">
                  <c:v>11569.699120938858</c:v>
                </c:pt>
                <c:pt idx="31">
                  <c:v>10776.954914352271</c:v>
                </c:pt>
                <c:pt idx="32">
                  <c:v>10755.14935886911</c:v>
                </c:pt>
                <c:pt idx="33">
                  <c:v>11435.048108071305</c:v>
                </c:pt>
                <c:pt idx="34">
                  <c:v>13640.834491959435</c:v>
                </c:pt>
                <c:pt idx="35">
                  <c:v>17019.326722348993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18288.249462452975</c:v>
                </c:pt>
                <c:pt idx="53">
                  <c:v>17022.792071533066</c:v>
                </c:pt>
                <c:pt idx="54">
                  <c:v>15272.267105323142</c:v>
                </c:pt>
                <c:pt idx="55">
                  <c:v>13966.966858356531</c:v>
                </c:pt>
                <c:pt idx="56">
                  <c:v>13489.301707033852</c:v>
                </c:pt>
                <c:pt idx="57">
                  <c:v>13690.104794014091</c:v>
                </c:pt>
                <c:pt idx="58">
                  <c:v>15352.180461912663</c:v>
                </c:pt>
                <c:pt idx="59">
                  <c:v>18436.073501360697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19772.040052155986</c:v>
                </c:pt>
                <c:pt idx="76">
                  <c:v>18684.964669484045</c:v>
                </c:pt>
                <c:pt idx="77">
                  <c:v>16654.571859631364</c:v>
                </c:pt>
                <c:pt idx="78">
                  <c:v>15042.918685820954</c:v>
                </c:pt>
                <c:pt idx="79">
                  <c:v>14181.535954061514</c:v>
                </c:pt>
                <c:pt idx="80">
                  <c:v>14177.680872802746</c:v>
                </c:pt>
                <c:pt idx="81">
                  <c:v>14802.519338329243</c:v>
                </c:pt>
                <c:pt idx="82">
                  <c:v>17106.526859864774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18367.724210083095</c:v>
                </c:pt>
                <c:pt idx="99">
                  <c:v>16248.803831721389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92-4398-90F9-0635F73C17C7}"/>
            </c:ext>
          </c:extLst>
        </c:ser>
        <c:ser>
          <c:idx val="20"/>
          <c:order val="20"/>
          <c:tx>
            <c:strRef>
              <c:f>RPlot!$EP$23</c:f>
              <c:strCache>
                <c:ptCount val="1"/>
                <c:pt idx="0">
                  <c:v>1y 53d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RPlot!$AT$23:$EO$23</c:f>
              <c:numCache>
                <c:formatCode>0</c:formatCode>
                <c:ptCount val="100"/>
                <c:pt idx="0">
                  <c:v>15871.802773421405</c:v>
                </c:pt>
                <c:pt idx="1">
                  <c:v>14051.593024904902</c:v>
                </c:pt>
                <c:pt idx="2">
                  <c:v>12839.731798805295</c:v>
                </c:pt>
                <c:pt idx="3">
                  <c:v>11927.192452307852</c:v>
                </c:pt>
                <c:pt idx="4">
                  <c:v>11392.516043005449</c:v>
                </c:pt>
                <c:pt idx="5">
                  <c:v>11549.557928775761</c:v>
                </c:pt>
                <c:pt idx="6">
                  <c:v>12504.071423427706</c:v>
                </c:pt>
                <c:pt idx="7">
                  <c:v>14115.195730569931</c:v>
                </c:pt>
                <c:pt idx="8">
                  <c:v>16337.807146033585</c:v>
                </c:pt>
                <c:pt idx="9">
                  <c:v>19452.418017775213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19998.395326694023</c:v>
                </c:pt>
                <c:pt idx="26">
                  <c:v>17632.723013753937</c:v>
                </c:pt>
                <c:pt idx="27">
                  <c:v>15614.902204342405</c:v>
                </c:pt>
                <c:pt idx="28">
                  <c:v>14023.324047006154</c:v>
                </c:pt>
                <c:pt idx="29">
                  <c:v>12709.695218575869</c:v>
                </c:pt>
                <c:pt idx="30">
                  <c:v>11363.334426516267</c:v>
                </c:pt>
                <c:pt idx="31">
                  <c:v>10581.157003387296</c:v>
                </c:pt>
                <c:pt idx="32">
                  <c:v>10615.714594184388</c:v>
                </c:pt>
                <c:pt idx="33">
                  <c:v>11291.670005696858</c:v>
                </c:pt>
                <c:pt idx="34">
                  <c:v>13473.974579209247</c:v>
                </c:pt>
                <c:pt idx="35">
                  <c:v>16799.88509250163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19500.751633823827</c:v>
                </c:pt>
                <c:pt idx="52">
                  <c:v>17636.384167943244</c:v>
                </c:pt>
                <c:pt idx="53">
                  <c:v>16392.490391159834</c:v>
                </c:pt>
                <c:pt idx="54">
                  <c:v>14689.67176942339</c:v>
                </c:pt>
                <c:pt idx="55">
                  <c:v>13453.7047736192</c:v>
                </c:pt>
                <c:pt idx="56">
                  <c:v>13050.172026920685</c:v>
                </c:pt>
                <c:pt idx="57">
                  <c:v>13385.018235236077</c:v>
                </c:pt>
                <c:pt idx="58">
                  <c:v>15030.660646627872</c:v>
                </c:pt>
                <c:pt idx="59">
                  <c:v>18111.376259971847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18932.055947002154</c:v>
                </c:pt>
                <c:pt idx="76">
                  <c:v>17864.254768478917</c:v>
                </c:pt>
                <c:pt idx="77">
                  <c:v>15899.643696194726</c:v>
                </c:pt>
                <c:pt idx="78">
                  <c:v>14377.052484042637</c:v>
                </c:pt>
                <c:pt idx="79">
                  <c:v>13609.68653965538</c:v>
                </c:pt>
                <c:pt idx="80">
                  <c:v>13826.256666711428</c:v>
                </c:pt>
                <c:pt idx="81">
                  <c:v>14432.655733017353</c:v>
                </c:pt>
                <c:pt idx="82">
                  <c:v>16760.722142580151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18163.990810628115</c:v>
                </c:pt>
                <c:pt idx="99">
                  <c:v>16010.35207504149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92-4398-90F9-0635F73C17C7}"/>
            </c:ext>
          </c:extLst>
        </c:ser>
        <c:ser>
          <c:idx val="21"/>
          <c:order val="21"/>
          <c:tx>
            <c:strRef>
              <c:f>RPlot!$EP$24</c:f>
              <c:strCache>
                <c:ptCount val="1"/>
                <c:pt idx="0">
                  <c:v>1y 67d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RPlot!$AT$24:$EO$24</c:f>
              <c:numCache>
                <c:formatCode>0</c:formatCode>
                <c:ptCount val="100"/>
                <c:pt idx="0">
                  <c:v>15767.145805503016</c:v>
                </c:pt>
                <c:pt idx="1">
                  <c:v>13945.285496302346</c:v>
                </c:pt>
                <c:pt idx="2">
                  <c:v>12736.723083293589</c:v>
                </c:pt>
                <c:pt idx="3">
                  <c:v>11915.282419701913</c:v>
                </c:pt>
                <c:pt idx="4">
                  <c:v>11398.183234153767</c:v>
                </c:pt>
                <c:pt idx="5">
                  <c:v>11540.458508874026</c:v>
                </c:pt>
                <c:pt idx="6">
                  <c:v>12481.829271479241</c:v>
                </c:pt>
                <c:pt idx="7">
                  <c:v>14240.459404508691</c:v>
                </c:pt>
                <c:pt idx="8">
                  <c:v>16246.540609341517</c:v>
                </c:pt>
                <c:pt idx="9">
                  <c:v>19211.45973068025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17707.89969347095</c:v>
                </c:pt>
                <c:pt idx="27">
                  <c:v>15576.441614728219</c:v>
                </c:pt>
                <c:pt idx="28">
                  <c:v>13850.152723054105</c:v>
                </c:pt>
                <c:pt idx="29">
                  <c:v>12562.835303659323</c:v>
                </c:pt>
                <c:pt idx="30">
                  <c:v>11208.325182406521</c:v>
                </c:pt>
                <c:pt idx="31">
                  <c:v>10427.010450053607</c:v>
                </c:pt>
                <c:pt idx="32">
                  <c:v>10459.29115544295</c:v>
                </c:pt>
                <c:pt idx="33">
                  <c:v>11169.648161309189</c:v>
                </c:pt>
                <c:pt idx="34">
                  <c:v>13323.491112958503</c:v>
                </c:pt>
                <c:pt idx="35">
                  <c:v>16593.60716008571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18947.348547469985</c:v>
                </c:pt>
                <c:pt idx="52">
                  <c:v>17059.774877147542</c:v>
                </c:pt>
                <c:pt idx="53">
                  <c:v>15831.66783503463</c:v>
                </c:pt>
                <c:pt idx="54">
                  <c:v>14169.510083388972</c:v>
                </c:pt>
                <c:pt idx="55">
                  <c:v>12994.522387515583</c:v>
                </c:pt>
                <c:pt idx="56">
                  <c:v>12656.497838827685</c:v>
                </c:pt>
                <c:pt idx="57">
                  <c:v>13129.611660913972</c:v>
                </c:pt>
                <c:pt idx="58">
                  <c:v>14746.481301637034</c:v>
                </c:pt>
                <c:pt idx="59">
                  <c:v>17819.254176794249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18187.911507250479</c:v>
                </c:pt>
                <c:pt idx="76">
                  <c:v>17000.491472727263</c:v>
                </c:pt>
                <c:pt idx="77">
                  <c:v>15222.79448844356</c:v>
                </c:pt>
                <c:pt idx="78">
                  <c:v>13779.510016784083</c:v>
                </c:pt>
                <c:pt idx="79">
                  <c:v>13096.065726535409</c:v>
                </c:pt>
                <c:pt idx="80">
                  <c:v>13427.13542911836</c:v>
                </c:pt>
                <c:pt idx="81">
                  <c:v>14110.491421974422</c:v>
                </c:pt>
                <c:pt idx="82">
                  <c:v>16456.766922643717</c:v>
                </c:pt>
                <c:pt idx="83">
                  <c:v>19948.609440842683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18122.038224869804</c:v>
                </c:pt>
                <c:pt idx="99">
                  <c:v>15917.409373023613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92-4398-90F9-0635F73C17C7}"/>
            </c:ext>
          </c:extLst>
        </c:ser>
        <c:ser>
          <c:idx val="22"/>
          <c:order val="22"/>
          <c:tx>
            <c:strRef>
              <c:f>RPlot!$EP$25</c:f>
              <c:strCache>
                <c:ptCount val="1"/>
                <c:pt idx="0">
                  <c:v>1y 80d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RPlot!$AT$25:$EO$25</c:f>
              <c:numCache>
                <c:formatCode>0</c:formatCode>
                <c:ptCount val="100"/>
                <c:pt idx="0">
                  <c:v>15801.216164813581</c:v>
                </c:pt>
                <c:pt idx="1">
                  <c:v>13959.283737794434</c:v>
                </c:pt>
                <c:pt idx="2">
                  <c:v>12734.033282164301</c:v>
                </c:pt>
                <c:pt idx="3">
                  <c:v>11982.28160174092</c:v>
                </c:pt>
                <c:pt idx="4">
                  <c:v>11441.787891808674</c:v>
                </c:pt>
                <c:pt idx="5">
                  <c:v>11581.954866747703</c:v>
                </c:pt>
                <c:pt idx="6">
                  <c:v>12492.65627180202</c:v>
                </c:pt>
                <c:pt idx="7">
                  <c:v>14189.905254790521</c:v>
                </c:pt>
                <c:pt idx="8">
                  <c:v>16187.468096684141</c:v>
                </c:pt>
                <c:pt idx="9">
                  <c:v>18984.379514640248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17859.608123650876</c:v>
                </c:pt>
                <c:pt idx="27">
                  <c:v>15613.668242186042</c:v>
                </c:pt>
                <c:pt idx="28">
                  <c:v>13766.678866062703</c:v>
                </c:pt>
                <c:pt idx="29">
                  <c:v>12470.213731795031</c:v>
                </c:pt>
                <c:pt idx="30">
                  <c:v>11098.989647798207</c:v>
                </c:pt>
                <c:pt idx="31">
                  <c:v>10309.592224320621</c:v>
                </c:pt>
                <c:pt idx="32">
                  <c:v>10330.895535685479</c:v>
                </c:pt>
                <c:pt idx="33">
                  <c:v>11065.536699981045</c:v>
                </c:pt>
                <c:pt idx="34">
                  <c:v>13186.888065424993</c:v>
                </c:pt>
                <c:pt idx="35">
                  <c:v>16398.569360586338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18469.663431940058</c:v>
                </c:pt>
                <c:pt idx="52">
                  <c:v>16552.90013380169</c:v>
                </c:pt>
                <c:pt idx="53">
                  <c:v>15335.02964127489</c:v>
                </c:pt>
                <c:pt idx="54">
                  <c:v>13706.777628977332</c:v>
                </c:pt>
                <c:pt idx="55">
                  <c:v>12585.005752062105</c:v>
                </c:pt>
                <c:pt idx="56">
                  <c:v>12304.69527457338</c:v>
                </c:pt>
                <c:pt idx="57">
                  <c:v>12923.169820313406</c:v>
                </c:pt>
                <c:pt idx="58">
                  <c:v>14497.245822910452</c:v>
                </c:pt>
                <c:pt idx="59">
                  <c:v>17556.60364891162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19535.36059566871</c:v>
                </c:pt>
                <c:pt idx="75">
                  <c:v>17534.28189766275</c:v>
                </c:pt>
                <c:pt idx="76">
                  <c:v>16232.20470189194</c:v>
                </c:pt>
                <c:pt idx="77">
                  <c:v>14619.15645772608</c:v>
                </c:pt>
                <c:pt idx="78">
                  <c:v>13246.099710075678</c:v>
                </c:pt>
                <c:pt idx="79">
                  <c:v>12637.520458716121</c:v>
                </c:pt>
                <c:pt idx="80">
                  <c:v>13032.05061834717</c:v>
                </c:pt>
                <c:pt idx="81">
                  <c:v>13833.653101209984</c:v>
                </c:pt>
                <c:pt idx="82">
                  <c:v>16190.892701260829</c:v>
                </c:pt>
                <c:pt idx="83">
                  <c:v>19674.743496544921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18236.619048412871</c:v>
                </c:pt>
                <c:pt idx="99">
                  <c:v>15964.270271249106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92-4398-90F9-0635F73C17C7}"/>
            </c:ext>
          </c:extLst>
        </c:ser>
        <c:ser>
          <c:idx val="23"/>
          <c:order val="23"/>
          <c:tx>
            <c:strRef>
              <c:f>RPlot!$EP$26</c:f>
              <c:strCache>
                <c:ptCount val="1"/>
                <c:pt idx="0">
                  <c:v>1y 94d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RPlot!$AT$26:$EO$26</c:f>
              <c:numCache>
                <c:formatCode>0</c:formatCode>
                <c:ptCount val="100"/>
                <c:pt idx="0">
                  <c:v>15967.104747990856</c:v>
                </c:pt>
                <c:pt idx="1">
                  <c:v>14086.398980762919</c:v>
                </c:pt>
                <c:pt idx="2">
                  <c:v>12825.039836221227</c:v>
                </c:pt>
                <c:pt idx="3">
                  <c:v>12091.050876780226</c:v>
                </c:pt>
                <c:pt idx="4">
                  <c:v>11547.549110370839</c:v>
                </c:pt>
                <c:pt idx="5">
                  <c:v>11667.226961827426</c:v>
                </c:pt>
                <c:pt idx="6">
                  <c:v>12531.324592133949</c:v>
                </c:pt>
                <c:pt idx="7">
                  <c:v>14155.51221795932</c:v>
                </c:pt>
                <c:pt idx="8">
                  <c:v>16165.86972345418</c:v>
                </c:pt>
                <c:pt idx="9">
                  <c:v>18771.600808453972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18078.471684779492</c:v>
                </c:pt>
                <c:pt idx="27">
                  <c:v>15717.170879629752</c:v>
                </c:pt>
                <c:pt idx="28">
                  <c:v>13758.563325383675</c:v>
                </c:pt>
                <c:pt idx="29">
                  <c:v>12369.885243439947</c:v>
                </c:pt>
                <c:pt idx="30">
                  <c:v>11030.040693038763</c:v>
                </c:pt>
                <c:pt idx="31">
                  <c:v>10224.404371193521</c:v>
                </c:pt>
                <c:pt idx="32">
                  <c:v>10226.806864638687</c:v>
                </c:pt>
                <c:pt idx="33">
                  <c:v>10976.496937124088</c:v>
                </c:pt>
                <c:pt idx="34">
                  <c:v>13062.192298673839</c:v>
                </c:pt>
                <c:pt idx="35">
                  <c:v>16213.248218672128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18063.090844465707</c:v>
                </c:pt>
                <c:pt idx="52">
                  <c:v>16111.116423819873</c:v>
                </c:pt>
                <c:pt idx="53">
                  <c:v>14898.127193840191</c:v>
                </c:pt>
                <c:pt idx="54">
                  <c:v>13297.284307669832</c:v>
                </c:pt>
                <c:pt idx="55">
                  <c:v>12221.480072025162</c:v>
                </c:pt>
                <c:pt idx="56">
                  <c:v>11991.773409895573</c:v>
                </c:pt>
                <c:pt idx="57">
                  <c:v>12765.886400163261</c:v>
                </c:pt>
                <c:pt idx="58">
                  <c:v>14280.886819649964</c:v>
                </c:pt>
                <c:pt idx="59">
                  <c:v>17320.585251836419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19015.481576556631</c:v>
                </c:pt>
                <c:pt idx="75">
                  <c:v>16967.15641745938</c:v>
                </c:pt>
                <c:pt idx="76">
                  <c:v>15564.723510385549</c:v>
                </c:pt>
                <c:pt idx="77">
                  <c:v>14085.014323175077</c:v>
                </c:pt>
                <c:pt idx="78">
                  <c:v>12773.670080368214</c:v>
                </c:pt>
                <c:pt idx="79">
                  <c:v>12231.682462008952</c:v>
                </c:pt>
                <c:pt idx="80">
                  <c:v>12683.149808099992</c:v>
                </c:pt>
                <c:pt idx="81">
                  <c:v>13599.858679516481</c:v>
                </c:pt>
                <c:pt idx="82">
                  <c:v>15959.352665388004</c:v>
                </c:pt>
                <c:pt idx="83">
                  <c:v>19427.489452821821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18500.947054393597</c:v>
                </c:pt>
                <c:pt idx="99">
                  <c:v>16143.853560366395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92-4398-90F9-0635F73C17C7}"/>
            </c:ext>
          </c:extLst>
        </c:ser>
        <c:ser>
          <c:idx val="24"/>
          <c:order val="24"/>
          <c:tx>
            <c:strRef>
              <c:f>RPlot!$EP$27</c:f>
              <c:strCache>
                <c:ptCount val="1"/>
                <c:pt idx="0">
                  <c:v>1y 108d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RPlot!$AT$27:$EO$27</c:f>
              <c:numCache>
                <c:formatCode>0</c:formatCode>
                <c:ptCount val="100"/>
                <c:pt idx="0">
                  <c:v>16256.779209748975</c:v>
                </c:pt>
                <c:pt idx="1">
                  <c:v>14318.5811818558</c:v>
                </c:pt>
                <c:pt idx="2">
                  <c:v>13002.400757972115</c:v>
                </c:pt>
                <c:pt idx="3">
                  <c:v>12272.842055452656</c:v>
                </c:pt>
                <c:pt idx="4">
                  <c:v>11708.198012150764</c:v>
                </c:pt>
                <c:pt idx="5">
                  <c:v>11790.342402209031</c:v>
                </c:pt>
                <c:pt idx="6">
                  <c:v>12593.653611905178</c:v>
                </c:pt>
                <c:pt idx="7">
                  <c:v>14134.725721402507</c:v>
                </c:pt>
                <c:pt idx="8">
                  <c:v>16190.688990440365</c:v>
                </c:pt>
                <c:pt idx="9">
                  <c:v>18574.563361120054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18356.066443529959</c:v>
                </c:pt>
                <c:pt idx="27">
                  <c:v>15878.496725981488</c:v>
                </c:pt>
                <c:pt idx="28">
                  <c:v>13814.139256995355</c:v>
                </c:pt>
                <c:pt idx="29">
                  <c:v>12259.119419564733</c:v>
                </c:pt>
                <c:pt idx="30">
                  <c:v>10996.633335481472</c:v>
                </c:pt>
                <c:pt idx="31">
                  <c:v>10167.401601545875</c:v>
                </c:pt>
                <c:pt idx="32">
                  <c:v>10143.776918052281</c:v>
                </c:pt>
                <c:pt idx="33">
                  <c:v>10900.350445356111</c:v>
                </c:pt>
                <c:pt idx="34">
                  <c:v>12947.915738880351</c:v>
                </c:pt>
                <c:pt idx="35">
                  <c:v>16036.461735958012</c:v>
                </c:pt>
                <c:pt idx="36">
                  <c:v>19988.042923212684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17723.680412218182</c:v>
                </c:pt>
                <c:pt idx="52">
                  <c:v>15730.503808033174</c:v>
                </c:pt>
                <c:pt idx="53">
                  <c:v>14517.21821462369</c:v>
                </c:pt>
                <c:pt idx="54">
                  <c:v>12937.520281973628</c:v>
                </c:pt>
                <c:pt idx="55">
                  <c:v>11900.875707528123</c:v>
                </c:pt>
                <c:pt idx="56">
                  <c:v>11715.208218313614</c:v>
                </c:pt>
                <c:pt idx="57">
                  <c:v>12635.349779818813</c:v>
                </c:pt>
                <c:pt idx="58">
                  <c:v>14095.61756424703</c:v>
                </c:pt>
                <c:pt idx="59">
                  <c:v>17108.596107605579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18585.234971655977</c:v>
                </c:pt>
                <c:pt idx="75">
                  <c:v>16483.630006190029</c:v>
                </c:pt>
                <c:pt idx="76">
                  <c:v>14990.444838011044</c:v>
                </c:pt>
                <c:pt idx="77">
                  <c:v>13617.62136785779</c:v>
                </c:pt>
                <c:pt idx="78">
                  <c:v>12359.902434212716</c:v>
                </c:pt>
                <c:pt idx="79">
                  <c:v>11876.740800917536</c:v>
                </c:pt>
                <c:pt idx="80">
                  <c:v>12378.629514672475</c:v>
                </c:pt>
                <c:pt idx="81">
                  <c:v>13406.823639108414</c:v>
                </c:pt>
                <c:pt idx="82">
                  <c:v>15758.430853496247</c:v>
                </c:pt>
                <c:pt idx="83">
                  <c:v>19202.939699472401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18907.079046190061</c:v>
                </c:pt>
                <c:pt idx="99">
                  <c:v>16447.973574289143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92-4398-90F9-0635F73C17C7}"/>
            </c:ext>
          </c:extLst>
        </c:ser>
        <c:ser>
          <c:idx val="25"/>
          <c:order val="25"/>
          <c:tx>
            <c:strRef>
              <c:f>RPlot!$EP$28</c:f>
              <c:strCache>
                <c:ptCount val="1"/>
                <c:pt idx="0">
                  <c:v>1y 122d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RPlot!$AT$28:$EO$28</c:f>
              <c:numCache>
                <c:formatCode>0</c:formatCode>
                <c:ptCount val="100"/>
                <c:pt idx="0">
                  <c:v>16661.659855727961</c:v>
                </c:pt>
                <c:pt idx="1">
                  <c:v>14647.43249555217</c:v>
                </c:pt>
                <c:pt idx="2">
                  <c:v>13258.61262838931</c:v>
                </c:pt>
                <c:pt idx="3">
                  <c:v>12520.056705067054</c:v>
                </c:pt>
                <c:pt idx="4">
                  <c:v>11917.225794295215</c:v>
                </c:pt>
                <c:pt idx="5">
                  <c:v>11946.38388680181</c:v>
                </c:pt>
                <c:pt idx="6">
                  <c:v>12676.450152040303</c:v>
                </c:pt>
                <c:pt idx="7">
                  <c:v>14125.767409836244</c:v>
                </c:pt>
                <c:pt idx="8">
                  <c:v>16261.658959011764</c:v>
                </c:pt>
                <c:pt idx="9">
                  <c:v>18395.837461920972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18684.994484001902</c:v>
                </c:pt>
                <c:pt idx="27">
                  <c:v>16090.173020631624</c:v>
                </c:pt>
                <c:pt idx="28">
                  <c:v>13923.766821346742</c:v>
                </c:pt>
                <c:pt idx="29">
                  <c:v>12235.255045671536</c:v>
                </c:pt>
                <c:pt idx="30">
                  <c:v>10994.406986311913</c:v>
                </c:pt>
                <c:pt idx="31">
                  <c:v>10135.00841173753</c:v>
                </c:pt>
                <c:pt idx="32">
                  <c:v>10079.014500105723</c:v>
                </c:pt>
                <c:pt idx="33">
                  <c:v>10835.693329087579</c:v>
                </c:pt>
                <c:pt idx="34">
                  <c:v>12843.031487878276</c:v>
                </c:pt>
                <c:pt idx="35">
                  <c:v>15867.321899683635</c:v>
                </c:pt>
                <c:pt idx="36">
                  <c:v>19743.151412828425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19863.72916032881</c:v>
                </c:pt>
                <c:pt idx="51">
                  <c:v>17447.985288252203</c:v>
                </c:pt>
                <c:pt idx="52">
                  <c:v>15407.725578713489</c:v>
                </c:pt>
                <c:pt idx="53">
                  <c:v>14124.293584171017</c:v>
                </c:pt>
                <c:pt idx="54">
                  <c:v>12624.533646701062</c:v>
                </c:pt>
                <c:pt idx="55">
                  <c:v>11620.609814886217</c:v>
                </c:pt>
                <c:pt idx="56">
                  <c:v>11472.832676280275</c:v>
                </c:pt>
                <c:pt idx="57">
                  <c:v>12424.077856340367</c:v>
                </c:pt>
                <c:pt idx="58">
                  <c:v>13939.912325426081</c:v>
                </c:pt>
                <c:pt idx="59">
                  <c:v>16918.25619591655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18243.036249589124</c:v>
                </c:pt>
                <c:pt idx="75">
                  <c:v>16081.689859854117</c:v>
                </c:pt>
                <c:pt idx="76">
                  <c:v>14503.939183200739</c:v>
                </c:pt>
                <c:pt idx="77">
                  <c:v>13215.007919991571</c:v>
                </c:pt>
                <c:pt idx="78">
                  <c:v>12003.099224820447</c:v>
                </c:pt>
                <c:pt idx="79">
                  <c:v>11571.217358143667</c:v>
                </c:pt>
                <c:pt idx="80">
                  <c:v>12116.679533078555</c:v>
                </c:pt>
                <c:pt idx="81">
                  <c:v>13252.233989921024</c:v>
                </c:pt>
                <c:pt idx="82">
                  <c:v>15584.485519680493</c:v>
                </c:pt>
                <c:pt idx="83">
                  <c:v>18997.545877000819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19446.618034333806</c:v>
                </c:pt>
                <c:pt idx="99">
                  <c:v>16867.945181581432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B92-4398-90F9-0635F73C17C7}"/>
            </c:ext>
          </c:extLst>
        </c:ser>
        <c:ser>
          <c:idx val="26"/>
          <c:order val="26"/>
          <c:tx>
            <c:strRef>
              <c:f>RPlot!$EP$29</c:f>
              <c:strCache>
                <c:ptCount val="1"/>
                <c:pt idx="0">
                  <c:v>1y 135d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RPlot!$AT$29:$EO$29</c:f>
              <c:numCache>
                <c:formatCode>0</c:formatCode>
                <c:ptCount val="100"/>
                <c:pt idx="0">
                  <c:v>17173.314827960723</c:v>
                </c:pt>
                <c:pt idx="1">
                  <c:v>15064.813101651313</c:v>
                </c:pt>
                <c:pt idx="2">
                  <c:v>13586.555139553398</c:v>
                </c:pt>
                <c:pt idx="3">
                  <c:v>12825.824933925081</c:v>
                </c:pt>
                <c:pt idx="4">
                  <c:v>12169.095019123703</c:v>
                </c:pt>
                <c:pt idx="5">
                  <c:v>12131.459295721101</c:v>
                </c:pt>
                <c:pt idx="6">
                  <c:v>12777.40170388488</c:v>
                </c:pt>
                <c:pt idx="7">
                  <c:v>14127.509127657237</c:v>
                </c:pt>
                <c:pt idx="8">
                  <c:v>16154.843099874768</c:v>
                </c:pt>
                <c:pt idx="9">
                  <c:v>18239.346420798778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19058.886889955287</c:v>
                </c:pt>
                <c:pt idx="27">
                  <c:v>16345.70278074067</c:v>
                </c:pt>
                <c:pt idx="28">
                  <c:v>14079.436022592272</c:v>
                </c:pt>
                <c:pt idx="29">
                  <c:v>12278.171448392703</c:v>
                </c:pt>
                <c:pt idx="30">
                  <c:v>11019.508150370833</c:v>
                </c:pt>
                <c:pt idx="31">
                  <c:v>10124.117583097388</c:v>
                </c:pt>
                <c:pt idx="32">
                  <c:v>10030.157792734404</c:v>
                </c:pt>
                <c:pt idx="33">
                  <c:v>10782.132865086331</c:v>
                </c:pt>
                <c:pt idx="34">
                  <c:v>12746.970223393229</c:v>
                </c:pt>
                <c:pt idx="35">
                  <c:v>15705.197923225802</c:v>
                </c:pt>
                <c:pt idx="36">
                  <c:v>19505.454795699581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19734.077066994068</c:v>
                </c:pt>
                <c:pt idx="51">
                  <c:v>17232.925184019863</c:v>
                </c:pt>
                <c:pt idx="52">
                  <c:v>15139.897556514929</c:v>
                </c:pt>
                <c:pt idx="53">
                  <c:v>13786.028141138519</c:v>
                </c:pt>
                <c:pt idx="54">
                  <c:v>12355.81961380441</c:v>
                </c:pt>
                <c:pt idx="55">
                  <c:v>11378.47902803004</c:v>
                </c:pt>
                <c:pt idx="56">
                  <c:v>11262.741274003876</c:v>
                </c:pt>
                <c:pt idx="57">
                  <c:v>12240.158433041332</c:v>
                </c:pt>
                <c:pt idx="58">
                  <c:v>13812.510703737342</c:v>
                </c:pt>
                <c:pt idx="59">
                  <c:v>16747.404304296961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17987.820381989208</c:v>
                </c:pt>
                <c:pt idx="75">
                  <c:v>15759.990067419572</c:v>
                </c:pt>
                <c:pt idx="76">
                  <c:v>14101.328641738877</c:v>
                </c:pt>
                <c:pt idx="77">
                  <c:v>12875.775133864225</c:v>
                </c:pt>
                <c:pt idx="78">
                  <c:v>11701.964148797681</c:v>
                </c:pt>
                <c:pt idx="79">
                  <c:v>11313.755381142388</c:v>
                </c:pt>
                <c:pt idx="80">
                  <c:v>11895.348245161116</c:v>
                </c:pt>
                <c:pt idx="81">
                  <c:v>13133.79143839425</c:v>
                </c:pt>
                <c:pt idx="82">
                  <c:v>15434.004349967006</c:v>
                </c:pt>
                <c:pt idx="83">
                  <c:v>18808.132923994453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17395.288511729974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B92-4398-90F9-0635F73C17C7}"/>
            </c:ext>
          </c:extLst>
        </c:ser>
        <c:ser>
          <c:idx val="27"/>
          <c:order val="27"/>
          <c:tx>
            <c:strRef>
              <c:f>RPlot!$EP$30</c:f>
              <c:strCache>
                <c:ptCount val="1"/>
                <c:pt idx="0">
                  <c:v>1y 149d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RPlot!$AT$30:$EO$30</c:f>
              <c:numCache>
                <c:formatCode>0</c:formatCode>
                <c:ptCount val="100"/>
                <c:pt idx="0">
                  <c:v>17784.063699655773</c:v>
                </c:pt>
                <c:pt idx="1">
                  <c:v>15563.353306924291</c:v>
                </c:pt>
                <c:pt idx="2">
                  <c:v>13979.894976717955</c:v>
                </c:pt>
                <c:pt idx="3">
                  <c:v>13184.26272243345</c:v>
                </c:pt>
                <c:pt idx="4">
                  <c:v>12459.31170730052</c:v>
                </c:pt>
                <c:pt idx="5">
                  <c:v>12342.629554035992</c:v>
                </c:pt>
                <c:pt idx="6">
                  <c:v>12894.948204898717</c:v>
                </c:pt>
                <c:pt idx="7">
                  <c:v>14139.354721724954</c:v>
                </c:pt>
                <c:pt idx="8">
                  <c:v>16054.467632255104</c:v>
                </c:pt>
                <c:pt idx="9">
                  <c:v>18110.74445534117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19472.351089258031</c:v>
                </c:pt>
                <c:pt idx="27">
                  <c:v>16639.525903652186</c:v>
                </c:pt>
                <c:pt idx="28">
                  <c:v>14274.494642285212</c:v>
                </c:pt>
                <c:pt idx="29">
                  <c:v>12373.52143505928</c:v>
                </c:pt>
                <c:pt idx="30">
                  <c:v>11068.591025794909</c:v>
                </c:pt>
                <c:pt idx="31">
                  <c:v>10132.072479466973</c:v>
                </c:pt>
                <c:pt idx="32">
                  <c:v>9995.237335785132</c:v>
                </c:pt>
                <c:pt idx="33">
                  <c:v>10740.768238433875</c:v>
                </c:pt>
                <c:pt idx="34">
                  <c:v>12659.644954613706</c:v>
                </c:pt>
                <c:pt idx="35">
                  <c:v>15549.68994882749</c:v>
                </c:pt>
                <c:pt idx="36">
                  <c:v>19274.444397125066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19667.090039086015</c:v>
                </c:pt>
                <c:pt idx="51">
                  <c:v>17075.66577197866</c:v>
                </c:pt>
                <c:pt idx="52">
                  <c:v>14924.470434233655</c:v>
                </c:pt>
                <c:pt idx="53">
                  <c:v>13501.108410066536</c:v>
                </c:pt>
                <c:pt idx="54">
                  <c:v>12129.218459058389</c:v>
                </c:pt>
                <c:pt idx="55">
                  <c:v>11172.563799613261</c:v>
                </c:pt>
                <c:pt idx="56">
                  <c:v>11083.207170653523</c:v>
                </c:pt>
                <c:pt idx="57">
                  <c:v>12081.811964738627</c:v>
                </c:pt>
                <c:pt idx="58">
                  <c:v>13712.448294774355</c:v>
                </c:pt>
                <c:pt idx="59">
                  <c:v>16594.100010649403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17818.794024791921</c:v>
                </c:pt>
                <c:pt idx="75">
                  <c:v>15517.613215703161</c:v>
                </c:pt>
                <c:pt idx="76">
                  <c:v>13779.793997379969</c:v>
                </c:pt>
                <c:pt idx="77">
                  <c:v>12598.875877394596</c:v>
                </c:pt>
                <c:pt idx="78">
                  <c:v>11455.383237892829</c:v>
                </c:pt>
                <c:pt idx="79">
                  <c:v>11102.936578483761</c:v>
                </c:pt>
                <c:pt idx="80">
                  <c:v>11712.468449068721</c:v>
                </c:pt>
                <c:pt idx="81">
                  <c:v>13049.332841251347</c:v>
                </c:pt>
                <c:pt idx="82">
                  <c:v>15303.664238591395</c:v>
                </c:pt>
                <c:pt idx="83">
                  <c:v>18631.903703746972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18022.325257716384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B92-4398-90F9-0635F73C17C7}"/>
            </c:ext>
          </c:extLst>
        </c:ser>
        <c:ser>
          <c:idx val="28"/>
          <c:order val="28"/>
          <c:tx>
            <c:strRef>
              <c:f>RPlot!$EP$31</c:f>
              <c:strCache>
                <c:ptCount val="1"/>
                <c:pt idx="0">
                  <c:v>1y 163d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RPlot!$AT$31:$EO$31</c:f>
              <c:numCache>
                <c:formatCode>0</c:formatCode>
                <c:ptCount val="100"/>
                <c:pt idx="0">
                  <c:v>18487.372068265926</c:v>
                </c:pt>
                <c:pt idx="1">
                  <c:v>16136.775603234819</c:v>
                </c:pt>
                <c:pt idx="2">
                  <c:v>14433.303312285563</c:v>
                </c:pt>
                <c:pt idx="3">
                  <c:v>13590.5695057059</c:v>
                </c:pt>
                <c:pt idx="4">
                  <c:v>12784.38516319076</c:v>
                </c:pt>
                <c:pt idx="5">
                  <c:v>12577.789555428091</c:v>
                </c:pt>
                <c:pt idx="6">
                  <c:v>13028.15088243605</c:v>
                </c:pt>
                <c:pt idx="7">
                  <c:v>14161.134351395685</c:v>
                </c:pt>
                <c:pt idx="8">
                  <c:v>15960.738823787871</c:v>
                </c:pt>
                <c:pt idx="9">
                  <c:v>18018.02792226772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19920.882542911859</c:v>
                </c:pt>
                <c:pt idx="27">
                  <c:v>16966.950711205536</c:v>
                </c:pt>
                <c:pt idx="28">
                  <c:v>14503.43987979373</c:v>
                </c:pt>
                <c:pt idx="29">
                  <c:v>12510.81251415869</c:v>
                </c:pt>
                <c:pt idx="30">
                  <c:v>11068.328897151283</c:v>
                </c:pt>
                <c:pt idx="31">
                  <c:v>10156.635773234295</c:v>
                </c:pt>
                <c:pt idx="32">
                  <c:v>9972.6337676018866</c:v>
                </c:pt>
                <c:pt idx="33">
                  <c:v>10715.158134298015</c:v>
                </c:pt>
                <c:pt idx="34">
                  <c:v>12581.515830208538</c:v>
                </c:pt>
                <c:pt idx="35">
                  <c:v>15400.61322273533</c:v>
                </c:pt>
                <c:pt idx="36">
                  <c:v>19049.744095092195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19659.478118522533</c:v>
                </c:pt>
                <c:pt idx="51">
                  <c:v>16973.521686105589</c:v>
                </c:pt>
                <c:pt idx="52">
                  <c:v>14759.122846589535</c:v>
                </c:pt>
                <c:pt idx="53">
                  <c:v>13266.124704949827</c:v>
                </c:pt>
                <c:pt idx="54">
                  <c:v>11942.821544523998</c:v>
                </c:pt>
                <c:pt idx="55">
                  <c:v>11001.142177804586</c:v>
                </c:pt>
                <c:pt idx="56">
                  <c:v>10932.61577390676</c:v>
                </c:pt>
                <c:pt idx="57">
                  <c:v>11947.311082588049</c:v>
                </c:pt>
                <c:pt idx="58">
                  <c:v>13639.112760678845</c:v>
                </c:pt>
                <c:pt idx="59">
                  <c:v>16456.628991911472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17735.202529333455</c:v>
                </c:pt>
                <c:pt idx="75">
                  <c:v>15353.829925009537</c:v>
                </c:pt>
                <c:pt idx="76">
                  <c:v>13537.164833390916</c:v>
                </c:pt>
                <c:pt idx="77">
                  <c:v>12383.393570092108</c:v>
                </c:pt>
                <c:pt idx="78">
                  <c:v>11262.223041225734</c:v>
                </c:pt>
                <c:pt idx="79">
                  <c:v>10937.146142998487</c:v>
                </c:pt>
                <c:pt idx="80">
                  <c:v>11565.648921616619</c:v>
                </c:pt>
                <c:pt idx="81">
                  <c:v>12997.028334478007</c:v>
                </c:pt>
                <c:pt idx="82">
                  <c:v>15190.379203306373</c:v>
                </c:pt>
                <c:pt idx="83">
                  <c:v>18466.43509706702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18742.557040463536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B92-4398-90F9-0635F73C17C7}"/>
            </c:ext>
          </c:extLst>
        </c:ser>
        <c:ser>
          <c:idx val="29"/>
          <c:order val="29"/>
          <c:tx>
            <c:strRef>
              <c:f>RPlot!$EP$32</c:f>
              <c:strCache>
                <c:ptCount val="1"/>
                <c:pt idx="0">
                  <c:v>1y 177d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RPlot!$AT$32:$EO$32</c:f>
              <c:numCache>
                <c:formatCode>0</c:formatCode>
                <c:ptCount val="100"/>
                <c:pt idx="0">
                  <c:v>19278.019302269982</c:v>
                </c:pt>
                <c:pt idx="1">
                  <c:v>16780.018699540447</c:v>
                </c:pt>
                <c:pt idx="2">
                  <c:v>14942.506067972059</c:v>
                </c:pt>
                <c:pt idx="3">
                  <c:v>13926.712118981693</c:v>
                </c:pt>
                <c:pt idx="4">
                  <c:v>13141.720910773478</c:v>
                </c:pt>
                <c:pt idx="5">
                  <c:v>12835.530932758717</c:v>
                </c:pt>
                <c:pt idx="6">
                  <c:v>13176.567205075673</c:v>
                </c:pt>
                <c:pt idx="7">
                  <c:v>14193.012420571167</c:v>
                </c:pt>
                <c:pt idx="8">
                  <c:v>15874.083856889969</c:v>
                </c:pt>
                <c:pt idx="9">
                  <c:v>17972.511541396831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17324.066596150111</c:v>
                </c:pt>
                <c:pt idx="28">
                  <c:v>14761.745277816775</c:v>
                </c:pt>
                <c:pt idx="29">
                  <c:v>12682.226935228675</c:v>
                </c:pt>
                <c:pt idx="30">
                  <c:v>11133.563952169787</c:v>
                </c:pt>
                <c:pt idx="31">
                  <c:v>10195.949615737469</c:v>
                </c:pt>
                <c:pt idx="32">
                  <c:v>9961.0339515411579</c:v>
                </c:pt>
                <c:pt idx="33">
                  <c:v>10713.302873336794</c:v>
                </c:pt>
                <c:pt idx="34">
                  <c:v>12513.71306801691</c:v>
                </c:pt>
                <c:pt idx="35">
                  <c:v>15257.993209615226</c:v>
                </c:pt>
                <c:pt idx="36">
                  <c:v>18831.093522396288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19708.010387088369</c:v>
                </c:pt>
                <c:pt idx="51">
                  <c:v>16923.88486175353</c:v>
                </c:pt>
                <c:pt idx="52">
                  <c:v>14641.671806128295</c:v>
                </c:pt>
                <c:pt idx="53">
                  <c:v>13078.189830223188</c:v>
                </c:pt>
                <c:pt idx="54">
                  <c:v>11794.888547310124</c:v>
                </c:pt>
                <c:pt idx="55">
                  <c:v>10862.617621473675</c:v>
                </c:pt>
                <c:pt idx="56">
                  <c:v>10809.412548267126</c:v>
                </c:pt>
                <c:pt idx="57">
                  <c:v>11834.963359706991</c:v>
                </c:pt>
                <c:pt idx="58">
                  <c:v>13592.326814106891</c:v>
                </c:pt>
                <c:pt idx="59">
                  <c:v>16333.50963446977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17736.141261693399</c:v>
                </c:pt>
                <c:pt idx="75">
                  <c:v>15267.878717005424</c:v>
                </c:pt>
                <c:pt idx="76">
                  <c:v>13371.578676920637</c:v>
                </c:pt>
                <c:pt idx="77">
                  <c:v>12228.340288456631</c:v>
                </c:pt>
                <c:pt idx="78">
                  <c:v>11121.16940442112</c:v>
                </c:pt>
                <c:pt idx="79">
                  <c:v>10814.503764495608</c:v>
                </c:pt>
                <c:pt idx="80">
                  <c:v>11452.326399121052</c:v>
                </c:pt>
                <c:pt idx="81">
                  <c:v>12975.681612602826</c:v>
                </c:pt>
                <c:pt idx="82">
                  <c:v>15091.331591224662</c:v>
                </c:pt>
                <c:pt idx="83">
                  <c:v>18309.668422304079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19550.815374328267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B92-4398-90F9-0635F73C17C7}"/>
            </c:ext>
          </c:extLst>
        </c:ser>
        <c:ser>
          <c:idx val="30"/>
          <c:order val="30"/>
          <c:tx>
            <c:strRef>
              <c:f>RPlot!$EP$33</c:f>
              <c:strCache>
                <c:ptCount val="1"/>
                <c:pt idx="0">
                  <c:v>1y 190d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RPlot!$AT$33:$EO$33</c:f>
              <c:numCache>
                <c:formatCode>0</c:formatCode>
                <c:ptCount val="100"/>
                <c:pt idx="0">
                  <c:v>20000</c:v>
                </c:pt>
                <c:pt idx="1">
                  <c:v>17489.207114452369</c:v>
                </c:pt>
                <c:pt idx="2">
                  <c:v>15504.219626948561</c:v>
                </c:pt>
                <c:pt idx="3">
                  <c:v>14306.292298834454</c:v>
                </c:pt>
                <c:pt idx="4">
                  <c:v>13529.482173127772</c:v>
                </c:pt>
                <c:pt idx="5">
                  <c:v>13115.00375674496</c:v>
                </c:pt>
                <c:pt idx="6">
                  <c:v>13340.138857300766</c:v>
                </c:pt>
                <c:pt idx="7">
                  <c:v>14235.408210112182</c:v>
                </c:pt>
                <c:pt idx="8">
                  <c:v>15791.797068812553</c:v>
                </c:pt>
                <c:pt idx="9">
                  <c:v>17920.220607996511</c:v>
                </c:pt>
                <c:pt idx="10">
                  <c:v>19916.083398525792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17707.64866499139</c:v>
                </c:pt>
                <c:pt idx="28">
                  <c:v>15045.711047970632</c:v>
                </c:pt>
                <c:pt idx="29">
                  <c:v>12881.862583288832</c:v>
                </c:pt>
                <c:pt idx="30">
                  <c:v>11246.635033991362</c:v>
                </c:pt>
                <c:pt idx="31">
                  <c:v>10241.877071392977</c:v>
                </c:pt>
                <c:pt idx="32">
                  <c:v>9978.982522833885</c:v>
                </c:pt>
                <c:pt idx="33">
                  <c:v>10751.826191728058</c:v>
                </c:pt>
                <c:pt idx="34">
                  <c:v>12458.246973280769</c:v>
                </c:pt>
                <c:pt idx="35">
                  <c:v>15122.07278349123</c:v>
                </c:pt>
                <c:pt idx="36">
                  <c:v>18618.336352454797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19809.526229488536</c:v>
                </c:pt>
                <c:pt idx="51">
                  <c:v>16924.183458612621</c:v>
                </c:pt>
                <c:pt idx="52">
                  <c:v>14570.003782959437</c:v>
                </c:pt>
                <c:pt idx="53">
                  <c:v>12934.760139494741</c:v>
                </c:pt>
                <c:pt idx="54">
                  <c:v>11683.776720535992</c:v>
                </c:pt>
                <c:pt idx="55">
                  <c:v>10755.459879900729</c:v>
                </c:pt>
                <c:pt idx="56">
                  <c:v>10712.068533017609</c:v>
                </c:pt>
                <c:pt idx="57">
                  <c:v>11743.108451128681</c:v>
                </c:pt>
                <c:pt idx="58">
                  <c:v>13572.461944636327</c:v>
                </c:pt>
                <c:pt idx="59">
                  <c:v>16223.502053510672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17820.442242959332</c:v>
                </c:pt>
                <c:pt idx="75">
                  <c:v>15258.795874752486</c:v>
                </c:pt>
                <c:pt idx="76">
                  <c:v>13281.215791718367</c:v>
                </c:pt>
                <c:pt idx="77">
                  <c:v>12132.5016810953</c:v>
                </c:pt>
                <c:pt idx="78">
                  <c:v>11030.629944030896</c:v>
                </c:pt>
                <c:pt idx="79">
                  <c:v>10732.867573251157</c:v>
                </c:pt>
                <c:pt idx="80">
                  <c:v>11369.861901004293</c:v>
                </c:pt>
                <c:pt idx="81">
                  <c:v>12960.292037888448</c:v>
                </c:pt>
                <c:pt idx="82">
                  <c:v>15003.984242087925</c:v>
                </c:pt>
                <c:pt idx="83">
                  <c:v>18159.898454381138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B92-4398-90F9-0635F73C17C7}"/>
            </c:ext>
          </c:extLst>
        </c:ser>
        <c:ser>
          <c:idx val="31"/>
          <c:order val="31"/>
          <c:tx>
            <c:strRef>
              <c:f>RPlot!$EP$34</c:f>
              <c:strCache>
                <c:ptCount val="1"/>
                <c:pt idx="0">
                  <c:v>1y 204d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RPlot!$AT$34:$EO$34</c:f>
              <c:numCache>
                <c:formatCode>0</c:formatCode>
                <c:ptCount val="100"/>
                <c:pt idx="0">
                  <c:v>20000</c:v>
                </c:pt>
                <c:pt idx="1">
                  <c:v>18261.523916685204</c:v>
                </c:pt>
                <c:pt idx="2">
                  <c:v>16116.017613794778</c:v>
                </c:pt>
                <c:pt idx="3">
                  <c:v>14734.208383561923</c:v>
                </c:pt>
                <c:pt idx="4">
                  <c:v>13946.444891788122</c:v>
                </c:pt>
                <c:pt idx="5">
                  <c:v>13415.78866188633</c:v>
                </c:pt>
                <c:pt idx="6">
                  <c:v>13519.093023634883</c:v>
                </c:pt>
                <c:pt idx="7">
                  <c:v>14288.928022342259</c:v>
                </c:pt>
                <c:pt idx="8">
                  <c:v>15681.592036836591</c:v>
                </c:pt>
                <c:pt idx="9">
                  <c:v>17684.44932095191</c:v>
                </c:pt>
                <c:pt idx="10">
                  <c:v>19665.105402473764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18115.062956422495</c:v>
                </c:pt>
                <c:pt idx="28">
                  <c:v>15352.333324729809</c:v>
                </c:pt>
                <c:pt idx="29">
                  <c:v>13105.224314663825</c:v>
                </c:pt>
                <c:pt idx="30">
                  <c:v>11393.970979295562</c:v>
                </c:pt>
                <c:pt idx="31">
                  <c:v>10307.94189309908</c:v>
                </c:pt>
                <c:pt idx="32">
                  <c:v>10087.766455364446</c:v>
                </c:pt>
                <c:pt idx="33">
                  <c:v>10813.975399002426</c:v>
                </c:pt>
                <c:pt idx="34">
                  <c:v>12418.352529032105</c:v>
                </c:pt>
                <c:pt idx="35">
                  <c:v>14993.333523954854</c:v>
                </c:pt>
                <c:pt idx="36">
                  <c:v>18411.413071410352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19960.96949384196</c:v>
                </c:pt>
                <c:pt idx="51">
                  <c:v>16971.870690614094</c:v>
                </c:pt>
                <c:pt idx="52">
                  <c:v>14542.030147283001</c:v>
                </c:pt>
                <c:pt idx="53">
                  <c:v>12833.509533583323</c:v>
                </c:pt>
                <c:pt idx="54">
                  <c:v>11607.88665028984</c:v>
                </c:pt>
                <c:pt idx="55">
                  <c:v>10678.163322026252</c:v>
                </c:pt>
                <c:pt idx="56">
                  <c:v>10639.062750858864</c:v>
                </c:pt>
                <c:pt idx="57">
                  <c:v>11670.126981180061</c:v>
                </c:pt>
                <c:pt idx="58">
                  <c:v>13580.590814321386</c:v>
                </c:pt>
                <c:pt idx="59">
                  <c:v>16125.615840853077</c:v>
                </c:pt>
                <c:pt idx="60">
                  <c:v>19855.164400158283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17986.655909651086</c:v>
                </c:pt>
                <c:pt idx="75">
                  <c:v>15325.323110474961</c:v>
                </c:pt>
                <c:pt idx="76">
                  <c:v>13264.124840860788</c:v>
                </c:pt>
                <c:pt idx="77">
                  <c:v>11989.778074812735</c:v>
                </c:pt>
                <c:pt idx="78">
                  <c:v>10988.715800323234</c:v>
                </c:pt>
                <c:pt idx="79">
                  <c:v>10689.904444331209</c:v>
                </c:pt>
                <c:pt idx="80">
                  <c:v>11315.659221748438</c:v>
                </c:pt>
                <c:pt idx="81">
                  <c:v>12876.13750912085</c:v>
                </c:pt>
                <c:pt idx="82">
                  <c:v>14926.075772549008</c:v>
                </c:pt>
                <c:pt idx="83">
                  <c:v>18015.766708524374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B92-4398-90F9-0635F73C17C7}"/>
            </c:ext>
          </c:extLst>
        </c:ser>
        <c:ser>
          <c:idx val="32"/>
          <c:order val="32"/>
          <c:tx>
            <c:strRef>
              <c:f>RPlot!$EP$35</c:f>
              <c:strCache>
                <c:ptCount val="1"/>
                <c:pt idx="0">
                  <c:v>1y 218d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RPlot!$AT$35:$EO$35</c:f>
              <c:numCache>
                <c:formatCode>0</c:formatCode>
                <c:ptCount val="100"/>
                <c:pt idx="0">
                  <c:v>20000</c:v>
                </c:pt>
                <c:pt idx="1">
                  <c:v>19095.036004016838</c:v>
                </c:pt>
                <c:pt idx="2">
                  <c:v>16776.176996426693</c:v>
                </c:pt>
                <c:pt idx="3">
                  <c:v>15207.782332326424</c:v>
                </c:pt>
                <c:pt idx="4">
                  <c:v>14391.861005455617</c:v>
                </c:pt>
                <c:pt idx="5">
                  <c:v>13737.784017789598</c:v>
                </c:pt>
                <c:pt idx="6">
                  <c:v>13713.857920446661</c:v>
                </c:pt>
                <c:pt idx="7">
                  <c:v>14326.769536645421</c:v>
                </c:pt>
                <c:pt idx="8">
                  <c:v>15577.556416359035</c:v>
                </c:pt>
                <c:pt idx="9">
                  <c:v>17454.183134370895</c:v>
                </c:pt>
                <c:pt idx="10">
                  <c:v>19439.840651095321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18544.177867110804</c:v>
                </c:pt>
                <c:pt idx="28">
                  <c:v>15679.190618169814</c:v>
                </c:pt>
                <c:pt idx="29">
                  <c:v>13348.870930195189</c:v>
                </c:pt>
                <c:pt idx="30">
                  <c:v>11566.807490063744</c:v>
                </c:pt>
                <c:pt idx="31">
                  <c:v>10429.730920852842</c:v>
                </c:pt>
                <c:pt idx="32">
                  <c:v>10201.75055322124</c:v>
                </c:pt>
                <c:pt idx="33">
                  <c:v>10860.7191400957</c:v>
                </c:pt>
                <c:pt idx="34">
                  <c:v>12399.04763587074</c:v>
                </c:pt>
                <c:pt idx="35">
                  <c:v>14872.534965271256</c:v>
                </c:pt>
                <c:pt idx="36">
                  <c:v>18210.358056850564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17064.440019843001</c:v>
                </c:pt>
                <c:pt idx="52">
                  <c:v>14555.668363936013</c:v>
                </c:pt>
                <c:pt idx="53">
                  <c:v>12772.2466353866</c:v>
                </c:pt>
                <c:pt idx="54">
                  <c:v>11565.626735170537</c:v>
                </c:pt>
                <c:pt idx="55">
                  <c:v>10629.223296995306</c:v>
                </c:pt>
                <c:pt idx="56">
                  <c:v>10588.881070704676</c:v>
                </c:pt>
                <c:pt idx="57">
                  <c:v>11614.457248334376</c:v>
                </c:pt>
                <c:pt idx="58">
                  <c:v>13618.692584324708</c:v>
                </c:pt>
                <c:pt idx="59">
                  <c:v>16039.122510419138</c:v>
                </c:pt>
                <c:pt idx="60">
                  <c:v>19696.854965601931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18233.128010073749</c:v>
                </c:pt>
                <c:pt idx="75">
                  <c:v>15465.908184278036</c:v>
                </c:pt>
                <c:pt idx="76">
                  <c:v>13318.150483604168</c:v>
                </c:pt>
                <c:pt idx="77">
                  <c:v>11920.345267725559</c:v>
                </c:pt>
                <c:pt idx="78">
                  <c:v>10993.298678834424</c:v>
                </c:pt>
                <c:pt idx="79">
                  <c:v>10683.207064771297</c:v>
                </c:pt>
                <c:pt idx="80">
                  <c:v>11287.283704412152</c:v>
                </c:pt>
                <c:pt idx="81">
                  <c:v>12808.467323464849</c:v>
                </c:pt>
                <c:pt idx="82">
                  <c:v>14855.60604180369</c:v>
                </c:pt>
                <c:pt idx="83">
                  <c:v>17876.266879325587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B92-4398-90F9-0635F73C17C7}"/>
            </c:ext>
          </c:extLst>
        </c:ser>
        <c:ser>
          <c:idx val="33"/>
          <c:order val="33"/>
          <c:tx>
            <c:strRef>
              <c:f>RPlot!$EP$36</c:f>
              <c:strCache>
                <c:ptCount val="1"/>
                <c:pt idx="0">
                  <c:v>1y 232d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RPlot!$AT$36:$EO$36</c:f>
              <c:numCache>
                <c:formatCode>0</c:formatCode>
                <c:ptCount val="100"/>
                <c:pt idx="0">
                  <c:v>20000</c:v>
                </c:pt>
                <c:pt idx="1">
                  <c:v>19988.505119371504</c:v>
                </c:pt>
                <c:pt idx="2">
                  <c:v>17483.523143294013</c:v>
                </c:pt>
                <c:pt idx="3">
                  <c:v>15724.998457588023</c:v>
                </c:pt>
                <c:pt idx="4">
                  <c:v>14865.337729326604</c:v>
                </c:pt>
                <c:pt idx="5">
                  <c:v>14081.109869661588</c:v>
                </c:pt>
                <c:pt idx="6">
                  <c:v>13910.577260337606</c:v>
                </c:pt>
                <c:pt idx="7">
                  <c:v>14364.833599351683</c:v>
                </c:pt>
                <c:pt idx="8">
                  <c:v>15480.741804445568</c:v>
                </c:pt>
                <c:pt idx="9">
                  <c:v>17230.362488280258</c:v>
                </c:pt>
                <c:pt idx="10">
                  <c:v>19246.584406360467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18993.28482348875</c:v>
                </c:pt>
                <c:pt idx="28">
                  <c:v>16024.346377775848</c:v>
                </c:pt>
                <c:pt idx="29">
                  <c:v>13610.162992872869</c:v>
                </c:pt>
                <c:pt idx="30">
                  <c:v>11759.352433310569</c:v>
                </c:pt>
                <c:pt idx="31">
                  <c:v>10579.438173539984</c:v>
                </c:pt>
                <c:pt idx="32">
                  <c:v>10320.480343021629</c:v>
                </c:pt>
                <c:pt idx="33">
                  <c:v>10910.402796542279</c:v>
                </c:pt>
                <c:pt idx="34">
                  <c:v>12408.038434817605</c:v>
                </c:pt>
                <c:pt idx="35">
                  <c:v>14760.776267500845</c:v>
                </c:pt>
                <c:pt idx="36">
                  <c:v>18015.301026047182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17199.459858549228</c:v>
                </c:pt>
                <c:pt idx="52">
                  <c:v>14608.84730290162</c:v>
                </c:pt>
                <c:pt idx="53">
                  <c:v>12748.86841145118</c:v>
                </c:pt>
                <c:pt idx="54">
                  <c:v>11555.397614840076</c:v>
                </c:pt>
                <c:pt idx="55">
                  <c:v>10607.130374335844</c:v>
                </c:pt>
                <c:pt idx="56">
                  <c:v>10560.027310531461</c:v>
                </c:pt>
                <c:pt idx="57">
                  <c:v>11574.615827668218</c:v>
                </c:pt>
                <c:pt idx="58">
                  <c:v>13672.089825179732</c:v>
                </c:pt>
                <c:pt idx="59">
                  <c:v>15963.571371834299</c:v>
                </c:pt>
                <c:pt idx="60">
                  <c:v>19544.450916706639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18558.150869620527</c:v>
                </c:pt>
                <c:pt idx="75">
                  <c:v>15678.793862028337</c:v>
                </c:pt>
                <c:pt idx="76">
                  <c:v>13440.959844299228</c:v>
                </c:pt>
                <c:pt idx="77">
                  <c:v>11930.045493401543</c:v>
                </c:pt>
                <c:pt idx="78">
                  <c:v>11042.129013657443</c:v>
                </c:pt>
                <c:pt idx="79">
                  <c:v>10710.43157695192</c:v>
                </c:pt>
                <c:pt idx="80">
                  <c:v>11282.564328960654</c:v>
                </c:pt>
                <c:pt idx="81">
                  <c:v>12755.563495710559</c:v>
                </c:pt>
                <c:pt idx="82">
                  <c:v>14790.828524442233</c:v>
                </c:pt>
                <c:pt idx="83">
                  <c:v>17740.774797012768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B92-4398-90F9-0635F73C17C7}"/>
            </c:ext>
          </c:extLst>
        </c:ser>
        <c:ser>
          <c:idx val="34"/>
          <c:order val="34"/>
          <c:tx>
            <c:strRef>
              <c:f>RPlot!$EP$37</c:f>
              <c:strCache>
                <c:ptCount val="1"/>
                <c:pt idx="0">
                  <c:v>1y 245d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RPlot!$AT$37:$EO$37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18237.289323301226</c:v>
                </c:pt>
                <c:pt idx="3">
                  <c:v>16284.309629665018</c:v>
                </c:pt>
                <c:pt idx="4">
                  <c:v>15191.669904859513</c:v>
                </c:pt>
                <c:pt idx="5">
                  <c:v>14443.844164675391</c:v>
                </c:pt>
                <c:pt idx="6">
                  <c:v>14100.21307085602</c:v>
                </c:pt>
                <c:pt idx="7">
                  <c:v>14413.110250771286</c:v>
                </c:pt>
                <c:pt idx="8">
                  <c:v>15392.223152372562</c:v>
                </c:pt>
                <c:pt idx="9">
                  <c:v>17013.941456520188</c:v>
                </c:pt>
                <c:pt idx="10">
                  <c:v>19094.04180034739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19461.029335038522</c:v>
                </c:pt>
                <c:pt idx="28">
                  <c:v>16386.266467786721</c:v>
                </c:pt>
                <c:pt idx="29">
                  <c:v>13887.078529955088</c:v>
                </c:pt>
                <c:pt idx="30">
                  <c:v>11967.709248791984</c:v>
                </c:pt>
                <c:pt idx="31">
                  <c:v>10744.448706431052</c:v>
                </c:pt>
                <c:pt idx="32">
                  <c:v>10443.633483584224</c:v>
                </c:pt>
                <c:pt idx="33">
                  <c:v>10962.891894141381</c:v>
                </c:pt>
                <c:pt idx="34">
                  <c:v>12457.199513767122</c:v>
                </c:pt>
                <c:pt idx="35">
                  <c:v>14659.589951130987</c:v>
                </c:pt>
                <c:pt idx="36">
                  <c:v>17826.473193670819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17374.61920146269</c:v>
                </c:pt>
                <c:pt idx="52">
                  <c:v>14699.532029269176</c:v>
                </c:pt>
                <c:pt idx="53">
                  <c:v>12761.343817460845</c:v>
                </c:pt>
                <c:pt idx="54">
                  <c:v>11575.59551782814</c:v>
                </c:pt>
                <c:pt idx="55">
                  <c:v>10610.380278015145</c:v>
                </c:pt>
                <c:pt idx="56">
                  <c:v>10551.044368992501</c:v>
                </c:pt>
                <c:pt idx="57">
                  <c:v>11549.218528784613</c:v>
                </c:pt>
                <c:pt idx="58">
                  <c:v>13619.92559939642</c:v>
                </c:pt>
                <c:pt idx="59">
                  <c:v>15898.812966648478</c:v>
                </c:pt>
                <c:pt idx="60">
                  <c:v>19397.350312389681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18960.154940905075</c:v>
                </c:pt>
                <c:pt idx="75">
                  <c:v>15962.171732630808</c:v>
                </c:pt>
                <c:pt idx="76">
                  <c:v>13630.14771112802</c:v>
                </c:pt>
                <c:pt idx="77">
                  <c:v>12013.027589362979</c:v>
                </c:pt>
                <c:pt idx="78">
                  <c:v>11132.984789255517</c:v>
                </c:pt>
                <c:pt idx="79">
                  <c:v>10769.430882668426</c:v>
                </c:pt>
                <c:pt idx="80">
                  <c:v>11299.670846978912</c:v>
                </c:pt>
                <c:pt idx="81">
                  <c:v>12716.084521495273</c:v>
                </c:pt>
                <c:pt idx="82">
                  <c:v>14730.293147274755</c:v>
                </c:pt>
                <c:pt idx="83">
                  <c:v>17609.124712043435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B92-4398-90F9-0635F73C17C7}"/>
            </c:ext>
          </c:extLst>
        </c:ser>
        <c:ser>
          <c:idx val="35"/>
          <c:order val="35"/>
          <c:tx>
            <c:strRef>
              <c:f>RPlot!$EP$38</c:f>
              <c:strCache>
                <c:ptCount val="1"/>
                <c:pt idx="0">
                  <c:v>1y 259d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RPlot!$AT$38:$EO$38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19036.995354770625</c:v>
                </c:pt>
                <c:pt idx="3">
                  <c:v>16884.498866881218</c:v>
                </c:pt>
                <c:pt idx="4">
                  <c:v>15556.989603102224</c:v>
                </c:pt>
                <c:pt idx="5">
                  <c:v>14792.638366560655</c:v>
                </c:pt>
                <c:pt idx="6">
                  <c:v>14303.713257752581</c:v>
                </c:pt>
                <c:pt idx="7">
                  <c:v>14472.629847534805</c:v>
                </c:pt>
                <c:pt idx="8">
                  <c:v>15313.075038985169</c:v>
                </c:pt>
                <c:pt idx="9">
                  <c:v>16805.873626427187</c:v>
                </c:pt>
                <c:pt idx="10">
                  <c:v>18905.369760614176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19946.352340802423</c:v>
                </c:pt>
                <c:pt idx="28">
                  <c:v>16763.75010495061</c:v>
                </c:pt>
                <c:pt idx="29">
                  <c:v>14178.075968170922</c:v>
                </c:pt>
                <c:pt idx="30">
                  <c:v>12189.225505517166</c:v>
                </c:pt>
                <c:pt idx="31">
                  <c:v>10918.800886089779</c:v>
                </c:pt>
                <c:pt idx="32">
                  <c:v>10570.996100801949</c:v>
                </c:pt>
                <c:pt idx="33">
                  <c:v>11018.126431987559</c:v>
                </c:pt>
                <c:pt idx="34">
                  <c:v>12454.520482369979</c:v>
                </c:pt>
                <c:pt idx="35">
                  <c:v>14571.079512590954</c:v>
                </c:pt>
                <c:pt idx="36">
                  <c:v>17644.218815730248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17587.77572236834</c:v>
                </c:pt>
                <c:pt idx="52">
                  <c:v>14825.761353692857</c:v>
                </c:pt>
                <c:pt idx="53">
                  <c:v>12807.720291518559</c:v>
                </c:pt>
                <c:pt idx="54">
                  <c:v>11624.631251374611</c:v>
                </c:pt>
                <c:pt idx="55">
                  <c:v>10637.49549081871</c:v>
                </c:pt>
                <c:pt idx="56">
                  <c:v>10560.539878902235</c:v>
                </c:pt>
                <c:pt idx="57">
                  <c:v>11536.998992722587</c:v>
                </c:pt>
                <c:pt idx="58">
                  <c:v>13576.411546564745</c:v>
                </c:pt>
                <c:pt idx="59">
                  <c:v>15845.033962162801</c:v>
                </c:pt>
                <c:pt idx="60">
                  <c:v>19255.08724193454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19437.904882034036</c:v>
                </c:pt>
                <c:pt idx="75">
                  <c:v>16314.366992857711</c:v>
                </c:pt>
                <c:pt idx="76">
                  <c:v>13883.388059811583</c:v>
                </c:pt>
                <c:pt idx="77">
                  <c:v>12164.107169521969</c:v>
                </c:pt>
                <c:pt idx="78">
                  <c:v>11263.822626611156</c:v>
                </c:pt>
                <c:pt idx="79">
                  <c:v>10858.36581827675</c:v>
                </c:pt>
                <c:pt idx="80">
                  <c:v>11337.163210108676</c:v>
                </c:pt>
                <c:pt idx="81">
                  <c:v>12689.065462880308</c:v>
                </c:pt>
                <c:pt idx="82">
                  <c:v>14673.067567688771</c:v>
                </c:pt>
                <c:pt idx="83">
                  <c:v>17481.774069329051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B92-4398-90F9-0635F73C17C7}"/>
            </c:ext>
          </c:extLst>
        </c:ser>
        <c:ser>
          <c:idx val="36"/>
          <c:order val="36"/>
          <c:tx>
            <c:strRef>
              <c:f>RPlot!$EP$39</c:f>
              <c:strCache>
                <c:ptCount val="1"/>
                <c:pt idx="0">
                  <c:v>1y 273d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RPlot!$AT$39:$EO$39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19882.345666954956</c:v>
                </c:pt>
                <c:pt idx="3">
                  <c:v>17524.580506635077</c:v>
                </c:pt>
                <c:pt idx="4">
                  <c:v>15969.810948394803</c:v>
                </c:pt>
                <c:pt idx="5">
                  <c:v>15159.440417802298</c:v>
                </c:pt>
                <c:pt idx="6">
                  <c:v>14521.863014621991</c:v>
                </c:pt>
                <c:pt idx="7">
                  <c:v>14544.394605454007</c:v>
                </c:pt>
                <c:pt idx="8">
                  <c:v>15244.351060721654</c:v>
                </c:pt>
                <c:pt idx="9">
                  <c:v>16607.098624326965</c:v>
                </c:pt>
                <c:pt idx="10">
                  <c:v>18589.276638910924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17155.872647816192</c:v>
                </c:pt>
                <c:pt idx="29">
                  <c:v>14481.990842926392</c:v>
                </c:pt>
                <c:pt idx="30">
                  <c:v>12422.087033844826</c:v>
                </c:pt>
                <c:pt idx="31">
                  <c:v>11099.635739497553</c:v>
                </c:pt>
                <c:pt idx="32">
                  <c:v>10702.444106974352</c:v>
                </c:pt>
                <c:pt idx="33">
                  <c:v>11076.107345429768</c:v>
                </c:pt>
                <c:pt idx="34">
                  <c:v>12438.409081423797</c:v>
                </c:pt>
                <c:pt idx="35">
                  <c:v>14498.120762539569</c:v>
                </c:pt>
                <c:pt idx="36">
                  <c:v>17469.013228547592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17836.999514626346</c:v>
                </c:pt>
                <c:pt idx="52">
                  <c:v>14985.690792753285</c:v>
                </c:pt>
                <c:pt idx="53">
                  <c:v>12886.145312194687</c:v>
                </c:pt>
                <c:pt idx="54">
                  <c:v>11700.959893907049</c:v>
                </c:pt>
                <c:pt idx="55">
                  <c:v>10687.054697252806</c:v>
                </c:pt>
                <c:pt idx="56">
                  <c:v>10587.21266678866</c:v>
                </c:pt>
                <c:pt idx="57">
                  <c:v>11536.823228903524</c:v>
                </c:pt>
                <c:pt idx="58">
                  <c:v>13540.648531363699</c:v>
                </c:pt>
                <c:pt idx="59">
                  <c:v>15802.809247783041</c:v>
                </c:pt>
                <c:pt idx="60">
                  <c:v>19117.324899225459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19990.672561056359</c:v>
                </c:pt>
                <c:pt idx="75">
                  <c:v>16734.021121364654</c:v>
                </c:pt>
                <c:pt idx="76">
                  <c:v>14198.599277602239</c:v>
                </c:pt>
                <c:pt idx="77">
                  <c:v>12378.78083496424</c:v>
                </c:pt>
                <c:pt idx="78">
                  <c:v>11370.803057448938</c:v>
                </c:pt>
                <c:pt idx="79">
                  <c:v>10975.785589743624</c:v>
                </c:pt>
                <c:pt idx="80">
                  <c:v>11394.01678130582</c:v>
                </c:pt>
                <c:pt idx="81">
                  <c:v>12673.907994192681</c:v>
                </c:pt>
                <c:pt idx="82">
                  <c:v>14619.555152641802</c:v>
                </c:pt>
                <c:pt idx="83">
                  <c:v>17360.14410646446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B92-4398-90F9-0635F73C17C7}"/>
            </c:ext>
          </c:extLst>
        </c:ser>
        <c:ser>
          <c:idx val="37"/>
          <c:order val="37"/>
          <c:tx>
            <c:strRef>
              <c:f>RPlot!$EP$40</c:f>
              <c:strCache>
                <c:ptCount val="1"/>
                <c:pt idx="0">
                  <c:v>1y 287d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RPlot!$AT$40:$EO$40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18203.729021474574</c:v>
                </c:pt>
                <c:pt idx="4">
                  <c:v>16426.93705334299</c:v>
                </c:pt>
                <c:pt idx="5">
                  <c:v>15544.725324551862</c:v>
                </c:pt>
                <c:pt idx="6">
                  <c:v>14755.401766527824</c:v>
                </c:pt>
                <c:pt idx="7">
                  <c:v>14629.353727693631</c:v>
                </c:pt>
                <c:pt idx="8">
                  <c:v>15187.065966174536</c:v>
                </c:pt>
                <c:pt idx="9">
                  <c:v>16418.533125896531</c:v>
                </c:pt>
                <c:pt idx="10">
                  <c:v>18282.957359253789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17561.938596851407</c:v>
                </c:pt>
                <c:pt idx="29">
                  <c:v>14797.957190228371</c:v>
                </c:pt>
                <c:pt idx="30">
                  <c:v>12665.058084527704</c:v>
                </c:pt>
                <c:pt idx="31">
                  <c:v>11285.622192121582</c:v>
                </c:pt>
                <c:pt idx="32">
                  <c:v>10837.927221980066</c:v>
                </c:pt>
                <c:pt idx="33">
                  <c:v>11136.885467060594</c:v>
                </c:pt>
                <c:pt idx="34">
                  <c:v>12424.271583917071</c:v>
                </c:pt>
                <c:pt idx="35">
                  <c:v>14444.656696931206</c:v>
                </c:pt>
                <c:pt idx="36">
                  <c:v>17301.489070581265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18120.608122160138</c:v>
                </c:pt>
                <c:pt idx="52">
                  <c:v>15177.634400821893</c:v>
                </c:pt>
                <c:pt idx="53">
                  <c:v>12994.895453729172</c:v>
                </c:pt>
                <c:pt idx="54">
                  <c:v>11803.115601526826</c:v>
                </c:pt>
                <c:pt idx="55">
                  <c:v>10757.722904081955</c:v>
                </c:pt>
                <c:pt idx="56">
                  <c:v>10629.876705115177</c:v>
                </c:pt>
                <c:pt idx="57">
                  <c:v>11547.699376541583</c:v>
                </c:pt>
                <c:pt idx="58">
                  <c:v>13511.879769884617</c:v>
                </c:pt>
                <c:pt idx="59">
                  <c:v>15773.179556468454</c:v>
                </c:pt>
                <c:pt idx="60">
                  <c:v>18983.851835457634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17220.248307915128</c:v>
                </c:pt>
                <c:pt idx="76">
                  <c:v>14574.091941538612</c:v>
                </c:pt>
                <c:pt idx="77">
                  <c:v>12653.265288121274</c:v>
                </c:pt>
                <c:pt idx="78">
                  <c:v>11514.903946923598</c:v>
                </c:pt>
                <c:pt idx="79">
                  <c:v>11120.676776794935</c:v>
                </c:pt>
                <c:pt idx="80">
                  <c:v>11469.628482394633</c:v>
                </c:pt>
                <c:pt idx="81">
                  <c:v>12670.366670546273</c:v>
                </c:pt>
                <c:pt idx="82">
                  <c:v>14574.450483113156</c:v>
                </c:pt>
                <c:pt idx="83">
                  <c:v>17247.328603345963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B92-4398-90F9-0635F73C17C7}"/>
            </c:ext>
          </c:extLst>
        </c:ser>
        <c:ser>
          <c:idx val="38"/>
          <c:order val="38"/>
          <c:tx>
            <c:strRef>
              <c:f>RPlot!$EP$41</c:f>
              <c:strCache>
                <c:ptCount val="1"/>
                <c:pt idx="0">
                  <c:v>1y 300d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RPlot!$AT$41:$EO$41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18921.226722643332</c:v>
                </c:pt>
                <c:pt idx="4">
                  <c:v>16925.626188789778</c:v>
                </c:pt>
                <c:pt idx="5">
                  <c:v>15814.526339618465</c:v>
                </c:pt>
                <c:pt idx="6">
                  <c:v>15005.000331072342</c:v>
                </c:pt>
                <c:pt idx="7">
                  <c:v>14728.383498966554</c:v>
                </c:pt>
                <c:pt idx="8">
                  <c:v>15142.180304352023</c:v>
                </c:pt>
                <c:pt idx="9">
                  <c:v>16241.060163844899</c:v>
                </c:pt>
                <c:pt idx="10">
                  <c:v>17987.105455435467</c:v>
                </c:pt>
                <c:pt idx="11">
                  <c:v>19983.084841005686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17981.443241897818</c:v>
                </c:pt>
                <c:pt idx="29">
                  <c:v>15125.347288760851</c:v>
                </c:pt>
                <c:pt idx="30">
                  <c:v>12917.310795580708</c:v>
                </c:pt>
                <c:pt idx="31">
                  <c:v>11476.21487202384</c:v>
                </c:pt>
                <c:pt idx="32">
                  <c:v>10977.455976038393</c:v>
                </c:pt>
                <c:pt idx="33">
                  <c:v>11200.552587747161</c:v>
                </c:pt>
                <c:pt idx="34">
                  <c:v>12412.220122194823</c:v>
                </c:pt>
                <c:pt idx="35">
                  <c:v>14416.132090226132</c:v>
                </c:pt>
                <c:pt idx="36">
                  <c:v>17142.473177028733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18437.191030793645</c:v>
                </c:pt>
                <c:pt idx="52">
                  <c:v>15400.10073556615</c:v>
                </c:pt>
                <c:pt idx="53">
                  <c:v>13132.406530666165</c:v>
                </c:pt>
                <c:pt idx="54">
                  <c:v>11929.746131337612</c:v>
                </c:pt>
                <c:pt idx="55">
                  <c:v>10848.281088755803</c:v>
                </c:pt>
                <c:pt idx="56">
                  <c:v>10687.480443401488</c:v>
                </c:pt>
                <c:pt idx="57">
                  <c:v>11568.782767071954</c:v>
                </c:pt>
                <c:pt idx="58">
                  <c:v>13461.589155283185</c:v>
                </c:pt>
                <c:pt idx="59">
                  <c:v>15757.767086018499</c:v>
                </c:pt>
                <c:pt idx="60">
                  <c:v>18854.582001674746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17772.755904081521</c:v>
                </c:pt>
                <c:pt idx="76">
                  <c:v>15008.687833919241</c:v>
                </c:pt>
                <c:pt idx="77">
                  <c:v>12984.533303075912</c:v>
                </c:pt>
                <c:pt idx="78">
                  <c:v>11728.502611131304</c:v>
                </c:pt>
                <c:pt idx="79">
                  <c:v>11292.485253314499</c:v>
                </c:pt>
                <c:pt idx="80">
                  <c:v>11563.809759015567</c:v>
                </c:pt>
                <c:pt idx="81">
                  <c:v>12678.531323704006</c:v>
                </c:pt>
                <c:pt idx="82">
                  <c:v>14558.501238815303</c:v>
                </c:pt>
                <c:pt idx="83">
                  <c:v>17149.622161714957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B92-4398-90F9-0635F73C17C7}"/>
            </c:ext>
          </c:extLst>
        </c:ser>
        <c:ser>
          <c:idx val="39"/>
          <c:order val="39"/>
          <c:tx>
            <c:strRef>
              <c:f>RPlot!$EP$42</c:f>
              <c:strCache>
                <c:ptCount val="1"/>
                <c:pt idx="0">
                  <c:v>1y 314d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RPlot!$AT$42:$EO$42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19676.424163659096</c:v>
                </c:pt>
                <c:pt idx="4">
                  <c:v>17463.504112126888</c:v>
                </c:pt>
                <c:pt idx="5">
                  <c:v>16099.688039254426</c:v>
                </c:pt>
                <c:pt idx="6">
                  <c:v>15271.245236887158</c:v>
                </c:pt>
                <c:pt idx="7">
                  <c:v>14842.27211889379</c:v>
                </c:pt>
                <c:pt idx="8">
                  <c:v>15110.587483591107</c:v>
                </c:pt>
                <c:pt idx="9">
                  <c:v>16075.521198878634</c:v>
                </c:pt>
                <c:pt idx="10">
                  <c:v>17702.388656287058</c:v>
                </c:pt>
                <c:pt idx="11">
                  <c:v>19712.704585095042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18414.041536983295</c:v>
                </c:pt>
                <c:pt idx="29">
                  <c:v>15463.725228490464</c:v>
                </c:pt>
                <c:pt idx="30">
                  <c:v>13178.310765963524</c:v>
                </c:pt>
                <c:pt idx="31">
                  <c:v>11671.288854756629</c:v>
                </c:pt>
                <c:pt idx="32">
                  <c:v>11121.091148121675</c:v>
                </c:pt>
                <c:pt idx="33">
                  <c:v>11267.234246572722</c:v>
                </c:pt>
                <c:pt idx="34">
                  <c:v>12402.3898765343</c:v>
                </c:pt>
                <c:pt idx="35">
                  <c:v>14420.139958843778</c:v>
                </c:pt>
                <c:pt idx="36">
                  <c:v>16993.037777016205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18785.623825587485</c:v>
                </c:pt>
                <c:pt idx="52">
                  <c:v>15651.820370298892</c:v>
                </c:pt>
                <c:pt idx="53">
                  <c:v>13297.30023451813</c:v>
                </c:pt>
                <c:pt idx="54">
                  <c:v>12019.450845670513</c:v>
                </c:pt>
                <c:pt idx="55">
                  <c:v>10957.650471266017</c:v>
                </c:pt>
                <c:pt idx="56">
                  <c:v>10759.120587462665</c:v>
                </c:pt>
                <c:pt idx="57">
                  <c:v>11583.030855873229</c:v>
                </c:pt>
                <c:pt idx="58">
                  <c:v>13413.256663232776</c:v>
                </c:pt>
                <c:pt idx="59">
                  <c:v>15758.948452640383</c:v>
                </c:pt>
                <c:pt idx="60">
                  <c:v>18729.55945324423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18391.923584295677</c:v>
                </c:pt>
                <c:pt idx="76">
                  <c:v>15501.802172678261</c:v>
                </c:pt>
                <c:pt idx="77">
                  <c:v>13370.333608966721</c:v>
                </c:pt>
                <c:pt idx="78">
                  <c:v>12003.66673697318</c:v>
                </c:pt>
                <c:pt idx="79">
                  <c:v>11439.891829061833</c:v>
                </c:pt>
                <c:pt idx="80">
                  <c:v>11676.770732033576</c:v>
                </c:pt>
                <c:pt idx="81">
                  <c:v>12698.810508923336</c:v>
                </c:pt>
                <c:pt idx="82">
                  <c:v>14603.001768847889</c:v>
                </c:pt>
                <c:pt idx="83">
                  <c:v>17080.006454147286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EB92-4398-90F9-0635F73C17C7}"/>
            </c:ext>
          </c:extLst>
        </c:ser>
        <c:ser>
          <c:idx val="40"/>
          <c:order val="40"/>
          <c:tx>
            <c:strRef>
              <c:f>RPlot!$EP$43</c:f>
              <c:strCache>
                <c:ptCount val="1"/>
                <c:pt idx="0">
                  <c:v>1y 328d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RPlot!$AT$43:$EO$43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18038.504301656918</c:v>
                </c:pt>
                <c:pt idx="5">
                  <c:v>16435.210160883795</c:v>
                </c:pt>
                <c:pt idx="6">
                  <c:v>15554.629389596415</c:v>
                </c:pt>
                <c:pt idx="7">
                  <c:v>14971.709063997612</c:v>
                </c:pt>
                <c:pt idx="8">
                  <c:v>15093.103503311231</c:v>
                </c:pt>
                <c:pt idx="9">
                  <c:v>15922.708874597154</c:v>
                </c:pt>
                <c:pt idx="10">
                  <c:v>17429.445511159007</c:v>
                </c:pt>
                <c:pt idx="11">
                  <c:v>19473.353696130223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18859.522956645516</c:v>
                </c:pt>
                <c:pt idx="29">
                  <c:v>15812.811008962344</c:v>
                </c:pt>
                <c:pt idx="30">
                  <c:v>13447.738423011095</c:v>
                </c:pt>
                <c:pt idx="31">
                  <c:v>11870.950596464711</c:v>
                </c:pt>
                <c:pt idx="32">
                  <c:v>11268.935257006206</c:v>
                </c:pt>
                <c:pt idx="33">
                  <c:v>11337.083998358265</c:v>
                </c:pt>
                <c:pt idx="34">
                  <c:v>12394.935469547438</c:v>
                </c:pt>
                <c:pt idx="35">
                  <c:v>14379.336497133649</c:v>
                </c:pt>
                <c:pt idx="36">
                  <c:v>16854.571275912727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19165.073536259602</c:v>
                </c:pt>
                <c:pt idx="52">
                  <c:v>15931.764315368695</c:v>
                </c:pt>
                <c:pt idx="53">
                  <c:v>13488.404658279076</c:v>
                </c:pt>
                <c:pt idx="54">
                  <c:v>12090.196538158763</c:v>
                </c:pt>
                <c:pt idx="55">
                  <c:v>11084.910776257784</c:v>
                </c:pt>
                <c:pt idx="56">
                  <c:v>10837.568388012194</c:v>
                </c:pt>
                <c:pt idx="57">
                  <c:v>11593.060432273152</c:v>
                </c:pt>
                <c:pt idx="58">
                  <c:v>13368.821710489074</c:v>
                </c:pt>
                <c:pt idx="59">
                  <c:v>15780.115898849377</c:v>
                </c:pt>
                <c:pt idx="60">
                  <c:v>18608.969007256055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19078.851830269727</c:v>
                </c:pt>
                <c:pt idx="76">
                  <c:v>16053.493238774183</c:v>
                </c:pt>
                <c:pt idx="77">
                  <c:v>13809.191897766304</c:v>
                </c:pt>
                <c:pt idx="78">
                  <c:v>12334.457721330273</c:v>
                </c:pt>
                <c:pt idx="79">
                  <c:v>11655.231127555444</c:v>
                </c:pt>
                <c:pt idx="80">
                  <c:v>11793.124968552826</c:v>
                </c:pt>
                <c:pt idx="81">
                  <c:v>12825.107116678624</c:v>
                </c:pt>
                <c:pt idx="82">
                  <c:v>14648.429148965482</c:v>
                </c:pt>
                <c:pt idx="83">
                  <c:v>17066.716243119336</c:v>
                </c:pt>
                <c:pt idx="84">
                  <c:v>19848.791011342117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B92-4398-90F9-0635F73C17C7}"/>
            </c:ext>
          </c:extLst>
        </c:ser>
        <c:ser>
          <c:idx val="41"/>
          <c:order val="41"/>
          <c:tx>
            <c:strRef>
              <c:f>RPlot!$EP$44</c:f>
              <c:strCache>
                <c:ptCount val="1"/>
                <c:pt idx="0">
                  <c:v>1y 342d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RPlot!$AT$44:$EO$44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18648.821769808892</c:v>
                </c:pt>
                <c:pt idx="5">
                  <c:v>16816.26459780072</c:v>
                </c:pt>
                <c:pt idx="6">
                  <c:v>15855.548366351046</c:v>
                </c:pt>
                <c:pt idx="7">
                  <c:v>15117.279007458215</c:v>
                </c:pt>
                <c:pt idx="8">
                  <c:v>15090.457433139114</c:v>
                </c:pt>
                <c:pt idx="9">
                  <c:v>15783.360754531315</c:v>
                </c:pt>
                <c:pt idx="10">
                  <c:v>17168.882489601954</c:v>
                </c:pt>
                <c:pt idx="11">
                  <c:v>19191.089594784433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19317.791267524211</c:v>
                </c:pt>
                <c:pt idx="29">
                  <c:v>16172.452726570551</c:v>
                </c:pt>
                <c:pt idx="30">
                  <c:v>13725.435982470541</c:v>
                </c:pt>
                <c:pt idx="31">
                  <c:v>12075.436955468673</c:v>
                </c:pt>
                <c:pt idx="32">
                  <c:v>11421.125771168974</c:v>
                </c:pt>
                <c:pt idx="33">
                  <c:v>11410.278854141474</c:v>
                </c:pt>
                <c:pt idx="34">
                  <c:v>12385.207373137657</c:v>
                </c:pt>
                <c:pt idx="35">
                  <c:v>14277.063736619868</c:v>
                </c:pt>
                <c:pt idx="36">
                  <c:v>16728.876342448671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19574.997315172088</c:v>
                </c:pt>
                <c:pt idx="52">
                  <c:v>16239.154137253099</c:v>
                </c:pt>
                <c:pt idx="53">
                  <c:v>13704.767622929834</c:v>
                </c:pt>
                <c:pt idx="54">
                  <c:v>12189.320736367932</c:v>
                </c:pt>
                <c:pt idx="55">
                  <c:v>11229.312131084916</c:v>
                </c:pt>
                <c:pt idx="56">
                  <c:v>10906.876352419011</c:v>
                </c:pt>
                <c:pt idx="57">
                  <c:v>11609.94101279976</c:v>
                </c:pt>
                <c:pt idx="58">
                  <c:v>13328.044362744533</c:v>
                </c:pt>
                <c:pt idx="59">
                  <c:v>15826.077777418777</c:v>
                </c:pt>
                <c:pt idx="60">
                  <c:v>18493.154808663876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19835.3838531529</c:v>
                </c:pt>
                <c:pt idx="76">
                  <c:v>16664.486062526936</c:v>
                </c:pt>
                <c:pt idx="77">
                  <c:v>14300.395620366635</c:v>
                </c:pt>
                <c:pt idx="78">
                  <c:v>12716.626044576995</c:v>
                </c:pt>
                <c:pt idx="79">
                  <c:v>11931.984391317961</c:v>
                </c:pt>
                <c:pt idx="80">
                  <c:v>11986.431775861694</c:v>
                </c:pt>
                <c:pt idx="81">
                  <c:v>12985.856605531775</c:v>
                </c:pt>
                <c:pt idx="82">
                  <c:v>14699.469310354219</c:v>
                </c:pt>
                <c:pt idx="83">
                  <c:v>17036.560196536277</c:v>
                </c:pt>
                <c:pt idx="84">
                  <c:v>19700.730229562727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EB92-4398-90F9-0635F73C17C7}"/>
            </c:ext>
          </c:extLst>
        </c:ser>
        <c:ser>
          <c:idx val="42"/>
          <c:order val="42"/>
          <c:tx>
            <c:strRef>
              <c:f>RPlot!$EP$45</c:f>
              <c:strCache>
                <c:ptCount val="1"/>
                <c:pt idx="0">
                  <c:v>1y 355d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RPlot!$AT$45:$EO$45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19292.873667133324</c:v>
                </c:pt>
                <c:pt idx="5">
                  <c:v>17238.666330649277</c:v>
                </c:pt>
                <c:pt idx="6">
                  <c:v>16070.561466824456</c:v>
                </c:pt>
                <c:pt idx="7">
                  <c:v>15279.45818494734</c:v>
                </c:pt>
                <c:pt idx="8">
                  <c:v>15103.287922385265</c:v>
                </c:pt>
                <c:pt idx="9">
                  <c:v>15658.154009765674</c:v>
                </c:pt>
                <c:pt idx="10">
                  <c:v>16921.271463382844</c:v>
                </c:pt>
                <c:pt idx="11">
                  <c:v>18837.90914620621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19788.848318849883</c:v>
                </c:pt>
                <c:pt idx="29">
                  <c:v>16542.60502170839</c:v>
                </c:pt>
                <c:pt idx="30">
                  <c:v>14011.367162019927</c:v>
                </c:pt>
                <c:pt idx="31">
                  <c:v>12285.059636574904</c:v>
                </c:pt>
                <c:pt idx="32">
                  <c:v>11577.82975253461</c:v>
                </c:pt>
                <c:pt idx="33">
                  <c:v>11487.015724384921</c:v>
                </c:pt>
                <c:pt idx="34">
                  <c:v>12358.520440165803</c:v>
                </c:pt>
                <c:pt idx="35">
                  <c:v>14179.005674447899</c:v>
                </c:pt>
                <c:pt idx="36">
                  <c:v>16618.306669039539</c:v>
                </c:pt>
                <c:pt idx="37">
                  <c:v>19821.225105253325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16573.465388262426</c:v>
                </c:pt>
                <c:pt idx="53">
                  <c:v>13945.664613521471</c:v>
                </c:pt>
                <c:pt idx="54">
                  <c:v>12315.254157417978</c:v>
                </c:pt>
                <c:pt idx="55">
                  <c:v>11365.038899571156</c:v>
                </c:pt>
                <c:pt idx="56">
                  <c:v>10986.66196945766</c:v>
                </c:pt>
                <c:pt idx="57">
                  <c:v>11633.409275612084</c:v>
                </c:pt>
                <c:pt idx="58">
                  <c:v>13290.786424273003</c:v>
                </c:pt>
                <c:pt idx="59">
                  <c:v>15836.6183886664</c:v>
                </c:pt>
                <c:pt idx="60">
                  <c:v>18382.649822335163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17336.17774171018</c:v>
                </c:pt>
                <c:pt idx="77">
                  <c:v>14843.967204817374</c:v>
                </c:pt>
                <c:pt idx="78">
                  <c:v>13147.364246500743</c:v>
                </c:pt>
                <c:pt idx="79">
                  <c:v>12259.788551213675</c:v>
                </c:pt>
                <c:pt idx="80">
                  <c:v>12236.327038302617</c:v>
                </c:pt>
                <c:pt idx="81">
                  <c:v>13158.813181723503</c:v>
                </c:pt>
                <c:pt idx="82">
                  <c:v>14757.001742757982</c:v>
                </c:pt>
                <c:pt idx="83">
                  <c:v>16981.778118020928</c:v>
                </c:pt>
                <c:pt idx="84">
                  <c:v>19597.776897310687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EB92-4398-90F9-0635F73C17C7}"/>
            </c:ext>
          </c:extLst>
        </c:ser>
        <c:ser>
          <c:idx val="43"/>
          <c:order val="43"/>
          <c:tx>
            <c:strRef>
              <c:f>RPlot!$EP$46</c:f>
              <c:strCache>
                <c:ptCount val="1"/>
                <c:pt idx="0">
                  <c:v>2y 4d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RPlot!$AT$46:$EO$46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19969.263963270754</c:v>
                </c:pt>
                <c:pt idx="5">
                  <c:v>17698.817703271066</c:v>
                </c:pt>
                <c:pt idx="6">
                  <c:v>16283.668534451279</c:v>
                </c:pt>
                <c:pt idx="7">
                  <c:v>15458.617837848255</c:v>
                </c:pt>
                <c:pt idx="8">
                  <c:v>15132.138069135186</c:v>
                </c:pt>
                <c:pt idx="9">
                  <c:v>15547.701112331919</c:v>
                </c:pt>
                <c:pt idx="10">
                  <c:v>16687.147872416295</c:v>
                </c:pt>
                <c:pt idx="11">
                  <c:v>18497.436360020125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16923.312401877407</c:v>
                </c:pt>
                <c:pt idx="30">
                  <c:v>14305.591191793857</c:v>
                </c:pt>
                <c:pt idx="31">
                  <c:v>12500.174015944465</c:v>
                </c:pt>
                <c:pt idx="32">
                  <c:v>11739.239694271428</c:v>
                </c:pt>
                <c:pt idx="33">
                  <c:v>11554.947059861617</c:v>
                </c:pt>
                <c:pt idx="34">
                  <c:v>12336.675876618903</c:v>
                </c:pt>
                <c:pt idx="35">
                  <c:v>14085.276307122</c:v>
                </c:pt>
                <c:pt idx="36">
                  <c:v>16525.959316366407</c:v>
                </c:pt>
                <c:pt idx="37">
                  <c:v>19615.376444436297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16934.426267058658</c:v>
                </c:pt>
                <c:pt idx="53">
                  <c:v>14210.599342485504</c:v>
                </c:pt>
                <c:pt idx="54">
                  <c:v>12466.773920618109</c:v>
                </c:pt>
                <c:pt idx="55">
                  <c:v>11512.188777882728</c:v>
                </c:pt>
                <c:pt idx="56">
                  <c:v>11076.651157830473</c:v>
                </c:pt>
                <c:pt idx="57">
                  <c:v>11663.328332499774</c:v>
                </c:pt>
                <c:pt idx="58">
                  <c:v>13257.005756718125</c:v>
                </c:pt>
                <c:pt idx="59">
                  <c:v>15735.984836812668</c:v>
                </c:pt>
                <c:pt idx="60">
                  <c:v>18278.220990292906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18070.63081284675</c:v>
                </c:pt>
                <c:pt idx="77">
                  <c:v>15440.630233414979</c:v>
                </c:pt>
                <c:pt idx="78">
                  <c:v>13625.102198252911</c:v>
                </c:pt>
                <c:pt idx="79">
                  <c:v>12631.921754676994</c:v>
                </c:pt>
                <c:pt idx="80">
                  <c:v>12525.606821958561</c:v>
                </c:pt>
                <c:pt idx="81">
                  <c:v>13345.277511336088</c:v>
                </c:pt>
                <c:pt idx="82">
                  <c:v>14822.123164770739</c:v>
                </c:pt>
                <c:pt idx="83">
                  <c:v>16930.062289860729</c:v>
                </c:pt>
                <c:pt idx="84">
                  <c:v>19549.776062552875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EB92-4398-90F9-0635F73C17C7}"/>
            </c:ext>
          </c:extLst>
        </c:ser>
        <c:ser>
          <c:idx val="44"/>
          <c:order val="44"/>
          <c:tx>
            <c:strRef>
              <c:f>RPlot!$EP$47</c:f>
              <c:strCache>
                <c:ptCount val="1"/>
                <c:pt idx="0">
                  <c:v>2y 18d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RPlot!$AT$47:$EO$47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18193.650431111786</c:v>
                </c:pt>
                <c:pt idx="6">
                  <c:v>16546.713090974201</c:v>
                </c:pt>
                <c:pt idx="7">
                  <c:v>15655.026697298776</c:v>
                </c:pt>
                <c:pt idx="8">
                  <c:v>15177.454940755921</c:v>
                </c:pt>
                <c:pt idx="9">
                  <c:v>15452.54655731087</c:v>
                </c:pt>
                <c:pt idx="10">
                  <c:v>16467.007182339457</c:v>
                </c:pt>
                <c:pt idx="11">
                  <c:v>18170.016285950878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17314.695973322989</c:v>
                </c:pt>
                <c:pt idx="30">
                  <c:v>14608.243043376133</c:v>
                </c:pt>
                <c:pt idx="31">
                  <c:v>12721.161515695323</c:v>
                </c:pt>
                <c:pt idx="32">
                  <c:v>11899.384273891135</c:v>
                </c:pt>
                <c:pt idx="33">
                  <c:v>11615.410839291404</c:v>
                </c:pt>
                <c:pt idx="34">
                  <c:v>12319.863798622777</c:v>
                </c:pt>
                <c:pt idx="35">
                  <c:v>13996.001060855837</c:v>
                </c:pt>
                <c:pt idx="36">
                  <c:v>16455.948098214038</c:v>
                </c:pt>
                <c:pt idx="37">
                  <c:v>19417.636025061809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17322.013060069825</c:v>
                </c:pt>
                <c:pt idx="53">
                  <c:v>14499.302473969614</c:v>
                </c:pt>
                <c:pt idx="54">
                  <c:v>12642.971207825394</c:v>
                </c:pt>
                <c:pt idx="55">
                  <c:v>11673.347530544679</c:v>
                </c:pt>
                <c:pt idx="56">
                  <c:v>11176.717490380237</c:v>
                </c:pt>
                <c:pt idx="57">
                  <c:v>11699.681776636276</c:v>
                </c:pt>
                <c:pt idx="58">
                  <c:v>13226.750019267361</c:v>
                </c:pt>
                <c:pt idx="59">
                  <c:v>15636.973603686241</c:v>
                </c:pt>
                <c:pt idx="60">
                  <c:v>18180.937652383727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18870.559124372732</c:v>
                </c:pt>
                <c:pt idx="77">
                  <c:v>16091.772069732626</c:v>
                </c:pt>
                <c:pt idx="78">
                  <c:v>14149.334621059941</c:v>
                </c:pt>
                <c:pt idx="79">
                  <c:v>13044.341032957342</c:v>
                </c:pt>
                <c:pt idx="80">
                  <c:v>12845.356964410767</c:v>
                </c:pt>
                <c:pt idx="81">
                  <c:v>13546.760187756903</c:v>
                </c:pt>
                <c:pt idx="82">
                  <c:v>14896.146140312741</c:v>
                </c:pt>
                <c:pt idx="83">
                  <c:v>16882.469775808117</c:v>
                </c:pt>
                <c:pt idx="84">
                  <c:v>19387.609493433494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B92-4398-90F9-0635F73C17C7}"/>
            </c:ext>
          </c:extLst>
        </c:ser>
        <c:ser>
          <c:idx val="45"/>
          <c:order val="45"/>
          <c:tx>
            <c:strRef>
              <c:f>RPlot!$EP$48</c:f>
              <c:strCache>
                <c:ptCount val="1"/>
                <c:pt idx="0">
                  <c:v>2y 31d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RPlot!$AT$48:$EO$48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18720.563155438107</c:v>
                </c:pt>
                <c:pt idx="6">
                  <c:v>16853.932755499787</c:v>
                </c:pt>
                <c:pt idx="7">
                  <c:v>15868.858481391973</c:v>
                </c:pt>
                <c:pt idx="8">
                  <c:v>15239.590833432076</c:v>
                </c:pt>
                <c:pt idx="9">
                  <c:v>15373.164673698175</c:v>
                </c:pt>
                <c:pt idx="10">
                  <c:v>16261.306082674259</c:v>
                </c:pt>
                <c:pt idx="11">
                  <c:v>17855.972405077482</c:v>
                </c:pt>
                <c:pt idx="12">
                  <c:v>19845.739556077024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17716.945175032946</c:v>
                </c:pt>
                <c:pt idx="30">
                  <c:v>14919.519504069052</c:v>
                </c:pt>
                <c:pt idx="31">
                  <c:v>12948.419759552358</c:v>
                </c:pt>
                <c:pt idx="32">
                  <c:v>12045.356272890891</c:v>
                </c:pt>
                <c:pt idx="33">
                  <c:v>11681.958867683128</c:v>
                </c:pt>
                <c:pt idx="34">
                  <c:v>12308.286415181386</c:v>
                </c:pt>
                <c:pt idx="35">
                  <c:v>13911.316610196671</c:v>
                </c:pt>
                <c:pt idx="36">
                  <c:v>16387.267671718095</c:v>
                </c:pt>
                <c:pt idx="37">
                  <c:v>19228.789177911298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17736.445772616924</c:v>
                </c:pt>
                <c:pt idx="53">
                  <c:v>14811.727196723632</c:v>
                </c:pt>
                <c:pt idx="54">
                  <c:v>12843.223794125925</c:v>
                </c:pt>
                <c:pt idx="55">
                  <c:v>11848.444166693991</c:v>
                </c:pt>
                <c:pt idx="56">
                  <c:v>11286.877060254945</c:v>
                </c:pt>
                <c:pt idx="57">
                  <c:v>11742.567842412822</c:v>
                </c:pt>
                <c:pt idx="58">
                  <c:v>13200.152592462597</c:v>
                </c:pt>
                <c:pt idx="59">
                  <c:v>15539.703670718836</c:v>
                </c:pt>
                <c:pt idx="60">
                  <c:v>18092.275707608816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19739.308514551492</c:v>
                </c:pt>
                <c:pt idx="77">
                  <c:v>16799.405120251082</c:v>
                </c:pt>
                <c:pt idx="78">
                  <c:v>14720.473747128362</c:v>
                </c:pt>
                <c:pt idx="79">
                  <c:v>13495.019018395802</c:v>
                </c:pt>
                <c:pt idx="80">
                  <c:v>13191.149382514757</c:v>
                </c:pt>
                <c:pt idx="81">
                  <c:v>13765.006947770797</c:v>
                </c:pt>
                <c:pt idx="82">
                  <c:v>14980.595653300325</c:v>
                </c:pt>
                <c:pt idx="83">
                  <c:v>16840.241281992268</c:v>
                </c:pt>
                <c:pt idx="84">
                  <c:v>19227.15714673607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B92-4398-90F9-0635F73C17C7}"/>
            </c:ext>
          </c:extLst>
        </c:ser>
        <c:ser>
          <c:idx val="46"/>
          <c:order val="46"/>
          <c:tx>
            <c:strRef>
              <c:f>RPlot!$EP$49</c:f>
              <c:strCache>
                <c:ptCount val="1"/>
                <c:pt idx="0">
                  <c:v>2y 45d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RPlot!$AT$49:$EO$49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19277.357523158746</c:v>
                </c:pt>
                <c:pt idx="6">
                  <c:v>17200.397105523214</c:v>
                </c:pt>
                <c:pt idx="7">
                  <c:v>16000.022379072183</c:v>
                </c:pt>
                <c:pt idx="8">
                  <c:v>15318.806623604562</c:v>
                </c:pt>
                <c:pt idx="9">
                  <c:v>15309.958567375774</c:v>
                </c:pt>
                <c:pt idx="10">
                  <c:v>16070.458944905518</c:v>
                </c:pt>
                <c:pt idx="11">
                  <c:v>17555.608653244377</c:v>
                </c:pt>
                <c:pt idx="12">
                  <c:v>19516.886796494611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18130.3080513518</c:v>
                </c:pt>
                <c:pt idx="30">
                  <c:v>15239.669272898438</c:v>
                </c:pt>
                <c:pt idx="31">
                  <c:v>13182.357339458918</c:v>
                </c:pt>
                <c:pt idx="32">
                  <c:v>12198.576925589301</c:v>
                </c:pt>
                <c:pt idx="33">
                  <c:v>11754.834232640489</c:v>
                </c:pt>
                <c:pt idx="34">
                  <c:v>12302.157467520308</c:v>
                </c:pt>
                <c:pt idx="35">
                  <c:v>13831.370745575054</c:v>
                </c:pt>
                <c:pt idx="36">
                  <c:v>16240.6884646792</c:v>
                </c:pt>
                <c:pt idx="37">
                  <c:v>19049.836183242725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18178.180978430035</c:v>
                </c:pt>
                <c:pt idx="53">
                  <c:v>15148.044065691065</c:v>
                </c:pt>
                <c:pt idx="54">
                  <c:v>13067.172747851793</c:v>
                </c:pt>
                <c:pt idx="55">
                  <c:v>12037.570375049176</c:v>
                </c:pt>
                <c:pt idx="56">
                  <c:v>11407.282555753214</c:v>
                </c:pt>
                <c:pt idx="57">
                  <c:v>11792.195072348659</c:v>
                </c:pt>
                <c:pt idx="58">
                  <c:v>13177.428651949336</c:v>
                </c:pt>
                <c:pt idx="59">
                  <c:v>15444.351627684098</c:v>
                </c:pt>
                <c:pt idx="60">
                  <c:v>18014.278588025718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17566.127674995725</c:v>
                </c:pt>
                <c:pt idx="78">
                  <c:v>15339.721851312312</c:v>
                </c:pt>
                <c:pt idx="79">
                  <c:v>13983.471226828568</c:v>
                </c:pt>
                <c:pt idx="80">
                  <c:v>13561.23876560282</c:v>
                </c:pt>
                <c:pt idx="81">
                  <c:v>14001.982956012747</c:v>
                </c:pt>
                <c:pt idx="82">
                  <c:v>15077.207226309472</c:v>
                </c:pt>
                <c:pt idx="83">
                  <c:v>16804.803400387966</c:v>
                </c:pt>
                <c:pt idx="84">
                  <c:v>19067.869280479958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B92-4398-90F9-0635F73C17C7}"/>
            </c:ext>
          </c:extLst>
        </c:ser>
        <c:ser>
          <c:idx val="47"/>
          <c:order val="47"/>
          <c:tx>
            <c:strRef>
              <c:f>RPlot!$EP$50</c:f>
              <c:strCache>
                <c:ptCount val="1"/>
                <c:pt idx="0">
                  <c:v>2y 59d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RPlot!$AT$50:$EO$50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19862.176640286172</c:v>
                </c:pt>
                <c:pt idx="6">
                  <c:v>17581.947443686866</c:v>
                </c:pt>
                <c:pt idx="7">
                  <c:v>16154.156287960341</c:v>
                </c:pt>
                <c:pt idx="8">
                  <c:v>15415.276978586573</c:v>
                </c:pt>
                <c:pt idx="9">
                  <c:v>15263.260223498673</c:v>
                </c:pt>
                <c:pt idx="10">
                  <c:v>15894.837446087766</c:v>
                </c:pt>
                <c:pt idx="11">
                  <c:v>17269.207256174384</c:v>
                </c:pt>
                <c:pt idx="12">
                  <c:v>19203.385752884489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18555.087153313536</c:v>
                </c:pt>
                <c:pt idx="30">
                  <c:v>15568.986018317977</c:v>
                </c:pt>
                <c:pt idx="31">
                  <c:v>13423.391399976139</c:v>
                </c:pt>
                <c:pt idx="32">
                  <c:v>12359.310803449054</c:v>
                </c:pt>
                <c:pt idx="33">
                  <c:v>11834.292928736428</c:v>
                </c:pt>
                <c:pt idx="34">
                  <c:v>12301.702258877738</c:v>
                </c:pt>
                <c:pt idx="35">
                  <c:v>13756.322519452357</c:v>
                </c:pt>
                <c:pt idx="36">
                  <c:v>16098.560999987445</c:v>
                </c:pt>
                <c:pt idx="37">
                  <c:v>18882.055061941574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18647.908207193064</c:v>
                </c:pt>
                <c:pt idx="53">
                  <c:v>15508.636028286712</c:v>
                </c:pt>
                <c:pt idx="54">
                  <c:v>13314.702971833158</c:v>
                </c:pt>
                <c:pt idx="55">
                  <c:v>12240.97541941762</c:v>
                </c:pt>
                <c:pt idx="56">
                  <c:v>11538.219343767723</c:v>
                </c:pt>
                <c:pt idx="57">
                  <c:v>11848.878014027116</c:v>
                </c:pt>
                <c:pt idx="58">
                  <c:v>13158.874045329247</c:v>
                </c:pt>
                <c:pt idx="59">
                  <c:v>15351.15135016487</c:v>
                </c:pt>
                <c:pt idx="60">
                  <c:v>17949.811810390405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18395.084192602051</c:v>
                </c:pt>
                <c:pt idx="78">
                  <c:v>16008.959620038018</c:v>
                </c:pt>
                <c:pt idx="79">
                  <c:v>14510.403956676382</c:v>
                </c:pt>
                <c:pt idx="80">
                  <c:v>13955.676170858318</c:v>
                </c:pt>
                <c:pt idx="81">
                  <c:v>14259.853560858573</c:v>
                </c:pt>
                <c:pt idx="82">
                  <c:v>15187.916302164364</c:v>
                </c:pt>
                <c:pt idx="83">
                  <c:v>16777.769092002312</c:v>
                </c:pt>
                <c:pt idx="84">
                  <c:v>18884.069144828827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B92-4398-90F9-0635F73C17C7}"/>
            </c:ext>
          </c:extLst>
        </c:ser>
        <c:ser>
          <c:idx val="48"/>
          <c:order val="48"/>
          <c:tx>
            <c:strRef>
              <c:f>RPlot!$EP$51</c:f>
              <c:strCache>
                <c:ptCount val="1"/>
                <c:pt idx="0">
                  <c:v>2y 73d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RPlot!$AT$51:$EO$51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17995.116589699704</c:v>
                </c:pt>
                <c:pt idx="7">
                  <c:v>16354.727093300586</c:v>
                </c:pt>
                <c:pt idx="8">
                  <c:v>15529.097373152585</c:v>
                </c:pt>
                <c:pt idx="9">
                  <c:v>15233.331922578145</c:v>
                </c:pt>
                <c:pt idx="10">
                  <c:v>15734.76990732155</c:v>
                </c:pt>
                <c:pt idx="11">
                  <c:v>16997.030075732753</c:v>
                </c:pt>
                <c:pt idx="12">
                  <c:v>18906.067647092081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18991.635165050124</c:v>
                </c:pt>
                <c:pt idx="30">
                  <c:v>15907.803649842559</c:v>
                </c:pt>
                <c:pt idx="31">
                  <c:v>13671.946998552921</c:v>
                </c:pt>
                <c:pt idx="32">
                  <c:v>12526.1375653988</c:v>
                </c:pt>
                <c:pt idx="33">
                  <c:v>11920.60382519813</c:v>
                </c:pt>
                <c:pt idx="34">
                  <c:v>12307.157739455</c:v>
                </c:pt>
                <c:pt idx="35">
                  <c:v>13686.342535483011</c:v>
                </c:pt>
                <c:pt idx="36">
                  <c:v>15960.970349355877</c:v>
                </c:pt>
                <c:pt idx="37">
                  <c:v>18727.087517332919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19146.546686376976</c:v>
                </c:pt>
                <c:pt idx="53">
                  <c:v>15894.094456349321</c:v>
                </c:pt>
                <c:pt idx="54">
                  <c:v>13585.927418238996</c:v>
                </c:pt>
                <c:pt idx="55">
                  <c:v>12451.6400883143</c:v>
                </c:pt>
                <c:pt idx="56">
                  <c:v>11680.100351925237</c:v>
                </c:pt>
                <c:pt idx="57">
                  <c:v>11913.034669757484</c:v>
                </c:pt>
                <c:pt idx="58">
                  <c:v>13144.863136198584</c:v>
                </c:pt>
                <c:pt idx="59">
                  <c:v>15260.393264018781</c:v>
                </c:pt>
                <c:pt idx="60">
                  <c:v>17902.977716589099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19289.92395202602</c:v>
                </c:pt>
                <c:pt idx="78">
                  <c:v>16730.647163503963</c:v>
                </c:pt>
                <c:pt idx="79">
                  <c:v>15077.439598949288</c:v>
                </c:pt>
                <c:pt idx="80">
                  <c:v>14375.832092519169</c:v>
                </c:pt>
                <c:pt idx="81">
                  <c:v>14540.96009474898</c:v>
                </c:pt>
                <c:pt idx="82">
                  <c:v>15314.847329111668</c:v>
                </c:pt>
                <c:pt idx="83">
                  <c:v>16760.935162912865</c:v>
                </c:pt>
                <c:pt idx="84">
                  <c:v>18710.453609700744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B92-4398-90F9-0635F73C17C7}"/>
            </c:ext>
          </c:extLst>
        </c:ser>
        <c:ser>
          <c:idx val="49"/>
          <c:order val="49"/>
          <c:tx>
            <c:strRef>
              <c:f>RPlot!$EP$52</c:f>
              <c:strCache>
                <c:ptCount val="1"/>
                <c:pt idx="0">
                  <c:v>2y 86d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RPlot!$AT$52:$EO$52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18437.037958237845</c:v>
                </c:pt>
                <c:pt idx="7">
                  <c:v>16595.828744106766</c:v>
                </c:pt>
                <c:pt idx="8">
                  <c:v>15641.070591420996</c:v>
                </c:pt>
                <c:pt idx="9">
                  <c:v>15220.367882991175</c:v>
                </c:pt>
                <c:pt idx="10">
                  <c:v>15590.540989863111</c:v>
                </c:pt>
                <c:pt idx="11">
                  <c:v>16739.318439267303</c:v>
                </c:pt>
                <c:pt idx="12">
                  <c:v>18594.747663426158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19440.352115800888</c:v>
                </c:pt>
                <c:pt idx="30">
                  <c:v>16256.493269850467</c:v>
                </c:pt>
                <c:pt idx="31">
                  <c:v>13928.457621227757</c:v>
                </c:pt>
                <c:pt idx="32">
                  <c:v>12675.714867601891</c:v>
                </c:pt>
                <c:pt idx="33">
                  <c:v>12014.04861462756</c:v>
                </c:pt>
                <c:pt idx="34">
                  <c:v>12318.772811369327</c:v>
                </c:pt>
                <c:pt idx="35">
                  <c:v>13621.613381385043</c:v>
                </c:pt>
                <c:pt idx="36">
                  <c:v>15828.012484175204</c:v>
                </c:pt>
                <c:pt idx="37">
                  <c:v>18587.05785733401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19675.244313202475</c:v>
                </c:pt>
                <c:pt idx="53">
                  <c:v>16305.216770009891</c:v>
                </c:pt>
                <c:pt idx="54">
                  <c:v>13881.174862495969</c:v>
                </c:pt>
                <c:pt idx="55">
                  <c:v>12592.712217989772</c:v>
                </c:pt>
                <c:pt idx="56">
                  <c:v>11833.463387235321</c:v>
                </c:pt>
                <c:pt idx="57">
                  <c:v>11985.184713463963</c:v>
                </c:pt>
                <c:pt idx="58">
                  <c:v>13135.849464770037</c:v>
                </c:pt>
                <c:pt idx="59">
                  <c:v>15172.42536493539</c:v>
                </c:pt>
                <c:pt idx="60">
                  <c:v>17879.816481076814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17507.734989709446</c:v>
                </c:pt>
                <c:pt idx="79">
                  <c:v>15686.894080176931</c:v>
                </c:pt>
                <c:pt idx="80">
                  <c:v>14824.08473466451</c:v>
                </c:pt>
                <c:pt idx="81">
                  <c:v>14847.788979123703</c:v>
                </c:pt>
                <c:pt idx="82">
                  <c:v>15460.295102293439</c:v>
                </c:pt>
                <c:pt idx="83">
                  <c:v>16731.321724581456</c:v>
                </c:pt>
                <c:pt idx="84">
                  <c:v>18548.633638859541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B92-4398-90F9-0635F73C17C7}"/>
            </c:ext>
          </c:extLst>
        </c:ser>
        <c:ser>
          <c:idx val="50"/>
          <c:order val="50"/>
          <c:tx>
            <c:strRef>
              <c:f>RPlot!$EP$53</c:f>
              <c:strCache>
                <c:ptCount val="1"/>
                <c:pt idx="0">
                  <c:v>2y 100d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RPlot!$AT$53:$EO$53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18905.353821403449</c:v>
                </c:pt>
                <c:pt idx="7">
                  <c:v>16872.511678864736</c:v>
                </c:pt>
                <c:pt idx="8">
                  <c:v>15702.059938346303</c:v>
                </c:pt>
                <c:pt idx="9">
                  <c:v>15224.499147922697</c:v>
                </c:pt>
                <c:pt idx="10">
                  <c:v>15462.391804135821</c:v>
                </c:pt>
                <c:pt idx="11">
                  <c:v>16496.293248458267</c:v>
                </c:pt>
                <c:pt idx="12">
                  <c:v>18255.969874915139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19901.683598534604</c:v>
                </c:pt>
                <c:pt idx="30">
                  <c:v>16615.461420897696</c:v>
                </c:pt>
                <c:pt idx="31">
                  <c:v>14193.366476293271</c:v>
                </c:pt>
                <c:pt idx="32">
                  <c:v>12833.493076826104</c:v>
                </c:pt>
                <c:pt idx="33">
                  <c:v>12114.9224558144</c:v>
                </c:pt>
                <c:pt idx="34">
                  <c:v>12336.808801607895</c:v>
                </c:pt>
                <c:pt idx="35">
                  <c:v>13562.330192024514</c:v>
                </c:pt>
                <c:pt idx="36">
                  <c:v>15699.795581296301</c:v>
                </c:pt>
                <c:pt idx="37">
                  <c:v>18464.739595419105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16743.006050435786</c:v>
                </c:pt>
                <c:pt idx="54">
                  <c:v>14200.98112873872</c:v>
                </c:pt>
                <c:pt idx="55">
                  <c:v>12762.866719155178</c:v>
                </c:pt>
                <c:pt idx="56">
                  <c:v>11998.968831830465</c:v>
                </c:pt>
                <c:pt idx="57">
                  <c:v>12065.949336819071</c:v>
                </c:pt>
                <c:pt idx="58">
                  <c:v>13132.366525453799</c:v>
                </c:pt>
                <c:pt idx="59">
                  <c:v>15087.655297867119</c:v>
                </c:pt>
                <c:pt idx="60">
                  <c:v>17767.45720942958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18343.582480419303</c:v>
                </c:pt>
                <c:pt idx="79">
                  <c:v>16341.5923695407</c:v>
                </c:pt>
                <c:pt idx="80">
                  <c:v>15303.561942477572</c:v>
                </c:pt>
                <c:pt idx="81">
                  <c:v>15182.938363853082</c:v>
                </c:pt>
                <c:pt idx="82">
                  <c:v>15624.072002233603</c:v>
                </c:pt>
                <c:pt idx="83">
                  <c:v>16715.36091870032</c:v>
                </c:pt>
                <c:pt idx="84">
                  <c:v>18400.366060312695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B92-4398-90F9-0635F73C17C7}"/>
            </c:ext>
          </c:extLst>
        </c:ser>
        <c:ser>
          <c:idx val="51"/>
          <c:order val="51"/>
          <c:tx>
            <c:strRef>
              <c:f>RPlot!$EP$54</c:f>
              <c:strCache>
                <c:ptCount val="1"/>
                <c:pt idx="0">
                  <c:v>2y 114d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RPlot!$AT$54:$EO$54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19398.129909071045</c:v>
                </c:pt>
                <c:pt idx="7">
                  <c:v>17180.68721572635</c:v>
                </c:pt>
                <c:pt idx="8">
                  <c:v>15810.344325152844</c:v>
                </c:pt>
                <c:pt idx="9">
                  <c:v>15245.796491998264</c:v>
                </c:pt>
                <c:pt idx="10">
                  <c:v>15350.520491618279</c:v>
                </c:pt>
                <c:pt idx="11">
                  <c:v>16268.155103626004</c:v>
                </c:pt>
                <c:pt idx="12">
                  <c:v>17930.853446817011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16985.149349351639</c:v>
                </c:pt>
                <c:pt idx="31">
                  <c:v>14467.128332403361</c:v>
                </c:pt>
                <c:pt idx="32">
                  <c:v>12999.851480245878</c:v>
                </c:pt>
                <c:pt idx="33">
                  <c:v>12223.5345206397</c:v>
                </c:pt>
                <c:pt idx="34">
                  <c:v>12361.540090931398</c:v>
                </c:pt>
                <c:pt idx="35">
                  <c:v>13508.701334002597</c:v>
                </c:pt>
                <c:pt idx="36">
                  <c:v>15576.440114355</c:v>
                </c:pt>
                <c:pt idx="37">
                  <c:v>18363.792054706297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17208.672895414187</c:v>
                </c:pt>
                <c:pt idx="54">
                  <c:v>14546.083652541882</c:v>
                </c:pt>
                <c:pt idx="55">
                  <c:v>12961.746242568806</c:v>
                </c:pt>
                <c:pt idx="56">
                  <c:v>12177.399658320161</c:v>
                </c:pt>
                <c:pt idx="57">
                  <c:v>12156.051653196071</c:v>
                </c:pt>
                <c:pt idx="58">
                  <c:v>13135.030555918085</c:v>
                </c:pt>
                <c:pt idx="59">
                  <c:v>15006.552657026545</c:v>
                </c:pt>
                <c:pt idx="60">
                  <c:v>17606.86129474812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19241.881373972254</c:v>
                </c:pt>
                <c:pt idx="79">
                  <c:v>17044.714273498503</c:v>
                </c:pt>
                <c:pt idx="80">
                  <c:v>15817.897226627603</c:v>
                </c:pt>
                <c:pt idx="81">
                  <c:v>15549.074484747753</c:v>
                </c:pt>
                <c:pt idx="82">
                  <c:v>15784.497985810092</c:v>
                </c:pt>
                <c:pt idx="83">
                  <c:v>16720.513925638523</c:v>
                </c:pt>
                <c:pt idx="84">
                  <c:v>18267.548151370513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EB92-4398-90F9-0635F73C17C7}"/>
            </c:ext>
          </c:extLst>
        </c:ser>
        <c:ser>
          <c:idx val="52"/>
          <c:order val="52"/>
          <c:tx>
            <c:strRef>
              <c:f>RPlot!$EP$55</c:f>
              <c:strCache>
                <c:ptCount val="1"/>
                <c:pt idx="0">
                  <c:v>2y 128d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RPlot!$AT$55:$EO$55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19913.780246502589</c:v>
                </c:pt>
                <c:pt idx="7">
                  <c:v>17517.016263405698</c:v>
                </c:pt>
                <c:pt idx="8">
                  <c:v>15959.33384729303</c:v>
                </c:pt>
                <c:pt idx="9">
                  <c:v>15283.854497419379</c:v>
                </c:pt>
                <c:pt idx="10">
                  <c:v>15255.083217364034</c:v>
                </c:pt>
                <c:pt idx="11">
                  <c:v>16055.08375332407</c:v>
                </c:pt>
                <c:pt idx="12">
                  <c:v>17619.497027356429</c:v>
                </c:pt>
                <c:pt idx="13">
                  <c:v>19735.10295578355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17366.033081805221</c:v>
                </c:pt>
                <c:pt idx="31">
                  <c:v>14750.211755356973</c:v>
                </c:pt>
                <c:pt idx="32">
                  <c:v>13175.184724000475</c:v>
                </c:pt>
                <c:pt idx="33">
                  <c:v>12340.208899037314</c:v>
                </c:pt>
                <c:pt idx="34">
                  <c:v>12393.254900948554</c:v>
                </c:pt>
                <c:pt idx="35">
                  <c:v>13460.949201583082</c:v>
                </c:pt>
                <c:pt idx="36">
                  <c:v>15458.079638087698</c:v>
                </c:pt>
                <c:pt idx="37">
                  <c:v>18239.464484569718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17703.639668419761</c:v>
                </c:pt>
                <c:pt idx="54">
                  <c:v>14917.419261395724</c:v>
                </c:pt>
                <c:pt idx="55">
                  <c:v>13189.301887137339</c:v>
                </c:pt>
                <c:pt idx="56">
                  <c:v>12369.661419373126</c:v>
                </c:pt>
                <c:pt idx="57">
                  <c:v>12256.318671115934</c:v>
                </c:pt>
                <c:pt idx="58">
                  <c:v>13144.543062070101</c:v>
                </c:pt>
                <c:pt idx="59">
                  <c:v>14929.653467570182</c:v>
                </c:pt>
                <c:pt idx="60">
                  <c:v>17448.680345805027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17799.665713458719</c:v>
                </c:pt>
                <c:pt idx="80">
                  <c:v>16370.997766059327</c:v>
                </c:pt>
                <c:pt idx="81">
                  <c:v>15925.001467926781</c:v>
                </c:pt>
                <c:pt idx="82">
                  <c:v>15975.524112907342</c:v>
                </c:pt>
                <c:pt idx="83">
                  <c:v>16749.236741251174</c:v>
                </c:pt>
                <c:pt idx="84">
                  <c:v>18152.205106079407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EB92-4398-90F9-0635F73C17C7}"/>
            </c:ext>
          </c:extLst>
        </c:ser>
        <c:ser>
          <c:idx val="53"/>
          <c:order val="53"/>
          <c:tx>
            <c:strRef>
              <c:f>RPlot!$EP$56</c:f>
              <c:strCache>
                <c:ptCount val="1"/>
                <c:pt idx="0">
                  <c:v>2y 141d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RPlot!$AT$56:$EO$56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17878.794307207168</c:v>
                </c:pt>
                <c:pt idx="8">
                  <c:v>16143.594661392952</c:v>
                </c:pt>
                <c:pt idx="9">
                  <c:v>15273.407818427813</c:v>
                </c:pt>
                <c:pt idx="10">
                  <c:v>15176.195741962589</c:v>
                </c:pt>
                <c:pt idx="11">
                  <c:v>15857.240157633934</c:v>
                </c:pt>
                <c:pt idx="12">
                  <c:v>17321.994466051667</c:v>
                </c:pt>
                <c:pt idx="13">
                  <c:v>19389.52541672032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17758.624165676709</c:v>
                </c:pt>
                <c:pt idx="31">
                  <c:v>15043.101652909481</c:v>
                </c:pt>
                <c:pt idx="32">
                  <c:v>13359.901946644772</c:v>
                </c:pt>
                <c:pt idx="33">
                  <c:v>12465.285569723193</c:v>
                </c:pt>
                <c:pt idx="34">
                  <c:v>12432.255801273606</c:v>
                </c:pt>
                <c:pt idx="35">
                  <c:v>13419.310902136505</c:v>
                </c:pt>
                <c:pt idx="36">
                  <c:v>15344.86158051319</c:v>
                </c:pt>
                <c:pt idx="37">
                  <c:v>18063.913796312136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18229.54721838162</c:v>
                </c:pt>
                <c:pt idx="54">
                  <c:v>15316.125054776981</c:v>
                </c:pt>
                <c:pt idx="55">
                  <c:v>13445.760624615235</c:v>
                </c:pt>
                <c:pt idx="56">
                  <c:v>12576.784564360511</c:v>
                </c:pt>
                <c:pt idx="57">
                  <c:v>12367.684190750777</c:v>
                </c:pt>
                <c:pt idx="58">
                  <c:v>13161.696584931336</c:v>
                </c:pt>
                <c:pt idx="59">
                  <c:v>14857.564312909706</c:v>
                </c:pt>
                <c:pt idx="60">
                  <c:v>17293.334570063573</c:v>
                </c:pt>
                <c:pt idx="61">
                  <c:v>19968.217369278136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18609.971659474562</c:v>
                </c:pt>
                <c:pt idx="80">
                  <c:v>16966.837007397793</c:v>
                </c:pt>
                <c:pt idx="81">
                  <c:v>16332.407468770301</c:v>
                </c:pt>
                <c:pt idx="82">
                  <c:v>16199.905038073523</c:v>
                </c:pt>
                <c:pt idx="83">
                  <c:v>16804.067318992737</c:v>
                </c:pt>
                <c:pt idx="84">
                  <c:v>18056.477533215966</c:v>
                </c:pt>
                <c:pt idx="85">
                  <c:v>19855.894676880907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EB92-4398-90F9-0635F73C17C7}"/>
            </c:ext>
          </c:extLst>
        </c:ser>
        <c:ser>
          <c:idx val="54"/>
          <c:order val="54"/>
          <c:tx>
            <c:strRef>
              <c:f>RPlot!$EP$57</c:f>
              <c:strCache>
                <c:ptCount val="1"/>
                <c:pt idx="0">
                  <c:v>2y 155d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RPlot!$AT$57:$EO$57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18263.842692873019</c:v>
                </c:pt>
                <c:pt idx="8">
                  <c:v>16358.699053627955</c:v>
                </c:pt>
                <c:pt idx="9">
                  <c:v>15308.963956882195</c:v>
                </c:pt>
                <c:pt idx="10">
                  <c:v>15113.935434558744</c:v>
                </c:pt>
                <c:pt idx="11">
                  <c:v>15674.764534693139</c:v>
                </c:pt>
                <c:pt idx="12">
                  <c:v>17038.435328819891</c:v>
                </c:pt>
                <c:pt idx="13">
                  <c:v>19057.549785341078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18163.470965760302</c:v>
                </c:pt>
                <c:pt idx="31">
                  <c:v>15346.302072694418</c:v>
                </c:pt>
                <c:pt idx="32">
                  <c:v>13554.426911826318</c:v>
                </c:pt>
                <c:pt idx="33">
                  <c:v>12599.12191478662</c:v>
                </c:pt>
                <c:pt idx="34">
                  <c:v>12478.861748163072</c:v>
                </c:pt>
                <c:pt idx="35">
                  <c:v>13384.039903629167</c:v>
                </c:pt>
                <c:pt idx="36">
                  <c:v>15236.948146476703</c:v>
                </c:pt>
                <c:pt idx="37">
                  <c:v>17892.969434135699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18788.264093152262</c:v>
                </c:pt>
                <c:pt idx="54">
                  <c:v>15743.542273754196</c:v>
                </c:pt>
                <c:pt idx="55">
                  <c:v>13731.603055610623</c:v>
                </c:pt>
                <c:pt idx="56">
                  <c:v>12799.927765556569</c:v>
                </c:pt>
                <c:pt idx="57">
                  <c:v>12491.192619238816</c:v>
                </c:pt>
                <c:pt idx="58">
                  <c:v>13187.377450288332</c:v>
                </c:pt>
                <c:pt idx="59">
                  <c:v>14790.96757810503</c:v>
                </c:pt>
                <c:pt idx="60">
                  <c:v>17141.300567502585</c:v>
                </c:pt>
                <c:pt idx="61">
                  <c:v>19810.486218175138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19479.186861820501</c:v>
                </c:pt>
                <c:pt idx="80">
                  <c:v>17609.284891949505</c:v>
                </c:pt>
                <c:pt idx="81">
                  <c:v>16767.081951849566</c:v>
                </c:pt>
                <c:pt idx="82">
                  <c:v>16460.360472005894</c:v>
                </c:pt>
                <c:pt idx="83">
                  <c:v>16887.584709632531</c:v>
                </c:pt>
                <c:pt idx="84">
                  <c:v>17982.59665764778</c:v>
                </c:pt>
                <c:pt idx="85">
                  <c:v>19646.477349570596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B92-4398-90F9-0635F73C17C7}"/>
            </c:ext>
          </c:extLst>
        </c:ser>
        <c:ser>
          <c:idx val="55"/>
          <c:order val="55"/>
          <c:tx>
            <c:strRef>
              <c:f>RPlot!$EP$58</c:f>
              <c:strCache>
                <c:ptCount val="1"/>
                <c:pt idx="0">
                  <c:v>2y 169d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RPlot!$AT$58:$EO$58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18670.412237996432</c:v>
                </c:pt>
                <c:pt idx="8">
                  <c:v>16601.079224388584</c:v>
                </c:pt>
                <c:pt idx="9">
                  <c:v>15383.319998897936</c:v>
                </c:pt>
                <c:pt idx="10">
                  <c:v>15040.718832809744</c:v>
                </c:pt>
                <c:pt idx="11">
                  <c:v>15507.777918120217</c:v>
                </c:pt>
                <c:pt idx="12">
                  <c:v>16768.905287372658</c:v>
                </c:pt>
                <c:pt idx="13">
                  <c:v>18742.499468804606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18581.160438398001</c:v>
                </c:pt>
                <c:pt idx="31">
                  <c:v>15660.339222316634</c:v>
                </c:pt>
                <c:pt idx="32">
                  <c:v>13759.198956505817</c:v>
                </c:pt>
                <c:pt idx="33">
                  <c:v>12742.093928812694</c:v>
                </c:pt>
                <c:pt idx="34">
                  <c:v>12533.408080228897</c:v>
                </c:pt>
                <c:pt idx="35">
                  <c:v>13355.406364798579</c:v>
                </c:pt>
                <c:pt idx="36">
                  <c:v>15134.51733475917</c:v>
                </c:pt>
                <c:pt idx="37">
                  <c:v>17726.71522044708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19381.898224076966</c:v>
                </c:pt>
                <c:pt idx="54">
                  <c:v>16201.223062372579</c:v>
                </c:pt>
                <c:pt idx="55">
                  <c:v>14047.549661852441</c:v>
                </c:pt>
                <c:pt idx="56">
                  <c:v>13040.382599956316</c:v>
                </c:pt>
                <c:pt idx="57">
                  <c:v>12628.004414655066</c:v>
                </c:pt>
                <c:pt idx="58">
                  <c:v>13222.574698803719</c:v>
                </c:pt>
                <c:pt idx="59">
                  <c:v>14730.629725060116</c:v>
                </c:pt>
                <c:pt idx="60">
                  <c:v>16993.117698728558</c:v>
                </c:pt>
                <c:pt idx="61">
                  <c:v>19662.327451552945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18301.982215864624</c:v>
                </c:pt>
                <c:pt idx="81">
                  <c:v>17217.758833521191</c:v>
                </c:pt>
                <c:pt idx="82">
                  <c:v>16759.518733397061</c:v>
                </c:pt>
                <c:pt idx="83">
                  <c:v>17002.362730956047</c:v>
                </c:pt>
                <c:pt idx="84">
                  <c:v>17932.859039296512</c:v>
                </c:pt>
                <c:pt idx="85">
                  <c:v>19455.234167329145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EB92-4398-90F9-0635F73C17C7}"/>
            </c:ext>
          </c:extLst>
        </c:ser>
        <c:ser>
          <c:idx val="56"/>
          <c:order val="56"/>
          <c:tx>
            <c:strRef>
              <c:f>RPlot!$EP$59</c:f>
              <c:strCache>
                <c:ptCount val="1"/>
                <c:pt idx="0">
                  <c:v>2y 183d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RPlot!$AT$59:$EO$59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19097.101593471132</c:v>
                </c:pt>
                <c:pt idx="8">
                  <c:v>16867.886577827543</c:v>
                </c:pt>
                <c:pt idx="9">
                  <c:v>15490.806680200276</c:v>
                </c:pt>
                <c:pt idx="10">
                  <c:v>14986.486027701689</c:v>
                </c:pt>
                <c:pt idx="11">
                  <c:v>15356.382361334492</c:v>
                </c:pt>
                <c:pt idx="12">
                  <c:v>16513.486563493454</c:v>
                </c:pt>
                <c:pt idx="13">
                  <c:v>18451.981773047817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19012.32032723766</c:v>
                </c:pt>
                <c:pt idx="31">
                  <c:v>15985.764697321005</c:v>
                </c:pt>
                <c:pt idx="32">
                  <c:v>13974.674615923062</c:v>
                </c:pt>
                <c:pt idx="33">
                  <c:v>12894.598036726406</c:v>
                </c:pt>
                <c:pt idx="34">
                  <c:v>12596.248439786925</c:v>
                </c:pt>
                <c:pt idx="35">
                  <c:v>13333.698796252402</c:v>
                </c:pt>
                <c:pt idx="36">
                  <c:v>15037.764072711285</c:v>
                </c:pt>
                <c:pt idx="37">
                  <c:v>17565.249544070739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16690.940035856143</c:v>
                </c:pt>
                <c:pt idx="55">
                  <c:v>14394.554118732609</c:v>
                </c:pt>
                <c:pt idx="56">
                  <c:v>13223.199570128123</c:v>
                </c:pt>
                <c:pt idx="57">
                  <c:v>12779.400857190063</c:v>
                </c:pt>
                <c:pt idx="58">
                  <c:v>13268.384758809831</c:v>
                </c:pt>
                <c:pt idx="59">
                  <c:v>14677.407435862275</c:v>
                </c:pt>
                <c:pt idx="60">
                  <c:v>16849.394316777252</c:v>
                </c:pt>
                <c:pt idx="61">
                  <c:v>19527.258683786888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19048.257830073602</c:v>
                </c:pt>
                <c:pt idx="81">
                  <c:v>17712.457066308045</c:v>
                </c:pt>
                <c:pt idx="82">
                  <c:v>17099.86137477931</c:v>
                </c:pt>
                <c:pt idx="83">
                  <c:v>17150.91529369399</c:v>
                </c:pt>
                <c:pt idx="84">
                  <c:v>17909.58639909116</c:v>
                </c:pt>
                <c:pt idx="85">
                  <c:v>19284.099039316476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EB92-4398-90F9-0635F73C17C7}"/>
            </c:ext>
          </c:extLst>
        </c:ser>
        <c:ser>
          <c:idx val="57"/>
          <c:order val="57"/>
          <c:tx>
            <c:strRef>
              <c:f>RPlot!$EP$60</c:f>
              <c:strCache>
                <c:ptCount val="1"/>
                <c:pt idx="0">
                  <c:v>2y 196d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RPlot!$AT$60:$EO$60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19542.790312161946</c:v>
                </c:pt>
                <c:pt idx="8">
                  <c:v>17156.862424252202</c:v>
                </c:pt>
                <c:pt idx="9">
                  <c:v>15626.968498182818</c:v>
                </c:pt>
                <c:pt idx="10">
                  <c:v>14973.291303570433</c:v>
                </c:pt>
                <c:pt idx="11">
                  <c:v>15203.567978496198</c:v>
                </c:pt>
                <c:pt idx="12">
                  <c:v>16298.268242628066</c:v>
                </c:pt>
                <c:pt idx="13">
                  <c:v>18204.200622300206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19457.621741182185</c:v>
                </c:pt>
                <c:pt idx="31">
                  <c:v>16323.158914739231</c:v>
                </c:pt>
                <c:pt idx="32">
                  <c:v>14201.329819631919</c:v>
                </c:pt>
                <c:pt idx="33">
                  <c:v>13057.052865442751</c:v>
                </c:pt>
                <c:pt idx="34">
                  <c:v>12667.756085983467</c:v>
                </c:pt>
                <c:pt idx="35">
                  <c:v>13319.22529383427</c:v>
                </c:pt>
                <c:pt idx="36">
                  <c:v>14946.901451547054</c:v>
                </c:pt>
                <c:pt idx="37">
                  <c:v>17408.685453592374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17214.698579517772</c:v>
                </c:pt>
                <c:pt idx="55">
                  <c:v>14773.802523939852</c:v>
                </c:pt>
                <c:pt idx="56">
                  <c:v>13432.600184035513</c:v>
                </c:pt>
                <c:pt idx="57">
                  <c:v>12946.791734837072</c:v>
                </c:pt>
                <c:pt idx="58">
                  <c:v>13326.021844568771</c:v>
                </c:pt>
                <c:pt idx="59">
                  <c:v>14632.256915036231</c:v>
                </c:pt>
                <c:pt idx="60">
                  <c:v>16710.81613607988</c:v>
                </c:pt>
                <c:pt idx="61">
                  <c:v>19390.85676844437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19851.081539785868</c:v>
                </c:pt>
                <c:pt idx="81">
                  <c:v>18255.229302795797</c:v>
                </c:pt>
                <c:pt idx="82">
                  <c:v>17483.67075678664</c:v>
                </c:pt>
                <c:pt idx="83">
                  <c:v>17335.6396048391</c:v>
                </c:pt>
                <c:pt idx="84">
                  <c:v>17915.088525961048</c:v>
                </c:pt>
                <c:pt idx="85">
                  <c:v>19135.049308737292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B92-4398-90F9-0635F73C17C7}"/>
            </c:ext>
          </c:extLst>
        </c:ser>
        <c:ser>
          <c:idx val="58"/>
          <c:order val="58"/>
          <c:tx>
            <c:strRef>
              <c:f>RPlot!$EP$61</c:f>
              <c:strCache>
                <c:ptCount val="1"/>
                <c:pt idx="0">
                  <c:v>2y 210d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RPlot!$AT$61:$EO$61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17466.224719163034</c:v>
                </c:pt>
                <c:pt idx="9">
                  <c:v>15788.321128856773</c:v>
                </c:pt>
                <c:pt idx="10">
                  <c:v>14993.464339068494</c:v>
                </c:pt>
                <c:pt idx="11">
                  <c:v>15100.915694474872</c:v>
                </c:pt>
                <c:pt idx="12">
                  <c:v>16144.55061409659</c:v>
                </c:pt>
                <c:pt idx="13">
                  <c:v>17973.246758009685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19917.782087490512</c:v>
                </c:pt>
                <c:pt idx="31">
                  <c:v>16673.13475885021</c:v>
                </c:pt>
                <c:pt idx="32">
                  <c:v>14439.662578767675</c:v>
                </c:pt>
                <c:pt idx="33">
                  <c:v>13229.901500792901</c:v>
                </c:pt>
                <c:pt idx="34">
                  <c:v>12748.325329401219</c:v>
                </c:pt>
                <c:pt idx="35">
                  <c:v>13312.314980302159</c:v>
                </c:pt>
                <c:pt idx="36">
                  <c:v>14862.162203730919</c:v>
                </c:pt>
                <c:pt idx="37">
                  <c:v>17257.152624378163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17774.751802015926</c:v>
                </c:pt>
                <c:pt idx="55">
                  <c:v>15186.717620303023</c:v>
                </c:pt>
                <c:pt idx="56">
                  <c:v>13679.174305866512</c:v>
                </c:pt>
                <c:pt idx="57">
                  <c:v>13131.722374509493</c:v>
                </c:pt>
                <c:pt idx="58">
                  <c:v>13396.824615509051</c:v>
                </c:pt>
                <c:pt idx="59">
                  <c:v>14596.243647316776</c:v>
                </c:pt>
                <c:pt idx="60">
                  <c:v>16578.154251243435</c:v>
                </c:pt>
                <c:pt idx="61">
                  <c:v>19170.921579179885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18849.392666562271</c:v>
                </c:pt>
                <c:pt idx="82">
                  <c:v>17912.98487382794</c:v>
                </c:pt>
                <c:pt idx="83">
                  <c:v>17558.758279107478</c:v>
                </c:pt>
                <c:pt idx="84">
                  <c:v>17951.610915785197</c:v>
                </c:pt>
                <c:pt idx="85">
                  <c:v>19010.07823572035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B92-4398-90F9-0635F73C17C7}"/>
            </c:ext>
          </c:extLst>
        </c:ser>
        <c:ser>
          <c:idx val="59"/>
          <c:order val="59"/>
          <c:tx>
            <c:strRef>
              <c:f>RPlot!$EP$62</c:f>
              <c:strCache>
                <c:ptCount val="1"/>
                <c:pt idx="0">
                  <c:v>2y 224d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RPlot!$AT$62:$EO$62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17794.572797753815</c:v>
                </c:pt>
                <c:pt idx="9">
                  <c:v>15972.156615121001</c:v>
                </c:pt>
                <c:pt idx="10">
                  <c:v>15041.510577269126</c:v>
                </c:pt>
                <c:pt idx="11">
                  <c:v>15035.863988692396</c:v>
                </c:pt>
                <c:pt idx="12">
                  <c:v>16003.462689194108</c:v>
                </c:pt>
                <c:pt idx="13">
                  <c:v>17742.147684485935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17036.341452679262</c:v>
                </c:pt>
                <c:pt idx="32">
                  <c:v>14690.196105852647</c:v>
                </c:pt>
                <c:pt idx="33">
                  <c:v>13413.613625395466</c:v>
                </c:pt>
                <c:pt idx="34">
                  <c:v>12838.373609322338</c:v>
                </c:pt>
                <c:pt idx="35">
                  <c:v>13313.319549473967</c:v>
                </c:pt>
                <c:pt idx="36">
                  <c:v>14783.799823800764</c:v>
                </c:pt>
                <c:pt idx="37">
                  <c:v>17110.797828921608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18373.618051040939</c:v>
                </c:pt>
                <c:pt idx="55">
                  <c:v>15634.967266256055</c:v>
                </c:pt>
                <c:pt idx="56">
                  <c:v>13963.391639646055</c:v>
                </c:pt>
                <c:pt idx="57">
                  <c:v>13335.881960684246</c:v>
                </c:pt>
                <c:pt idx="58">
                  <c:v>13482.264660224053</c:v>
                </c:pt>
                <c:pt idx="59">
                  <c:v>14570.553088613002</c:v>
                </c:pt>
                <c:pt idx="60">
                  <c:v>16452.277307186094</c:v>
                </c:pt>
                <c:pt idx="61">
                  <c:v>18955.24685597009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19497.498209157831</c:v>
                </c:pt>
                <c:pt idx="82">
                  <c:v>18389.561318304295</c:v>
                </c:pt>
                <c:pt idx="83">
                  <c:v>17822.265219906472</c:v>
                </c:pt>
                <c:pt idx="84">
                  <c:v>18021.289679187266</c:v>
                </c:pt>
                <c:pt idx="85">
                  <c:v>18911.164460063646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B92-4398-90F9-0635F73C17C7}"/>
            </c:ext>
          </c:extLst>
        </c:ser>
        <c:ser>
          <c:idx val="60"/>
          <c:order val="60"/>
          <c:tx>
            <c:strRef>
              <c:f>RPlot!$EP$63</c:f>
              <c:strCache>
                <c:ptCount val="1"/>
                <c:pt idx="0">
                  <c:v>2y 238d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RPlot!$AT$63:$EO$63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18140.809783524139</c:v>
                </c:pt>
                <c:pt idx="9">
                  <c:v>16176.383427237357</c:v>
                </c:pt>
                <c:pt idx="10">
                  <c:v>15113.433936473033</c:v>
                </c:pt>
                <c:pt idx="11">
                  <c:v>14998.1238269856</c:v>
                </c:pt>
                <c:pt idx="12">
                  <c:v>15875.043571840242</c:v>
                </c:pt>
                <c:pt idx="13">
                  <c:v>17522.011534066776</c:v>
                </c:pt>
                <c:pt idx="14">
                  <c:v>19805.380241101564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17413.468674211981</c:v>
                </c:pt>
                <c:pt idx="32">
                  <c:v>14953.482326353034</c:v>
                </c:pt>
                <c:pt idx="33">
                  <c:v>13608.688288805499</c:v>
                </c:pt>
                <c:pt idx="34">
                  <c:v>12938.343043616293</c:v>
                </c:pt>
                <c:pt idx="35">
                  <c:v>13322.61526576277</c:v>
                </c:pt>
                <c:pt idx="36">
                  <c:v>14712.091170632533</c:v>
                </c:pt>
                <c:pt idx="37">
                  <c:v>16969.787029270137</c:v>
                </c:pt>
                <c:pt idx="38">
                  <c:v>19930.540259986774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19014.100860862367</c:v>
                </c:pt>
                <c:pt idx="55">
                  <c:v>16120.476547202314</c:v>
                </c:pt>
                <c:pt idx="56">
                  <c:v>14285.994877057186</c:v>
                </c:pt>
                <c:pt idx="57">
                  <c:v>13553.202798839855</c:v>
                </c:pt>
                <c:pt idx="58">
                  <c:v>13583.959335602476</c:v>
                </c:pt>
                <c:pt idx="59">
                  <c:v>14556.501707795371</c:v>
                </c:pt>
                <c:pt idx="60">
                  <c:v>16334.161006798329</c:v>
                </c:pt>
                <c:pt idx="61">
                  <c:v>18744.49919830506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18821.836937806955</c:v>
                </c:pt>
                <c:pt idx="83">
                  <c:v>18127.878802941468</c:v>
                </c:pt>
                <c:pt idx="84">
                  <c:v>18126.093858986478</c:v>
                </c:pt>
                <c:pt idx="85">
                  <c:v>18814.492272290874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B92-4398-90F9-0635F73C17C7}"/>
            </c:ext>
          </c:extLst>
        </c:ser>
        <c:ser>
          <c:idx val="61"/>
          <c:order val="61"/>
          <c:tx>
            <c:strRef>
              <c:f>RPlot!$EP$64</c:f>
              <c:strCache>
                <c:ptCount val="1"/>
                <c:pt idx="0">
                  <c:v>2y 251d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RPlot!$AT$64:$EO$64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18504.080934226658</c:v>
                </c:pt>
                <c:pt idx="9">
                  <c:v>16399.395389800455</c:v>
                </c:pt>
                <c:pt idx="10">
                  <c:v>15206.307204254706</c:v>
                </c:pt>
                <c:pt idx="11">
                  <c:v>14981.833131476993</c:v>
                </c:pt>
                <c:pt idx="12">
                  <c:v>15759.333108012803</c:v>
                </c:pt>
                <c:pt idx="13">
                  <c:v>17312.85000575774</c:v>
                </c:pt>
                <c:pt idx="14">
                  <c:v>19584.768556789946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17805.250940697661</c:v>
                </c:pt>
                <c:pt idx="32">
                  <c:v>15230.105756766603</c:v>
                </c:pt>
                <c:pt idx="33">
                  <c:v>13815.656556938722</c:v>
                </c:pt>
                <c:pt idx="34">
                  <c:v>13048.702708287165</c:v>
                </c:pt>
                <c:pt idx="35">
                  <c:v>13340.604074057857</c:v>
                </c:pt>
                <c:pt idx="36">
                  <c:v>14647.337118495381</c:v>
                </c:pt>
                <c:pt idx="37">
                  <c:v>16834.306018864794</c:v>
                </c:pt>
                <c:pt idx="38">
                  <c:v>19734.884684361652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19699.311129261052</c:v>
                </c:pt>
                <c:pt idx="55">
                  <c:v>16645.443029325059</c:v>
                </c:pt>
                <c:pt idx="56">
                  <c:v>14647.99472788148</c:v>
                </c:pt>
                <c:pt idx="57">
                  <c:v>13733.042913066422</c:v>
                </c:pt>
                <c:pt idx="58">
                  <c:v>13703.678295876169</c:v>
                </c:pt>
                <c:pt idx="59">
                  <c:v>14555.549801806093</c:v>
                </c:pt>
                <c:pt idx="60">
                  <c:v>16224.901729274778</c:v>
                </c:pt>
                <c:pt idx="61">
                  <c:v>18539.437033814458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19294.852983844194</c:v>
                </c:pt>
                <c:pt idx="83">
                  <c:v>18477.006140956688</c:v>
                </c:pt>
                <c:pt idx="84">
                  <c:v>18254.158346234548</c:v>
                </c:pt>
                <c:pt idx="85">
                  <c:v>18736.595144212537</c:v>
                </c:pt>
                <c:pt idx="86">
                  <c:v>19863.567244169077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B92-4398-90F9-0635F73C17C7}"/>
            </c:ext>
          </c:extLst>
        </c:ser>
        <c:ser>
          <c:idx val="62"/>
          <c:order val="62"/>
          <c:tx>
            <c:strRef>
              <c:f>RPlot!$EP$65</c:f>
              <c:strCache>
                <c:ptCount val="1"/>
                <c:pt idx="0">
                  <c:v>2y 265d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RPlot!$AT$65:$EO$65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18883.725552462485</c:v>
                </c:pt>
                <c:pt idx="9">
                  <c:v>16639.965735900332</c:v>
                </c:pt>
                <c:pt idx="10">
                  <c:v>15317.985329983394</c:v>
                </c:pt>
                <c:pt idx="11">
                  <c:v>14983.455303718925</c:v>
                </c:pt>
                <c:pt idx="12">
                  <c:v>15656.372475183891</c:v>
                </c:pt>
                <c:pt idx="13">
                  <c:v>17114.682804183973</c:v>
                </c:pt>
                <c:pt idx="14">
                  <c:v>19318.937884533683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18212.472287984085</c:v>
                </c:pt>
                <c:pt idx="32">
                  <c:v>15520.687737752374</c:v>
                </c:pt>
                <c:pt idx="33">
                  <c:v>14010.782341279188</c:v>
                </c:pt>
                <c:pt idx="34">
                  <c:v>13169.951038467283</c:v>
                </c:pt>
                <c:pt idx="35">
                  <c:v>13367.716416422367</c:v>
                </c:pt>
                <c:pt idx="36">
                  <c:v>14589.865290864787</c:v>
                </c:pt>
                <c:pt idx="37">
                  <c:v>16704.562924389083</c:v>
                </c:pt>
                <c:pt idx="38">
                  <c:v>19543.870229713979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17212.354732203603</c:v>
                </c:pt>
                <c:pt idx="56">
                  <c:v>15050.676214756657</c:v>
                </c:pt>
                <c:pt idx="57">
                  <c:v>13957.580849669084</c:v>
                </c:pt>
                <c:pt idx="58">
                  <c:v>13843.354423775847</c:v>
                </c:pt>
                <c:pt idx="59">
                  <c:v>14569.313373433724</c:v>
                </c:pt>
                <c:pt idx="60">
                  <c:v>16125.730088981709</c:v>
                </c:pt>
                <c:pt idx="61">
                  <c:v>18340.922894702366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19823.110782556887</c:v>
                </c:pt>
                <c:pt idx="83">
                  <c:v>18868.1726348786</c:v>
                </c:pt>
                <c:pt idx="84">
                  <c:v>18398.98003713978</c:v>
                </c:pt>
                <c:pt idx="85">
                  <c:v>18686.875897183756</c:v>
                </c:pt>
                <c:pt idx="86">
                  <c:v>19648.423912648788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B92-4398-90F9-0635F73C17C7}"/>
            </c:ext>
          </c:extLst>
        </c:ser>
        <c:ser>
          <c:idx val="63"/>
          <c:order val="63"/>
          <c:tx>
            <c:strRef>
              <c:f>RPlot!$EP$66</c:f>
              <c:strCache>
                <c:ptCount val="1"/>
                <c:pt idx="0">
                  <c:v>2y 279d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RPlot!$AT$66:$EO$66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19279.239984666463</c:v>
                </c:pt>
                <c:pt idx="9">
                  <c:v>16897.163010999448</c:v>
                </c:pt>
                <c:pt idx="10">
                  <c:v>15446.904718638998</c:v>
                </c:pt>
                <c:pt idx="11">
                  <c:v>15000.761202675891</c:v>
                </c:pt>
                <c:pt idx="12">
                  <c:v>15566.204130513133</c:v>
                </c:pt>
                <c:pt idx="13">
                  <c:v>16927.539187734274</c:v>
                </c:pt>
                <c:pt idx="14">
                  <c:v>19054.215866973707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18635.971274670526</c:v>
                </c:pt>
                <c:pt idx="32">
                  <c:v>15825.891023063323</c:v>
                </c:pt>
                <c:pt idx="33">
                  <c:v>14181.906593775391</c:v>
                </c:pt>
                <c:pt idx="34">
                  <c:v>13302.618133696773</c:v>
                </c:pt>
                <c:pt idx="35">
                  <c:v>13404.412970296587</c:v>
                </c:pt>
                <c:pt idx="36">
                  <c:v>14540.031981224474</c:v>
                </c:pt>
                <c:pt idx="37">
                  <c:v>16580.789933470736</c:v>
                </c:pt>
                <c:pt idx="38">
                  <c:v>19357.617687802653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17824.010431670093</c:v>
                </c:pt>
                <c:pt idx="56">
                  <c:v>15495.612697316523</c:v>
                </c:pt>
                <c:pt idx="57">
                  <c:v>14226.98129915772</c:v>
                </c:pt>
                <c:pt idx="58">
                  <c:v>13992.633385659099</c:v>
                </c:pt>
                <c:pt idx="59">
                  <c:v>14599.577077456748</c:v>
                </c:pt>
                <c:pt idx="60">
                  <c:v>16038.025693813601</c:v>
                </c:pt>
                <c:pt idx="61">
                  <c:v>18149.937117392383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19201.860864273982</c:v>
                </c:pt>
                <c:pt idx="84">
                  <c:v>18579.413298945583</c:v>
                </c:pt>
                <c:pt idx="85">
                  <c:v>18666.967710807668</c:v>
                </c:pt>
                <c:pt idx="86">
                  <c:v>19457.166135640498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B92-4398-90F9-0635F73C17C7}"/>
            </c:ext>
          </c:extLst>
        </c:ser>
        <c:ser>
          <c:idx val="64"/>
          <c:order val="64"/>
          <c:tx>
            <c:strRef>
              <c:f>RPlot!$EP$67</c:f>
              <c:strCache>
                <c:ptCount val="1"/>
                <c:pt idx="0">
                  <c:v>2y 292d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RPlot!$AT$67:$EO$67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19690.249427541039</c:v>
                </c:pt>
                <c:pt idx="9">
                  <c:v>17170.285550989225</c:v>
                </c:pt>
                <c:pt idx="10">
                  <c:v>15591.937260397273</c:v>
                </c:pt>
                <c:pt idx="11">
                  <c:v>15032.309284195262</c:v>
                </c:pt>
                <c:pt idx="12">
                  <c:v>15488.871854377179</c:v>
                </c:pt>
                <c:pt idx="13">
                  <c:v>16751.457807483919</c:v>
                </c:pt>
                <c:pt idx="14">
                  <c:v>18798.983201132512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19076.646342999604</c:v>
                </c:pt>
                <c:pt idx="32">
                  <c:v>16146.424736017732</c:v>
                </c:pt>
                <c:pt idx="33">
                  <c:v>14368.748274889445</c:v>
                </c:pt>
                <c:pt idx="34">
                  <c:v>13447.26890003962</c:v>
                </c:pt>
                <c:pt idx="35">
                  <c:v>13451.187183710765</c:v>
                </c:pt>
                <c:pt idx="36">
                  <c:v>14498.224521993779</c:v>
                </c:pt>
                <c:pt idx="37">
                  <c:v>16463.24449146691</c:v>
                </c:pt>
                <c:pt idx="38">
                  <c:v>19173.754082208743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18483.541889492444</c:v>
                </c:pt>
                <c:pt idx="56">
                  <c:v>15984.684642733864</c:v>
                </c:pt>
                <c:pt idx="57">
                  <c:v>14541.715550493243</c:v>
                </c:pt>
                <c:pt idx="58">
                  <c:v>14129.497591236712</c:v>
                </c:pt>
                <c:pt idx="59">
                  <c:v>14648.306838614459</c:v>
                </c:pt>
                <c:pt idx="60">
                  <c:v>15963.332640928029</c:v>
                </c:pt>
                <c:pt idx="61">
                  <c:v>17967.593018655283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19546.363507132501</c:v>
                </c:pt>
                <c:pt idx="84">
                  <c:v>18796.408094055507</c:v>
                </c:pt>
                <c:pt idx="85">
                  <c:v>18678.295497226733</c:v>
                </c:pt>
                <c:pt idx="86">
                  <c:v>19291.325044240933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B92-4398-90F9-0635F73C17C7}"/>
            </c:ext>
          </c:extLst>
        </c:ser>
        <c:ser>
          <c:idx val="65"/>
          <c:order val="65"/>
          <c:tx>
            <c:strRef>
              <c:f>RPlot!$EP$68</c:f>
              <c:strCache>
                <c:ptCount val="1"/>
                <c:pt idx="0">
                  <c:v>2y 306d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RPlot!$AT$68:$EO$68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17458.81131471003</c:v>
                </c:pt>
                <c:pt idx="10">
                  <c:v>15752.281510201039</c:v>
                </c:pt>
                <c:pt idx="11">
                  <c:v>15077.165987224951</c:v>
                </c:pt>
                <c:pt idx="12">
                  <c:v>15424.421201790519</c:v>
                </c:pt>
                <c:pt idx="13">
                  <c:v>16586.485533927251</c:v>
                </c:pt>
                <c:pt idx="14">
                  <c:v>18553.232502139148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19535.461569755505</c:v>
                </c:pt>
                <c:pt idx="32">
                  <c:v>16483.049715116314</c:v>
                </c:pt>
                <c:pt idx="33">
                  <c:v>14571.819866923954</c:v>
                </c:pt>
                <c:pt idx="34">
                  <c:v>13604.505717939475</c:v>
                </c:pt>
                <c:pt idx="35">
                  <c:v>13508.567191997548</c:v>
                </c:pt>
                <c:pt idx="36">
                  <c:v>14464.863826347027</c:v>
                </c:pt>
                <c:pt idx="37">
                  <c:v>16352.213463034786</c:v>
                </c:pt>
                <c:pt idx="38">
                  <c:v>18966.148798330643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19194.437527476446</c:v>
                </c:pt>
                <c:pt idx="56">
                  <c:v>16520.100771176592</c:v>
                </c:pt>
                <c:pt idx="57">
                  <c:v>14902.545962017437</c:v>
                </c:pt>
                <c:pt idx="58">
                  <c:v>14315.201333423294</c:v>
                </c:pt>
                <c:pt idx="59">
                  <c:v>14686.725903298578</c:v>
                </c:pt>
                <c:pt idx="60">
                  <c:v>15903.375267994972</c:v>
                </c:pt>
                <c:pt idx="61">
                  <c:v>17795.151265730841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19946.869690089574</c:v>
                </c:pt>
                <c:pt idx="84">
                  <c:v>19050.587477184894</c:v>
                </c:pt>
                <c:pt idx="85">
                  <c:v>18722.043004595653</c:v>
                </c:pt>
                <c:pt idx="86">
                  <c:v>19152.310716776883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B92-4398-90F9-0635F73C17C7}"/>
            </c:ext>
          </c:extLst>
        </c:ser>
        <c:ser>
          <c:idx val="66"/>
          <c:order val="66"/>
          <c:tx>
            <c:strRef>
              <c:f>RPlot!$EP$69</c:f>
              <c:strCache>
                <c:ptCount val="1"/>
                <c:pt idx="0">
                  <c:v>2y 320d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RPlot!$AT$69:$EO$69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17762.360076338908</c:v>
                </c:pt>
                <c:pt idx="10">
                  <c:v>15927.380653031509</c:v>
                </c:pt>
                <c:pt idx="11">
                  <c:v>15134.746135009864</c:v>
                </c:pt>
                <c:pt idx="12">
                  <c:v>15372.899459544155</c:v>
                </c:pt>
                <c:pt idx="13">
                  <c:v>16432.680946490371</c:v>
                </c:pt>
                <c:pt idx="14">
                  <c:v>18316.968647984213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16836.584279287985</c:v>
                </c:pt>
                <c:pt idx="33">
                  <c:v>14791.690087264989</c:v>
                </c:pt>
                <c:pt idx="34">
                  <c:v>13774.972547818921</c:v>
                </c:pt>
                <c:pt idx="35">
                  <c:v>13577.119981036902</c:v>
                </c:pt>
                <c:pt idx="36">
                  <c:v>14440.407148635448</c:v>
                </c:pt>
                <c:pt idx="37">
                  <c:v>16227.14708909778</c:v>
                </c:pt>
                <c:pt idx="38">
                  <c:v>18762.442297724294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19960.566901456434</c:v>
                </c:pt>
                <c:pt idx="56">
                  <c:v>17104.419806122114</c:v>
                </c:pt>
                <c:pt idx="57">
                  <c:v>15310.540231532281</c:v>
                </c:pt>
                <c:pt idx="58">
                  <c:v>14549.064816960903</c:v>
                </c:pt>
                <c:pt idx="59">
                  <c:v>14759.198317312752</c:v>
                </c:pt>
                <c:pt idx="60">
                  <c:v>15838.560869985056</c:v>
                </c:pt>
                <c:pt idx="61">
                  <c:v>17633.473401940941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19342.252759011873</c:v>
                </c:pt>
                <c:pt idx="85">
                  <c:v>18799.132058851115</c:v>
                </c:pt>
                <c:pt idx="86">
                  <c:v>19041.385698561055</c:v>
                </c:pt>
                <c:pt idx="87">
                  <c:v>19984.149119210466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B92-4398-90F9-0635F73C17C7}"/>
            </c:ext>
          </c:extLst>
        </c:ser>
        <c:ser>
          <c:idx val="67"/>
          <c:order val="67"/>
          <c:tx>
            <c:strRef>
              <c:f>RPlot!$EP$70</c:f>
              <c:strCache>
                <c:ptCount val="1"/>
                <c:pt idx="0">
                  <c:v>2y 334d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RPlot!$AT$70:$EO$70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18080.665340201369</c:v>
                </c:pt>
                <c:pt idx="10">
                  <c:v>16116.86067556428</c:v>
                </c:pt>
                <c:pt idx="11">
                  <c:v>15204.714974540049</c:v>
                </c:pt>
                <c:pt idx="12">
                  <c:v>15334.35627705586</c:v>
                </c:pt>
                <c:pt idx="13">
                  <c:v>16290.109886471944</c:v>
                </c:pt>
                <c:pt idx="14">
                  <c:v>18090.209226943207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17207.910451203355</c:v>
                </c:pt>
                <c:pt idx="33">
                  <c:v>15028.985067701093</c:v>
                </c:pt>
                <c:pt idx="34">
                  <c:v>13959.357931406375</c:v>
                </c:pt>
                <c:pt idx="35">
                  <c:v>13657.453106994097</c:v>
                </c:pt>
                <c:pt idx="36">
                  <c:v>14414.880564961371</c:v>
                </c:pt>
                <c:pt idx="37">
                  <c:v>16100.647748630059</c:v>
                </c:pt>
                <c:pt idx="38">
                  <c:v>18562.858712422498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17740.571572192384</c:v>
                </c:pt>
                <c:pt idx="57">
                  <c:v>15767.102000328718</c:v>
                </c:pt>
                <c:pt idx="58">
                  <c:v>14830.924891597046</c:v>
                </c:pt>
                <c:pt idx="59">
                  <c:v>14880.90603838165</c:v>
                </c:pt>
                <c:pt idx="60">
                  <c:v>15824.048799529883</c:v>
                </c:pt>
                <c:pt idx="61">
                  <c:v>17538.764160284183</c:v>
                </c:pt>
                <c:pt idx="62">
                  <c:v>19912.444478308225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19576.190104807447</c:v>
                </c:pt>
                <c:pt idx="85">
                  <c:v>18910.205856513228</c:v>
                </c:pt>
                <c:pt idx="86">
                  <c:v>18959.638332832332</c:v>
                </c:pt>
                <c:pt idx="87">
                  <c:v>19740.525565302491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B92-4398-90F9-0635F73C17C7}"/>
            </c:ext>
          </c:extLst>
        </c:ser>
        <c:ser>
          <c:idx val="68"/>
          <c:order val="68"/>
          <c:tx>
            <c:strRef>
              <c:f>RPlot!$EP$71</c:f>
              <c:strCache>
                <c:ptCount val="1"/>
                <c:pt idx="0">
                  <c:v>2y 347d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RPlot!$AT$71:$EO$71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18413.55375798716</c:v>
                </c:pt>
                <c:pt idx="10">
                  <c:v>16320.484178947394</c:v>
                </c:pt>
                <c:pt idx="11">
                  <c:v>15286.922870070179</c:v>
                </c:pt>
                <c:pt idx="12">
                  <c:v>15308.844036659601</c:v>
                </c:pt>
                <c:pt idx="13">
                  <c:v>16158.850418971249</c:v>
                </c:pt>
                <c:pt idx="14">
                  <c:v>17872.984902312575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17597.980684152812</c:v>
                </c:pt>
                <c:pt idx="33">
                  <c:v>15284.391208520352</c:v>
                </c:pt>
                <c:pt idx="34">
                  <c:v>14158.40040174631</c:v>
                </c:pt>
                <c:pt idx="35">
                  <c:v>13748.789413199464</c:v>
                </c:pt>
                <c:pt idx="36">
                  <c:v>14382.33702501912</c:v>
                </c:pt>
                <c:pt idx="37">
                  <c:v>15980.240272541678</c:v>
                </c:pt>
                <c:pt idx="38">
                  <c:v>18367.64867151442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18431.876540202855</c:v>
                </c:pt>
                <c:pt idx="57">
                  <c:v>16274.006163481099</c:v>
                </c:pt>
                <c:pt idx="58">
                  <c:v>15161.026280500078</c:v>
                </c:pt>
                <c:pt idx="59">
                  <c:v>15049.239326121558</c:v>
                </c:pt>
                <c:pt idx="60">
                  <c:v>15857.704830318633</c:v>
                </c:pt>
                <c:pt idx="61">
                  <c:v>17490.699236957484</c:v>
                </c:pt>
                <c:pt idx="62">
                  <c:v>19752.913785555818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19851.856613535369</c:v>
                </c:pt>
                <c:pt idx="85">
                  <c:v>19055.626248377568</c:v>
                </c:pt>
                <c:pt idx="86">
                  <c:v>18907.964404755596</c:v>
                </c:pt>
                <c:pt idx="87">
                  <c:v>19521.920853307911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B92-4398-90F9-0635F73C17C7}"/>
            </c:ext>
          </c:extLst>
        </c:ser>
        <c:ser>
          <c:idx val="69"/>
          <c:order val="69"/>
          <c:tx>
            <c:strRef>
              <c:f>RPlot!$EP$72</c:f>
              <c:strCache>
                <c:ptCount val="1"/>
                <c:pt idx="0">
                  <c:v>2y 361d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RPlot!$AT$72:$EO$72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18760.930245975382</c:v>
                </c:pt>
                <c:pt idx="10">
                  <c:v>16538.116406091387</c:v>
                </c:pt>
                <c:pt idx="11">
                  <c:v>15381.358224189138</c:v>
                </c:pt>
                <c:pt idx="12">
                  <c:v>15296.418584520961</c:v>
                </c:pt>
                <c:pt idx="13">
                  <c:v>16038.988902245022</c:v>
                </c:pt>
                <c:pt idx="14">
                  <c:v>17648.548528277977</c:v>
                </c:pt>
                <c:pt idx="15">
                  <c:v>19953.931924027416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18007.825144106369</c:v>
                </c:pt>
                <c:pt idx="33">
                  <c:v>15558.65945264481</c:v>
                </c:pt>
                <c:pt idx="34">
                  <c:v>14372.891374475881</c:v>
                </c:pt>
                <c:pt idx="35">
                  <c:v>13828.309161894571</c:v>
                </c:pt>
                <c:pt idx="36">
                  <c:v>14358.69474658308</c:v>
                </c:pt>
                <c:pt idx="37">
                  <c:v>15866.354097852105</c:v>
                </c:pt>
                <c:pt idx="38">
                  <c:v>18177.093352369742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19182.063073591053</c:v>
                </c:pt>
                <c:pt idx="57">
                  <c:v>16833.43028446969</c:v>
                </c:pt>
                <c:pt idx="58">
                  <c:v>15539.998528882945</c:v>
                </c:pt>
                <c:pt idx="59">
                  <c:v>15262.884021308479</c:v>
                </c:pt>
                <c:pt idx="60">
                  <c:v>15932.326588432679</c:v>
                </c:pt>
                <c:pt idx="61">
                  <c:v>17465.95761854601</c:v>
                </c:pt>
                <c:pt idx="62">
                  <c:v>19602.171810986078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19235.480960741104</c:v>
                </c:pt>
                <c:pt idx="86">
                  <c:v>18887.050226077481</c:v>
                </c:pt>
                <c:pt idx="87">
                  <c:v>19329.276258400678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EB92-4398-90F9-0635F73C17C7}"/>
            </c:ext>
          </c:extLst>
        </c:ser>
        <c:ser>
          <c:idx val="70"/>
          <c:order val="70"/>
          <c:tx>
            <c:strRef>
              <c:f>RPlot!$EP$73</c:f>
              <c:strCache>
                <c:ptCount val="1"/>
                <c:pt idx="0">
                  <c:v>3y 10d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RPlot!$AT$73:$EO$73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19122.767380152716</c:v>
                </c:pt>
                <c:pt idx="10">
                  <c:v>16769.700778806189</c:v>
                </c:pt>
                <c:pt idx="11">
                  <c:v>15488.111552941878</c:v>
                </c:pt>
                <c:pt idx="12">
                  <c:v>15297.140308213367</c:v>
                </c:pt>
                <c:pt idx="13">
                  <c:v>15930.623073580093</c:v>
                </c:pt>
                <c:pt idx="14">
                  <c:v>17428.642275416685</c:v>
                </c:pt>
                <c:pt idx="15">
                  <c:v>19667.021940000977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18438.559603622074</c:v>
                </c:pt>
                <c:pt idx="33">
                  <c:v>15852.610795149089</c:v>
                </c:pt>
                <c:pt idx="34">
                  <c:v>14530.372365701127</c:v>
                </c:pt>
                <c:pt idx="35">
                  <c:v>13919.915893196858</c:v>
                </c:pt>
                <c:pt idx="36">
                  <c:v>14344.577329626003</c:v>
                </c:pt>
                <c:pt idx="37">
                  <c:v>15759.461500765361</c:v>
                </c:pt>
                <c:pt idx="38">
                  <c:v>17991.506577129374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19995.281553840861</c:v>
                </c:pt>
                <c:pt idx="57">
                  <c:v>17447.976928643016</c:v>
                </c:pt>
                <c:pt idx="58">
                  <c:v>15968.883404202556</c:v>
                </c:pt>
                <c:pt idx="59">
                  <c:v>15521.346201980978</c:v>
                </c:pt>
                <c:pt idx="60">
                  <c:v>16044.7374941733</c:v>
                </c:pt>
                <c:pt idx="61">
                  <c:v>17461.257591498572</c:v>
                </c:pt>
                <c:pt idx="62">
                  <c:v>19461.732090492758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19408.995681982156</c:v>
                </c:pt>
                <c:pt idx="86">
                  <c:v>18897.366507317551</c:v>
                </c:pt>
                <c:pt idx="87">
                  <c:v>19163.409474343545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B92-4398-90F9-0635F73C17C7}"/>
            </c:ext>
          </c:extLst>
        </c:ser>
        <c:ser>
          <c:idx val="71"/>
          <c:order val="71"/>
          <c:tx>
            <c:strRef>
              <c:f>RPlot!$EP$74</c:f>
              <c:strCache>
                <c:ptCount val="1"/>
                <c:pt idx="0">
                  <c:v>3y 23d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RPlot!$AT$74:$EO$74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19499.097972443713</c:v>
                </c:pt>
                <c:pt idx="10">
                  <c:v>17015.241764527273</c:v>
                </c:pt>
                <c:pt idx="11">
                  <c:v>15607.34731858052</c:v>
                </c:pt>
                <c:pt idx="12">
                  <c:v>15311.073436229412</c:v>
                </c:pt>
                <c:pt idx="13">
                  <c:v>15821.386159859328</c:v>
                </c:pt>
                <c:pt idx="14">
                  <c:v>17220.270700749668</c:v>
                </c:pt>
                <c:pt idx="15">
                  <c:v>19390.088582821401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18891.394008028168</c:v>
                </c:pt>
                <c:pt idx="33">
                  <c:v>16167.142901057887</c:v>
                </c:pt>
                <c:pt idx="34">
                  <c:v>14687.438760897894</c:v>
                </c:pt>
                <c:pt idx="35">
                  <c:v>14024.388863080516</c:v>
                </c:pt>
                <c:pt idx="36">
                  <c:v>14340.659767987407</c:v>
                </c:pt>
                <c:pt idx="37">
                  <c:v>15660.081199791981</c:v>
                </c:pt>
                <c:pt idx="38">
                  <c:v>17811.238838569563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18120.684749654527</c:v>
                </c:pt>
                <c:pt idx="58">
                  <c:v>16449.178952721093</c:v>
                </c:pt>
                <c:pt idx="59">
                  <c:v>15824.720403345131</c:v>
                </c:pt>
                <c:pt idx="60">
                  <c:v>16193.781831699191</c:v>
                </c:pt>
                <c:pt idx="61">
                  <c:v>17477.732914888657</c:v>
                </c:pt>
                <c:pt idx="62">
                  <c:v>19333.321038198566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19569.829139024583</c:v>
                </c:pt>
                <c:pt idx="86">
                  <c:v>18939.163054593111</c:v>
                </c:pt>
                <c:pt idx="87">
                  <c:v>19025.000783159107</c:v>
                </c:pt>
                <c:pt idx="88">
                  <c:v>19870.572310743908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EB92-4398-90F9-0635F73C17C7}"/>
            </c:ext>
          </c:extLst>
        </c:ser>
        <c:ser>
          <c:idx val="72"/>
          <c:order val="72"/>
          <c:tx>
            <c:strRef>
              <c:f>RPlot!$EP$75</c:f>
              <c:strCache>
                <c:ptCount val="1"/>
                <c:pt idx="0">
                  <c:v>3y 37d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RPlot!$AT$75:$EO$75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19890.009997608198</c:v>
                </c:pt>
                <c:pt idx="10">
                  <c:v>17274.79331451884</c:v>
                </c:pt>
                <c:pt idx="11">
                  <c:v>15739.281874870838</c:v>
                </c:pt>
                <c:pt idx="12">
                  <c:v>15338.290358311868</c:v>
                </c:pt>
                <c:pt idx="13">
                  <c:v>15714.328034470484</c:v>
                </c:pt>
                <c:pt idx="14">
                  <c:v>17023.497248398489</c:v>
                </c:pt>
                <c:pt idx="15">
                  <c:v>19123.118931480662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19367.641776353445</c:v>
                </c:pt>
                <c:pt idx="33">
                  <c:v>16503.2377523877</c:v>
                </c:pt>
                <c:pt idx="34">
                  <c:v>14866.644953541469</c:v>
                </c:pt>
                <c:pt idx="35">
                  <c:v>14142.564088778403</c:v>
                </c:pt>
                <c:pt idx="36">
                  <c:v>14347.672496103929</c:v>
                </c:pt>
                <c:pt idx="37">
                  <c:v>15568.782807869744</c:v>
                </c:pt>
                <c:pt idx="38">
                  <c:v>17636.680946068715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18855.028277688652</c:v>
                </c:pt>
                <c:pt idx="58">
                  <c:v>16982.873757509187</c:v>
                </c:pt>
                <c:pt idx="59">
                  <c:v>16173.623622361269</c:v>
                </c:pt>
                <c:pt idx="60">
                  <c:v>16379.31699576762</c:v>
                </c:pt>
                <c:pt idx="61">
                  <c:v>17504.206425127679</c:v>
                </c:pt>
                <c:pt idx="62">
                  <c:v>19218.893458880069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19782.418069134583</c:v>
                </c:pt>
                <c:pt idx="86">
                  <c:v>19012.47785010302</c:v>
                </c:pt>
                <c:pt idx="87">
                  <c:v>18914.586214440376</c:v>
                </c:pt>
                <c:pt idx="88">
                  <c:v>19607.192297215079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B92-4398-90F9-0635F73C17C7}"/>
            </c:ext>
          </c:extLst>
        </c:ser>
        <c:ser>
          <c:idx val="73"/>
          <c:order val="73"/>
          <c:tx>
            <c:strRef>
              <c:f>RPlot!$EP$76</c:f>
              <c:strCache>
                <c:ptCount val="1"/>
                <c:pt idx="0">
                  <c:v>3y 51d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RPlot!$AT$76:$EO$76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17548.451471940374</c:v>
                </c:pt>
                <c:pt idx="11">
                  <c:v>15884.166630980741</c:v>
                </c:pt>
                <c:pt idx="12">
                  <c:v>15356.344568600918</c:v>
                </c:pt>
                <c:pt idx="13">
                  <c:v>15620.891711020848</c:v>
                </c:pt>
                <c:pt idx="14">
                  <c:v>16838.402243131248</c:v>
                </c:pt>
                <c:pt idx="15">
                  <c:v>18866.117756854637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19868.729899238238</c:v>
                </c:pt>
                <c:pt idx="33">
                  <c:v>16861.970285899646</c:v>
                </c:pt>
                <c:pt idx="34">
                  <c:v>15068.782750389126</c:v>
                </c:pt>
                <c:pt idx="35">
                  <c:v>14275.338921585942</c:v>
                </c:pt>
                <c:pt idx="36">
                  <c:v>14366.405737288176</c:v>
                </c:pt>
                <c:pt idx="37">
                  <c:v>15486.191572402535</c:v>
                </c:pt>
                <c:pt idx="38">
                  <c:v>17468.268531631154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19654.907401139793</c:v>
                </c:pt>
                <c:pt idx="58">
                  <c:v>17572.456039095199</c:v>
                </c:pt>
                <c:pt idx="59">
                  <c:v>16569.221804576206</c:v>
                </c:pt>
                <c:pt idx="60">
                  <c:v>16601.73557437722</c:v>
                </c:pt>
                <c:pt idx="61">
                  <c:v>17554.42197314847</c:v>
                </c:pt>
                <c:pt idx="62">
                  <c:v>19120.644348330217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19104.159239728579</c:v>
                </c:pt>
                <c:pt idx="87">
                  <c:v>18832.548196175416</c:v>
                </c:pt>
                <c:pt idx="88">
                  <c:v>19368.006659743758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B92-4398-90F9-0635F73C17C7}"/>
            </c:ext>
          </c:extLst>
        </c:ser>
        <c:ser>
          <c:idx val="74"/>
          <c:order val="74"/>
          <c:tx>
            <c:strRef>
              <c:f>RPlot!$EP$77</c:f>
              <c:strCache>
                <c:ptCount val="1"/>
                <c:pt idx="0">
                  <c:v>3y 65d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RPlot!$AT$77:$EO$77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17836.350051412272</c:v>
                </c:pt>
                <c:pt idx="11">
                  <c:v>16042.275800366213</c:v>
                </c:pt>
                <c:pt idx="12">
                  <c:v>15388.201611381648</c:v>
                </c:pt>
                <c:pt idx="13">
                  <c:v>15541.204748108505</c:v>
                </c:pt>
                <c:pt idx="14">
                  <c:v>16665.085226658182</c:v>
                </c:pt>
                <c:pt idx="15">
                  <c:v>18619.108121054825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17244.51801707879</c:v>
                </c:pt>
                <c:pt idx="34">
                  <c:v>15294.727355000512</c:v>
                </c:pt>
                <c:pt idx="35">
                  <c:v>14423.677444000517</c:v>
                </c:pt>
                <c:pt idx="36">
                  <c:v>14397.714775566372</c:v>
                </c:pt>
                <c:pt idx="37">
                  <c:v>15412.993634793856</c:v>
                </c:pt>
                <c:pt idx="38">
                  <c:v>17306.486805583223</c:v>
                </c:pt>
                <c:pt idx="39">
                  <c:v>19885.750954346368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18220.893357788802</c:v>
                </c:pt>
                <c:pt idx="59">
                  <c:v>17013.278975224406</c:v>
                </c:pt>
                <c:pt idx="60">
                  <c:v>16861.813389270777</c:v>
                </c:pt>
                <c:pt idx="61">
                  <c:v>17632.309399337468</c:v>
                </c:pt>
                <c:pt idx="62">
                  <c:v>19041.016950426674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19164.248856507402</c:v>
                </c:pt>
                <c:pt idx="87">
                  <c:v>18779.11367657872</c:v>
                </c:pt>
                <c:pt idx="88">
                  <c:v>19153.530171959264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EB92-4398-90F9-0635F73C17C7}"/>
            </c:ext>
          </c:extLst>
        </c:ser>
        <c:ser>
          <c:idx val="75"/>
          <c:order val="75"/>
          <c:tx>
            <c:strRef>
              <c:f>RPlot!$EP$78</c:f>
              <c:strCache>
                <c:ptCount val="1"/>
                <c:pt idx="0">
                  <c:v>3y 78d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RPlot!$AT$78:$EO$78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18138.658546080413</c:v>
                </c:pt>
                <c:pt idx="11">
                  <c:v>16213.898151609259</c:v>
                </c:pt>
                <c:pt idx="12">
                  <c:v>15435.359899259571</c:v>
                </c:pt>
                <c:pt idx="13">
                  <c:v>15475.40702720361</c:v>
                </c:pt>
                <c:pt idx="14">
                  <c:v>16503.663559688201</c:v>
                </c:pt>
                <c:pt idx="15">
                  <c:v>18382.131967842444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17652.171674065321</c:v>
                </c:pt>
                <c:pt idx="34">
                  <c:v>15545.439551530093</c:v>
                </c:pt>
                <c:pt idx="35">
                  <c:v>14588.616275030268</c:v>
                </c:pt>
                <c:pt idx="36">
                  <c:v>14442.523432195219</c:v>
                </c:pt>
                <c:pt idx="37">
                  <c:v>15349.942081378133</c:v>
                </c:pt>
                <c:pt idx="38">
                  <c:v>17151.875945284162</c:v>
                </c:pt>
                <c:pt idx="39">
                  <c:v>19654.289167373536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18931.586777387514</c:v>
                </c:pt>
                <c:pt idx="59">
                  <c:v>17508.1743291522</c:v>
                </c:pt>
                <c:pt idx="60">
                  <c:v>17160.764634752672</c:v>
                </c:pt>
                <c:pt idx="61">
                  <c:v>17741.128908690087</c:v>
                </c:pt>
                <c:pt idx="62">
                  <c:v>18982.702749856402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19272.875513026269</c:v>
                </c:pt>
                <c:pt idx="87">
                  <c:v>18754.357414606311</c:v>
                </c:pt>
                <c:pt idx="88">
                  <c:v>18964.187890974517</c:v>
                </c:pt>
                <c:pt idx="89">
                  <c:v>19953.508895574101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B92-4398-90F9-0635F73C17C7}"/>
            </c:ext>
          </c:extLst>
        </c:ser>
        <c:ser>
          <c:idx val="76"/>
          <c:order val="76"/>
          <c:tx>
            <c:strRef>
              <c:f>RPlot!$EP$79</c:f>
              <c:strCache>
                <c:ptCount val="1"/>
                <c:pt idx="0">
                  <c:v>3y 92d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RPlot!$AT$79:$EO$79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18455.581626972751</c:v>
                </c:pt>
                <c:pt idx="11">
                  <c:v>16399.332166121982</c:v>
                </c:pt>
                <c:pt idx="12">
                  <c:v>15497.926082155325</c:v>
                </c:pt>
                <c:pt idx="13">
                  <c:v>15423.653040910942</c:v>
                </c:pt>
                <c:pt idx="14">
                  <c:v>16354.274330676422</c:v>
                </c:pt>
                <c:pt idx="15">
                  <c:v>18155.251236434586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18086.346887828506</c:v>
                </c:pt>
                <c:pt idx="34">
                  <c:v>15821.971448518158</c:v>
                </c:pt>
                <c:pt idx="35">
                  <c:v>14771.270989307008</c:v>
                </c:pt>
                <c:pt idx="36">
                  <c:v>14501.832914799017</c:v>
                </c:pt>
                <c:pt idx="37">
                  <c:v>15297.860959749443</c:v>
                </c:pt>
                <c:pt idx="38">
                  <c:v>17005.037077096509</c:v>
                </c:pt>
                <c:pt idx="39">
                  <c:v>19428.170651134711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19708.307243755211</c:v>
                </c:pt>
                <c:pt idx="59">
                  <c:v>18056.859188982864</c:v>
                </c:pt>
                <c:pt idx="60">
                  <c:v>17500.395273907365</c:v>
                </c:pt>
                <c:pt idx="61">
                  <c:v>17884.325843420971</c:v>
                </c:pt>
                <c:pt idx="62">
                  <c:v>18948.633173620219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19427.491322001501</c:v>
                </c:pt>
                <c:pt idx="87">
                  <c:v>18743.158102651454</c:v>
                </c:pt>
                <c:pt idx="88">
                  <c:v>18800.31038382736</c:v>
                </c:pt>
                <c:pt idx="89">
                  <c:v>19652.738263340085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EB92-4398-90F9-0635F73C17C7}"/>
            </c:ext>
          </c:extLst>
        </c:ser>
        <c:ser>
          <c:idx val="77"/>
          <c:order val="77"/>
          <c:tx>
            <c:strRef>
              <c:f>RPlot!$EP$80</c:f>
              <c:strCache>
                <c:ptCount val="1"/>
                <c:pt idx="0">
                  <c:v>3y 106d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RPlot!$AT$80:$EO$80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18787.359766838403</c:v>
                </c:pt>
                <c:pt idx="11">
                  <c:v>16598.884001292427</c:v>
                </c:pt>
                <c:pt idx="12">
                  <c:v>15576.022736243833</c:v>
                </c:pt>
                <c:pt idx="13">
                  <c:v>15386.112433470127</c:v>
                </c:pt>
                <c:pt idx="14">
                  <c:v>16217.073413012669</c:v>
                </c:pt>
                <c:pt idx="15">
                  <c:v>17938.547883737308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18548.597001585076</c:v>
                </c:pt>
                <c:pt idx="34">
                  <c:v>16125.475251335574</c:v>
                </c:pt>
                <c:pt idx="35">
                  <c:v>14972.843307583236</c:v>
                </c:pt>
                <c:pt idx="36">
                  <c:v>14576.724463518622</c:v>
                </c:pt>
                <c:pt idx="37">
                  <c:v>15257.655813977295</c:v>
                </c:pt>
                <c:pt idx="38">
                  <c:v>16866.638882939355</c:v>
                </c:pt>
                <c:pt idx="39">
                  <c:v>19207.839561710429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18662.754196077291</c:v>
                </c:pt>
                <c:pt idx="60">
                  <c:v>17883.241217313192</c:v>
                </c:pt>
                <c:pt idx="61">
                  <c:v>18065.483461452386</c:v>
                </c:pt>
                <c:pt idx="62">
                  <c:v>18941.959822565779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19625.252442571578</c:v>
                </c:pt>
                <c:pt idx="87">
                  <c:v>18718.42507568208</c:v>
                </c:pt>
                <c:pt idx="88">
                  <c:v>18662.130847453274</c:v>
                </c:pt>
                <c:pt idx="89">
                  <c:v>19373.921398330909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EB92-4398-90F9-0635F73C17C7}"/>
            </c:ext>
          </c:extLst>
        </c:ser>
        <c:ser>
          <c:idx val="78"/>
          <c:order val="78"/>
          <c:tx>
            <c:strRef>
              <c:f>RPlot!$EP$81</c:f>
              <c:strCache>
                <c:ptCount val="1"/>
                <c:pt idx="0">
                  <c:v>3y 120d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RPlot!$AT$81:$EO$81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19134.27065186332</c:v>
                </c:pt>
                <c:pt idx="11">
                  <c:v>16812.867680475716</c:v>
                </c:pt>
                <c:pt idx="12">
                  <c:v>15669.790942393327</c:v>
                </c:pt>
                <c:pt idx="13">
                  <c:v>15362.970022361835</c:v>
                </c:pt>
                <c:pt idx="14">
                  <c:v>16092.238229918825</c:v>
                </c:pt>
                <c:pt idx="15">
                  <c:v>17732.125660388152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19040.627072675532</c:v>
                </c:pt>
                <c:pt idx="34">
                  <c:v>16457.214613207099</c:v>
                </c:pt>
                <c:pt idx="35">
                  <c:v>15137.874268187699</c:v>
                </c:pt>
                <c:pt idx="36">
                  <c:v>14668.36732271789</c:v>
                </c:pt>
                <c:pt idx="37">
                  <c:v>15230.31693848973</c:v>
                </c:pt>
                <c:pt idx="38">
                  <c:v>16737.424887012869</c:v>
                </c:pt>
                <c:pt idx="39">
                  <c:v>18993.796481391128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19329.606949177847</c:v>
                </c:pt>
                <c:pt idx="60">
                  <c:v>18312.597394486551</c:v>
                </c:pt>
                <c:pt idx="61">
                  <c:v>18288.261177114007</c:v>
                </c:pt>
                <c:pt idx="62">
                  <c:v>18955.970560677732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19863.211107598421</c:v>
                </c:pt>
                <c:pt idx="87">
                  <c:v>18738.396963255916</c:v>
                </c:pt>
                <c:pt idx="88">
                  <c:v>18549.784016601261</c:v>
                </c:pt>
                <c:pt idx="89">
                  <c:v>19117.38563314073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EB92-4398-90F9-0635F73C17C7}"/>
            </c:ext>
          </c:extLst>
        </c:ser>
        <c:ser>
          <c:idx val="79"/>
          <c:order val="79"/>
          <c:tx>
            <c:strRef>
              <c:f>RPlot!$EP$82</c:f>
              <c:strCache>
                <c:ptCount val="1"/>
                <c:pt idx="0">
                  <c:v>3y 133d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RPlot!$AT$82:$EO$82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19496.631145320876</c:v>
                </c:pt>
                <c:pt idx="11">
                  <c:v>17041.606983687103</c:v>
                </c:pt>
                <c:pt idx="12">
                  <c:v>15779.391125768587</c:v>
                </c:pt>
                <c:pt idx="13">
                  <c:v>15354.428023641329</c:v>
                </c:pt>
                <c:pt idx="14">
                  <c:v>15979.966636189291</c:v>
                </c:pt>
                <c:pt idx="15">
                  <c:v>17536.110247551122</c:v>
                </c:pt>
                <c:pt idx="16">
                  <c:v>19853.940149567174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19564.309142615195</c:v>
                </c:pt>
                <c:pt idx="34">
                  <c:v>16818.578197611969</c:v>
                </c:pt>
                <c:pt idx="35">
                  <c:v>15322.143143902747</c:v>
                </c:pt>
                <c:pt idx="36">
                  <c:v>14778.025532636231</c:v>
                </c:pt>
                <c:pt idx="37">
                  <c:v>15216.928530337267</c:v>
                </c:pt>
                <c:pt idx="38">
                  <c:v>16618.222041806999</c:v>
                </c:pt>
                <c:pt idx="39">
                  <c:v>18786.605266724819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18792.396909640778</c:v>
                </c:pt>
                <c:pt idx="61">
                  <c:v>18556.319795854164</c:v>
                </c:pt>
                <c:pt idx="62">
                  <c:v>18989.166212382301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18800.4674751278</c:v>
                </c:pt>
                <c:pt idx="88">
                  <c:v>18425.766768248959</c:v>
                </c:pt>
                <c:pt idx="89">
                  <c:v>18883.409378360393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EB92-4398-90F9-0635F73C17C7}"/>
            </c:ext>
          </c:extLst>
        </c:ser>
        <c:ser>
          <c:idx val="80"/>
          <c:order val="80"/>
          <c:tx>
            <c:strRef>
              <c:f>RPlot!$EP$83</c:f>
              <c:strCache>
                <c:ptCount val="1"/>
                <c:pt idx="0">
                  <c:v>3y 147d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RPlot!$AT$83:$EO$83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19874.799642917082</c:v>
                </c:pt>
                <c:pt idx="11">
                  <c:v>17285.438585894753</c:v>
                </c:pt>
                <c:pt idx="12">
                  <c:v>15905.008624447268</c:v>
                </c:pt>
                <c:pt idx="13">
                  <c:v>15360.705543513897</c:v>
                </c:pt>
                <c:pt idx="14">
                  <c:v>15880.47804872278</c:v>
                </c:pt>
                <c:pt idx="15">
                  <c:v>17350.650609966575</c:v>
                </c:pt>
                <c:pt idx="16">
                  <c:v>19601.97388461325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17211.095168375796</c:v>
                </c:pt>
                <c:pt idx="35">
                  <c:v>15537.425541250261</c:v>
                </c:pt>
                <c:pt idx="36">
                  <c:v>14907.064136236939</c:v>
                </c:pt>
                <c:pt idx="37">
                  <c:v>15218.676035265857</c:v>
                </c:pt>
                <c:pt idx="38">
                  <c:v>16509.947242060232</c:v>
                </c:pt>
                <c:pt idx="39">
                  <c:v>18586.900861640839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19326.964354596472</c:v>
                </c:pt>
                <c:pt idx="61">
                  <c:v>18847.815120123912</c:v>
                </c:pt>
                <c:pt idx="62">
                  <c:v>19064.415021151879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18901.9742034316</c:v>
                </c:pt>
                <c:pt idx="88">
                  <c:v>18332.55021314057</c:v>
                </c:pt>
                <c:pt idx="89">
                  <c:v>18672.219553032646</c:v>
                </c:pt>
                <c:pt idx="90">
                  <c:v>19757.009678559825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EB92-4398-90F9-0635F73C17C7}"/>
            </c:ext>
          </c:extLst>
        </c:ser>
        <c:ser>
          <c:idx val="81"/>
          <c:order val="81"/>
          <c:tx>
            <c:strRef>
              <c:f>RPlot!$EP$84</c:f>
              <c:strCache>
                <c:ptCount val="1"/>
                <c:pt idx="0">
                  <c:v>3y 161d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RPlot!$AT$84:$EO$84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17544.716072336894</c:v>
                </c:pt>
                <c:pt idx="12">
                  <c:v>16030.349137029945</c:v>
                </c:pt>
                <c:pt idx="13">
                  <c:v>15382.041462623311</c:v>
                </c:pt>
                <c:pt idx="14">
                  <c:v>15794.015170479499</c:v>
                </c:pt>
                <c:pt idx="15">
                  <c:v>17175.920686256079</c:v>
                </c:pt>
                <c:pt idx="16">
                  <c:v>19358.810803684235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17636.452404354706</c:v>
                </c:pt>
                <c:pt idx="35">
                  <c:v>15785.111381688015</c:v>
                </c:pt>
                <c:pt idx="36">
                  <c:v>15056.95945558454</c:v>
                </c:pt>
                <c:pt idx="37">
                  <c:v>15236.855024293745</c:v>
                </c:pt>
                <c:pt idx="38">
                  <c:v>16413.619966990285</c:v>
                </c:pt>
                <c:pt idx="39">
                  <c:v>18395.398038411902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19920.711533148038</c:v>
                </c:pt>
                <c:pt idx="61">
                  <c:v>19191.975446717421</c:v>
                </c:pt>
                <c:pt idx="62">
                  <c:v>19185.360955945307</c:v>
                </c:pt>
                <c:pt idx="63">
                  <c:v>19967.570298952156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19040.270411322519</c:v>
                </c:pt>
                <c:pt idx="88">
                  <c:v>18279.740827626374</c:v>
                </c:pt>
                <c:pt idx="89">
                  <c:v>18453.192292737418</c:v>
                </c:pt>
                <c:pt idx="90">
                  <c:v>19445.397632818607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EB92-4398-90F9-0635F73C17C7}"/>
            </c:ext>
          </c:extLst>
        </c:ser>
        <c:ser>
          <c:idx val="82"/>
          <c:order val="82"/>
          <c:tx>
            <c:strRef>
              <c:f>RPlot!$EP$85</c:f>
              <c:strCache>
                <c:ptCount val="1"/>
                <c:pt idx="0">
                  <c:v>3y 175d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RPlot!$AT$85:$EO$85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17819.81454295916</c:v>
                </c:pt>
                <c:pt idx="12">
                  <c:v>16165.23598356494</c:v>
                </c:pt>
                <c:pt idx="13">
                  <c:v>15418.695295259446</c:v>
                </c:pt>
                <c:pt idx="14">
                  <c:v>15720.84373367536</c:v>
                </c:pt>
                <c:pt idx="15">
                  <c:v>17012.118886555731</c:v>
                </c:pt>
                <c:pt idx="16">
                  <c:v>19124.550014047294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18096.513308204456</c:v>
                </c:pt>
                <c:pt idx="35">
                  <c:v>16066.690912069964</c:v>
                </c:pt>
                <c:pt idx="36">
                  <c:v>15229.304821677841</c:v>
                </c:pt>
                <c:pt idx="37">
                  <c:v>15272.879218196815</c:v>
                </c:pt>
                <c:pt idx="38">
                  <c:v>16330.370584108481</c:v>
                </c:pt>
                <c:pt idx="39">
                  <c:v>18212.901572777238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19596.085667129235</c:v>
                </c:pt>
                <c:pt idx="62">
                  <c:v>19355.552450623632</c:v>
                </c:pt>
                <c:pt idx="63">
                  <c:v>19936.097631828008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19212.813181815789</c:v>
                </c:pt>
                <c:pt idx="88">
                  <c:v>18264.535436414142</c:v>
                </c:pt>
                <c:pt idx="89">
                  <c:v>18269.716948447065</c:v>
                </c:pt>
                <c:pt idx="90">
                  <c:v>19149.18882250951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EB92-4398-90F9-0635F73C17C7}"/>
            </c:ext>
          </c:extLst>
        </c:ser>
        <c:ser>
          <c:idx val="83"/>
          <c:order val="83"/>
          <c:tx>
            <c:strRef>
              <c:f>RPlot!$EP$86</c:f>
              <c:strCache>
                <c:ptCount val="1"/>
                <c:pt idx="0">
                  <c:v>3y 188d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RPlot!$AT$86:$EO$86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18111.135594310566</c:v>
                </c:pt>
                <c:pt idx="12">
                  <c:v>16315.58920508534</c:v>
                </c:pt>
                <c:pt idx="13">
                  <c:v>15470.948786669896</c:v>
                </c:pt>
                <c:pt idx="14">
                  <c:v>15661.254129549125</c:v>
                </c:pt>
                <c:pt idx="15">
                  <c:v>16859.471074938618</c:v>
                </c:pt>
                <c:pt idx="16">
                  <c:v>18899.314110400002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18593.338137713567</c:v>
                </c:pt>
                <c:pt idx="35">
                  <c:v>16383.765728579316</c:v>
                </c:pt>
                <c:pt idx="36">
                  <c:v>15422.091191670859</c:v>
                </c:pt>
                <c:pt idx="37">
                  <c:v>15328.289629590003</c:v>
                </c:pt>
                <c:pt idx="38">
                  <c:v>16261.451743265388</c:v>
                </c:pt>
                <c:pt idx="39">
                  <c:v>18040.315531069398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19578.34648984954</c:v>
                </c:pt>
                <c:pt idx="63">
                  <c:v>19945.935725838805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19417.23641746803</c:v>
                </c:pt>
                <c:pt idx="88">
                  <c:v>18284.39144395716</c:v>
                </c:pt>
                <c:pt idx="89">
                  <c:v>18125.098449257901</c:v>
                </c:pt>
                <c:pt idx="90">
                  <c:v>18859.785180124112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EB92-4398-90F9-0635F73C17C7}"/>
            </c:ext>
          </c:extLst>
        </c:ser>
        <c:ser>
          <c:idx val="84"/>
          <c:order val="84"/>
          <c:tx>
            <c:strRef>
              <c:f>RPlot!$EP$87</c:f>
              <c:strCache>
                <c:ptCount val="1"/>
                <c:pt idx="0">
                  <c:v>3y 202d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RPlot!$AT$87:$EO$87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18419.112533416876</c:v>
                </c:pt>
                <c:pt idx="12">
                  <c:v>16481.913477725389</c:v>
                </c:pt>
                <c:pt idx="13">
                  <c:v>15539.10841679296</c:v>
                </c:pt>
                <c:pt idx="14">
                  <c:v>15615.562352534422</c:v>
                </c:pt>
                <c:pt idx="15">
                  <c:v>16718.231050778897</c:v>
                </c:pt>
                <c:pt idx="16">
                  <c:v>18683.250604960336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19129.20582760853</c:v>
                </c:pt>
                <c:pt idx="35">
                  <c:v>16738.066244915906</c:v>
                </c:pt>
                <c:pt idx="36">
                  <c:v>15585.558405911441</c:v>
                </c:pt>
                <c:pt idx="37">
                  <c:v>15404.763898942785</c:v>
                </c:pt>
                <c:pt idx="38">
                  <c:v>16208.24993112793</c:v>
                </c:pt>
                <c:pt idx="39">
                  <c:v>17878.658007021884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19856.812675500551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19651.396419828237</c:v>
                </c:pt>
                <c:pt idx="88">
                  <c:v>18336.96929606445</c:v>
                </c:pt>
                <c:pt idx="89">
                  <c:v>18015.502107244956</c:v>
                </c:pt>
                <c:pt idx="90">
                  <c:v>18616.219943367982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EB92-4398-90F9-0635F73C17C7}"/>
            </c:ext>
          </c:extLst>
        </c:ser>
        <c:ser>
          <c:idx val="85"/>
          <c:order val="85"/>
          <c:tx>
            <c:strRef>
              <c:f>RPlot!$EP$88</c:f>
              <c:strCache>
                <c:ptCount val="1"/>
                <c:pt idx="0">
                  <c:v>3y 216d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RPlot!$AT$88:$EO$88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18744.215732855126</c:v>
                </c:pt>
                <c:pt idx="12">
                  <c:v>16664.716654020769</c:v>
                </c:pt>
                <c:pt idx="13">
                  <c:v>15623.507235809277</c:v>
                </c:pt>
                <c:pt idx="14">
                  <c:v>15584.111272221346</c:v>
                </c:pt>
                <c:pt idx="15">
                  <c:v>16588.682173951474</c:v>
                </c:pt>
                <c:pt idx="16">
                  <c:v>18476.53349756014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19706.637283296353</c:v>
                </c:pt>
                <c:pt idx="35">
                  <c:v>17131.474628443641</c:v>
                </c:pt>
                <c:pt idx="36">
                  <c:v>15787.15244970688</c:v>
                </c:pt>
                <c:pt idx="37">
                  <c:v>15504.125125263397</c:v>
                </c:pt>
                <c:pt idx="38">
                  <c:v>16172.297501241877</c:v>
                </c:pt>
                <c:pt idx="39">
                  <c:v>17729.072460620595</c:v>
                </c:pt>
                <c:pt idx="40">
                  <c:v>19967.921806117989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19913.389995118028</c:v>
                </c:pt>
                <c:pt idx="88">
                  <c:v>18420.12481140306</c:v>
                </c:pt>
                <c:pt idx="89">
                  <c:v>17937.993025720105</c:v>
                </c:pt>
                <c:pt idx="90">
                  <c:v>18408.557336056656</c:v>
                </c:pt>
                <c:pt idx="91">
                  <c:v>19759.824320648222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EB92-4398-90F9-0635F73C17C7}"/>
            </c:ext>
          </c:extLst>
        </c:ser>
        <c:ser>
          <c:idx val="86"/>
          <c:order val="86"/>
          <c:tx>
            <c:strRef>
              <c:f>RPlot!$EP$89</c:f>
              <c:strCache>
                <c:ptCount val="1"/>
                <c:pt idx="0">
                  <c:v>3y 230d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RPlot!$AT$89:$EO$89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19086.958079620959</c:v>
                </c:pt>
                <c:pt idx="12">
                  <c:v>16864.513573780052</c:v>
                </c:pt>
                <c:pt idx="13">
                  <c:v>15724.507299135636</c:v>
                </c:pt>
                <c:pt idx="14">
                  <c:v>15567.272029839125</c:v>
                </c:pt>
                <c:pt idx="15">
                  <c:v>16471.138925954507</c:v>
                </c:pt>
                <c:pt idx="16">
                  <c:v>18279.365007399763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17566.05177285703</c:v>
                </c:pt>
                <c:pt idx="36">
                  <c:v>16028.743946833823</c:v>
                </c:pt>
                <c:pt idx="37">
                  <c:v>15628.351651950037</c:v>
                </c:pt>
                <c:pt idx="38">
                  <c:v>16155.284511349962</c:v>
                </c:pt>
                <c:pt idx="39">
                  <c:v>17592.842645715376</c:v>
                </c:pt>
                <c:pt idx="40">
                  <c:v>19734.048833133671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18531.919264731165</c:v>
                </c:pt>
                <c:pt idx="89">
                  <c:v>17890.204100080704</c:v>
                </c:pt>
                <c:pt idx="90">
                  <c:v>18231.135088605955</c:v>
                </c:pt>
                <c:pt idx="91">
                  <c:v>19505.242865689434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EB92-4398-90F9-0635F73C17C7}"/>
            </c:ext>
          </c:extLst>
        </c:ser>
        <c:ser>
          <c:idx val="87"/>
          <c:order val="87"/>
          <c:tx>
            <c:strRef>
              <c:f>RPlot!$EP$90</c:f>
              <c:strCache>
                <c:ptCount val="1"/>
                <c:pt idx="0">
                  <c:v>3y 243d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RPlot!$AT$90:$EO$90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19447.900503475634</c:v>
                </c:pt>
                <c:pt idx="12">
                  <c:v>17081.831235866433</c:v>
                </c:pt>
                <c:pt idx="13">
                  <c:v>15842.503016951472</c:v>
                </c:pt>
                <c:pt idx="14">
                  <c:v>15565.445488792675</c:v>
                </c:pt>
                <c:pt idx="15">
                  <c:v>16365.948588391268</c:v>
                </c:pt>
                <c:pt idx="16">
                  <c:v>18091.977459051668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18044.067030972703</c:v>
                </c:pt>
                <c:pt idx="36">
                  <c:v>16312.294824038385</c:v>
                </c:pt>
                <c:pt idx="37">
                  <c:v>15770.464808302255</c:v>
                </c:pt>
                <c:pt idx="38">
                  <c:v>16159.073023079889</c:v>
                </c:pt>
                <c:pt idx="39">
                  <c:v>17471.408059345835</c:v>
                </c:pt>
                <c:pt idx="40">
                  <c:v>19510.108079832109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18670.628601277927</c:v>
                </c:pt>
                <c:pt idx="89">
                  <c:v>17870.153692974931</c:v>
                </c:pt>
                <c:pt idx="90">
                  <c:v>18080.480824468588</c:v>
                </c:pt>
                <c:pt idx="91">
                  <c:v>19259.297901289377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EB92-4398-90F9-0635F73C17C7}"/>
            </c:ext>
          </c:extLst>
        </c:ser>
        <c:ser>
          <c:idx val="88"/>
          <c:order val="88"/>
          <c:tx>
            <c:strRef>
              <c:f>RPlot!$EP$91</c:f>
              <c:strCache>
                <c:ptCount val="1"/>
                <c:pt idx="0">
                  <c:v>3y 257d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RPlot!$AT$91:$EO$91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19827.657594710119</c:v>
                </c:pt>
                <c:pt idx="12">
                  <c:v>17317.215022932232</c:v>
                </c:pt>
                <c:pt idx="13">
                  <c:v>15977.924266905404</c:v>
                </c:pt>
                <c:pt idx="14">
                  <c:v>15579.064960598796</c:v>
                </c:pt>
                <c:pt idx="15">
                  <c:v>16273.493047836226</c:v>
                </c:pt>
                <c:pt idx="16">
                  <c:v>17914.635352586876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18568.029654715068</c:v>
                </c:pt>
                <c:pt idx="36">
                  <c:v>16639.858667497359</c:v>
                </c:pt>
                <c:pt idx="37">
                  <c:v>15903.485431587151</c:v>
                </c:pt>
                <c:pt idx="38">
                  <c:v>16185.705976811198</c:v>
                </c:pt>
                <c:pt idx="39">
                  <c:v>17366.380225648922</c:v>
                </c:pt>
                <c:pt idx="40">
                  <c:v>19297.240029021235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18834.743853028373</c:v>
                </c:pt>
                <c:pt idx="89">
                  <c:v>17876.149540322695</c:v>
                </c:pt>
                <c:pt idx="90">
                  <c:v>17954.29758767473</c:v>
                </c:pt>
                <c:pt idx="91">
                  <c:v>19029.670564803637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EB92-4398-90F9-0635F73C17C7}"/>
            </c:ext>
          </c:extLst>
        </c:ser>
        <c:ser>
          <c:idx val="89"/>
          <c:order val="89"/>
          <c:tx>
            <c:strRef>
              <c:f>RPlot!$EP$92</c:f>
              <c:strCache>
                <c:ptCount val="1"/>
                <c:pt idx="0">
                  <c:v>3y 271d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RPlot!$AT$92:$EO$92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17571.2357116858</c:v>
                </c:pt>
                <c:pt idx="13">
                  <c:v>16131.239039578271</c:v>
                </c:pt>
                <c:pt idx="14">
                  <c:v>15608.596049725202</c:v>
                </c:pt>
                <c:pt idx="15">
                  <c:v>16194.190737486713</c:v>
                </c:pt>
                <c:pt idx="16">
                  <c:v>17747.637618459365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19140.721125360098</c:v>
                </c:pt>
                <c:pt idx="36">
                  <c:v>17013.600083888887</c:v>
                </c:pt>
                <c:pt idx="37">
                  <c:v>16080.138848351329</c:v>
                </c:pt>
                <c:pt idx="38">
                  <c:v>16237.420620902958</c:v>
                </c:pt>
                <c:pt idx="39">
                  <c:v>17279.559486182068</c:v>
                </c:pt>
                <c:pt idx="40">
                  <c:v>19096.740508306983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19022.96182542586</c:v>
                </c:pt>
                <c:pt idx="89">
                  <c:v>17906.739529001446</c:v>
                </c:pt>
                <c:pt idx="90">
                  <c:v>17850.946859969776</c:v>
                </c:pt>
                <c:pt idx="91">
                  <c:v>18816.471999447731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EB92-4398-90F9-0635F73C17C7}"/>
            </c:ext>
          </c:extLst>
        </c:ser>
        <c:ser>
          <c:idx val="90"/>
          <c:order val="90"/>
          <c:tx>
            <c:strRef>
              <c:f>RPlot!$EP$93</c:f>
              <c:strCache>
                <c:ptCount val="1"/>
                <c:pt idx="0">
                  <c:v>3y 285d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RPlot!$AT$93:$EO$93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17844.497054389241</c:v>
                </c:pt>
                <c:pt idx="13">
                  <c:v>16302.95857713851</c:v>
                </c:pt>
                <c:pt idx="14">
                  <c:v>15654.541280669317</c:v>
                </c:pt>
                <c:pt idx="15">
                  <c:v>16128.498727756927</c:v>
                </c:pt>
                <c:pt idx="16">
                  <c:v>17591.320072717452</c:v>
                </c:pt>
                <c:pt idx="17">
                  <c:v>19851.197697408239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19765.227751259554</c:v>
                </c:pt>
                <c:pt idx="36">
                  <c:v>17435.828642815963</c:v>
                </c:pt>
                <c:pt idx="37">
                  <c:v>16302.56305652644</c:v>
                </c:pt>
                <c:pt idx="38">
                  <c:v>16279.79457495002</c:v>
                </c:pt>
                <c:pt idx="39">
                  <c:v>17212.951814387696</c:v>
                </c:pt>
                <c:pt idx="40">
                  <c:v>18910.079787877712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19234.168626309864</c:v>
                </c:pt>
                <c:pt idx="89">
                  <c:v>17960.684850055753</c:v>
                </c:pt>
                <c:pt idx="90">
                  <c:v>17769.179110693702</c:v>
                </c:pt>
                <c:pt idx="91">
                  <c:v>18619.81299804767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EB92-4398-90F9-0635F73C17C7}"/>
            </c:ext>
          </c:extLst>
        </c:ser>
        <c:ser>
          <c:idx val="91"/>
          <c:order val="91"/>
          <c:tx>
            <c:strRef>
              <c:f>RPlot!$EP$94</c:f>
              <c:strCache>
                <c:ptCount val="1"/>
                <c:pt idx="0">
                  <c:v>3y 298d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RPlot!$AT$94:$EO$94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18137.64377424767</c:v>
                </c:pt>
                <c:pt idx="13">
                  <c:v>16476.138329762704</c:v>
                </c:pt>
                <c:pt idx="14">
                  <c:v>15717.441467056969</c:v>
                </c:pt>
                <c:pt idx="15">
                  <c:v>16076.914980139014</c:v>
                </c:pt>
                <c:pt idx="16">
                  <c:v>17446.058084089153</c:v>
                </c:pt>
                <c:pt idx="17">
                  <c:v>19633.478756054963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17909.042133018651</c:v>
                </c:pt>
                <c:pt idx="37">
                  <c:v>16573.002264726536</c:v>
                </c:pt>
                <c:pt idx="38">
                  <c:v>16362.327714350617</c:v>
                </c:pt>
                <c:pt idx="39">
                  <c:v>17144.280587533678</c:v>
                </c:pt>
                <c:pt idx="40">
                  <c:v>18738.923375127524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19467.419573626001</c:v>
                </c:pt>
                <c:pt idx="89">
                  <c:v>18036.94121217083</c:v>
                </c:pt>
                <c:pt idx="90">
                  <c:v>17707.994053725772</c:v>
                </c:pt>
                <c:pt idx="91">
                  <c:v>18439.803394258524</c:v>
                </c:pt>
                <c:pt idx="92">
                  <c:v>19933.632875724732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EB92-4398-90F9-0635F73C17C7}"/>
            </c:ext>
          </c:extLst>
        </c:ser>
        <c:ser>
          <c:idx val="92"/>
          <c:order val="92"/>
          <c:tx>
            <c:strRef>
              <c:f>RPlot!$EP$95</c:f>
              <c:strCache>
                <c:ptCount val="1"/>
                <c:pt idx="0">
                  <c:v>3y 312d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RPlot!$AT$95:$EO$95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18451.369872143165</c:v>
                </c:pt>
                <c:pt idx="13">
                  <c:v>16633.362783605568</c:v>
                </c:pt>
                <c:pt idx="14">
                  <c:v>15797.878901560858</c:v>
                </c:pt>
                <c:pt idx="15">
                  <c:v>16039.980781337259</c:v>
                </c:pt>
                <c:pt idx="16">
                  <c:v>17312.26946485788</c:v>
                </c:pt>
                <c:pt idx="17">
                  <c:v>19424.527716590525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18435.973950905907</c:v>
                </c:pt>
                <c:pt idx="37">
                  <c:v>16893.769680045301</c:v>
                </c:pt>
                <c:pt idx="38">
                  <c:v>16490.86402068496</c:v>
                </c:pt>
                <c:pt idx="39">
                  <c:v>17104.396196108315</c:v>
                </c:pt>
                <c:pt idx="40">
                  <c:v>18566.730198238103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19721.918564961699</c:v>
                </c:pt>
                <c:pt idx="89">
                  <c:v>18134.64095621229</c:v>
                </c:pt>
                <c:pt idx="90">
                  <c:v>17666.570730422947</c:v>
                </c:pt>
                <c:pt idx="91">
                  <c:v>18276.551476342531</c:v>
                </c:pt>
                <c:pt idx="92">
                  <c:v>19670.250375016949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EB92-4398-90F9-0635F73C17C7}"/>
            </c:ext>
          </c:extLst>
        </c:ser>
        <c:ser>
          <c:idx val="93"/>
          <c:order val="93"/>
          <c:tx>
            <c:strRef>
              <c:f>RPlot!$EP$96</c:f>
              <c:strCache>
                <c:ptCount val="1"/>
                <c:pt idx="0">
                  <c:v>3y 326d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RPlot!$AT$96:$EO$96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18786.427191119466</c:v>
                </c:pt>
                <c:pt idx="13">
                  <c:v>16811.131760558874</c:v>
                </c:pt>
                <c:pt idx="14">
                  <c:v>15896.480687175443</c:v>
                </c:pt>
                <c:pt idx="15">
                  <c:v>16018.283377945507</c:v>
                </c:pt>
                <c:pt idx="16">
                  <c:v>17190.41759730436</c:v>
                </c:pt>
                <c:pt idx="17">
                  <c:v>19199.645770917974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19019.640245804683</c:v>
                </c:pt>
                <c:pt idx="37">
                  <c:v>17267.252938752492</c:v>
                </c:pt>
                <c:pt idx="38">
                  <c:v>16667.276692725925</c:v>
                </c:pt>
                <c:pt idx="39">
                  <c:v>17109.154058942411</c:v>
                </c:pt>
                <c:pt idx="40">
                  <c:v>18427.307305143724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19996.999006656715</c:v>
                </c:pt>
                <c:pt idx="89">
                  <c:v>18253.073636162007</c:v>
                </c:pt>
                <c:pt idx="90">
                  <c:v>17644.234666761418</c:v>
                </c:pt>
                <c:pt idx="91">
                  <c:v>18130.16347983442</c:v>
                </c:pt>
                <c:pt idx="92">
                  <c:v>19420.712674388771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EB92-4398-90F9-0635F73C17C7}"/>
            </c:ext>
          </c:extLst>
        </c:ser>
        <c:ser>
          <c:idx val="94"/>
          <c:order val="94"/>
          <c:tx>
            <c:strRef>
              <c:f>RPlot!$EP$97</c:f>
              <c:strCache>
                <c:ptCount val="1"/>
                <c:pt idx="0">
                  <c:v>3y 340d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RPlot!$AT$97:$EO$97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19143.634226251219</c:v>
                </c:pt>
                <c:pt idx="13">
                  <c:v>17010.239361264554</c:v>
                </c:pt>
                <c:pt idx="14">
                  <c:v>16013.922512734172</c:v>
                </c:pt>
                <c:pt idx="15">
                  <c:v>16012.458835909627</c:v>
                </c:pt>
                <c:pt idx="16">
                  <c:v>17066.772352655997</c:v>
                </c:pt>
                <c:pt idx="17">
                  <c:v>18980.088402680216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19663.383602187081</c:v>
                </c:pt>
                <c:pt idx="37">
                  <c:v>17695.953527874241</c:v>
                </c:pt>
                <c:pt idx="38">
                  <c:v>16893.678486728226</c:v>
                </c:pt>
                <c:pt idx="39">
                  <c:v>17158.394497705784</c:v>
                </c:pt>
                <c:pt idx="40">
                  <c:v>18332.412088224162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18391.665320575667</c:v>
                </c:pt>
                <c:pt idx="90">
                  <c:v>17640.4431251891</c:v>
                </c:pt>
                <c:pt idx="91">
                  <c:v>18000.7431173205</c:v>
                </c:pt>
                <c:pt idx="92">
                  <c:v>19185.13692020658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B92-4398-90F9-0635F73C17C7}"/>
            </c:ext>
          </c:extLst>
        </c:ser>
        <c:ser>
          <c:idx val="95"/>
          <c:order val="95"/>
          <c:tx>
            <c:strRef>
              <c:f>RPlot!$EP$98</c:f>
              <c:strCache>
                <c:ptCount val="1"/>
                <c:pt idx="0">
                  <c:v>3y 353d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RPlot!$AT$98:$EO$98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19523.885200492507</c:v>
                </c:pt>
                <c:pt idx="13">
                  <c:v>17231.508901199326</c:v>
                </c:pt>
                <c:pt idx="14">
                  <c:v>16150.932929547114</c:v>
                </c:pt>
                <c:pt idx="15">
                  <c:v>16017.935883948283</c:v>
                </c:pt>
                <c:pt idx="16">
                  <c:v>16943.670314536987</c:v>
                </c:pt>
                <c:pt idx="17">
                  <c:v>18768.947076447574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18182.546632506237</c:v>
                </c:pt>
                <c:pt idx="38">
                  <c:v>17172.30652576057</c:v>
                </c:pt>
                <c:pt idx="39">
                  <c:v>17253.003573112139</c:v>
                </c:pt>
                <c:pt idx="40">
                  <c:v>18277.40663762622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18549.958002339728</c:v>
                </c:pt>
                <c:pt idx="90">
                  <c:v>17654.777257959664</c:v>
                </c:pt>
                <c:pt idx="91">
                  <c:v>17888.391375166408</c:v>
                </c:pt>
                <c:pt idx="92">
                  <c:v>18963.651230492967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EB92-4398-90F9-0635F73C17C7}"/>
            </c:ext>
          </c:extLst>
        </c:ser>
        <c:ser>
          <c:idx val="96"/>
          <c:order val="96"/>
          <c:tx>
            <c:strRef>
              <c:f>RPlot!$EP$99</c:f>
              <c:strCache>
                <c:ptCount val="1"/>
                <c:pt idx="0">
                  <c:v>4y 2d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RPlot!$AT$99:$EO$99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19928.159451965937</c:v>
                </c:pt>
                <c:pt idx="13">
                  <c:v>17475.800745011391</c:v>
                </c:pt>
                <c:pt idx="14">
                  <c:v>16308.298192186716</c:v>
                </c:pt>
                <c:pt idx="15">
                  <c:v>16020.595973799918</c:v>
                </c:pt>
                <c:pt idx="16">
                  <c:v>16832.66014158227</c:v>
                </c:pt>
                <c:pt idx="17">
                  <c:v>18566.654717232766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18729.9466939411</c:v>
                </c:pt>
                <c:pt idx="38">
                  <c:v>17505.481174300523</c:v>
                </c:pt>
                <c:pt idx="39">
                  <c:v>17394.491306263786</c:v>
                </c:pt>
                <c:pt idx="40">
                  <c:v>18260.915715910334</c:v>
                </c:pt>
                <c:pt idx="41">
                  <c:v>19935.904004412427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18727.590626317968</c:v>
                </c:pt>
                <c:pt idx="90">
                  <c:v>17686.934906137831</c:v>
                </c:pt>
                <c:pt idx="91">
                  <c:v>17793.206388063401</c:v>
                </c:pt>
                <c:pt idx="92">
                  <c:v>18756.394675263153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EB92-4398-90F9-0635F73C17C7}"/>
            </c:ext>
          </c:extLst>
        </c:ser>
        <c:ser>
          <c:idx val="97"/>
          <c:order val="97"/>
          <c:tx>
            <c:strRef>
              <c:f>RPlot!$EP$100</c:f>
              <c:strCache>
                <c:ptCount val="1"/>
                <c:pt idx="0">
                  <c:v>4y 16d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RPlot!$AT$100:$EO$100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17744.021968222904</c:v>
                </c:pt>
                <c:pt idx="14">
                  <c:v>16464.831115500368</c:v>
                </c:pt>
                <c:pt idx="15">
                  <c:v>16039.623024863651</c:v>
                </c:pt>
                <c:pt idx="16">
                  <c:v>16734.409020354204</c:v>
                </c:pt>
                <c:pt idx="17">
                  <c:v>18373.695231027254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19341.366355962749</c:v>
                </c:pt>
                <c:pt idx="38">
                  <c:v>17895.629888050622</c:v>
                </c:pt>
                <c:pt idx="39">
                  <c:v>17584.706976774924</c:v>
                </c:pt>
                <c:pt idx="40">
                  <c:v>18283.342477916416</c:v>
                </c:pt>
                <c:pt idx="41">
                  <c:v>19827.764233867187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18924.282848571977</c:v>
                </c:pt>
                <c:pt idx="90">
                  <c:v>17736.72115315868</c:v>
                </c:pt>
                <c:pt idx="91">
                  <c:v>17715.283586413039</c:v>
                </c:pt>
                <c:pt idx="92">
                  <c:v>18563.51721682783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EB92-4398-90F9-0635F73C17C7}"/>
            </c:ext>
          </c:extLst>
        </c:ser>
        <c:ser>
          <c:idx val="98"/>
          <c:order val="98"/>
          <c:tx>
            <c:strRef>
              <c:f>RPlot!$EP$101</c:f>
              <c:strCache>
                <c:ptCount val="1"/>
                <c:pt idx="0">
                  <c:v>4y 29d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RPlot!$AT$101:$EO$101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18037.137492927366</c:v>
                </c:pt>
                <c:pt idx="14">
                  <c:v>16600.399410110174</c:v>
                </c:pt>
                <c:pt idx="15">
                  <c:v>16075.848554665734</c:v>
                </c:pt>
                <c:pt idx="16">
                  <c:v>16649.646215927183</c:v>
                </c:pt>
                <c:pt idx="17">
                  <c:v>18190.608247691394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18345.352855127712</c:v>
                </c:pt>
                <c:pt idx="39">
                  <c:v>17825.676911322334</c:v>
                </c:pt>
                <c:pt idx="40">
                  <c:v>18346.041462417572</c:v>
                </c:pt>
                <c:pt idx="41">
                  <c:v>19745.907907867266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19139.822090271016</c:v>
                </c:pt>
                <c:pt idx="90">
                  <c:v>17804.03601481162</c:v>
                </c:pt>
                <c:pt idx="91">
                  <c:v>17654.716092110546</c:v>
                </c:pt>
                <c:pt idx="92">
                  <c:v>18380.457653154419</c:v>
                </c:pt>
                <c:pt idx="93">
                  <c:v>19940.847377590657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EB92-4398-90F9-0635F73C17C7}"/>
            </c:ext>
          </c:extLst>
        </c:ser>
        <c:ser>
          <c:idx val="99"/>
          <c:order val="99"/>
          <c:tx>
            <c:strRef>
              <c:f>RPlot!$EP$102</c:f>
              <c:strCache>
                <c:ptCount val="1"/>
                <c:pt idx="0">
                  <c:v>4y 43d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RPlot!$AT$103:$EO$103</c:f>
              <c:strCache>
                <c:ptCount val="100"/>
                <c:pt idx="0">
                  <c:v>y20 d1</c:v>
                </c:pt>
                <c:pt idx="1">
                  <c:v>y20 d19</c:v>
                </c:pt>
                <c:pt idx="2">
                  <c:v>y20 d38</c:v>
                </c:pt>
                <c:pt idx="3">
                  <c:v>y20 d56</c:v>
                </c:pt>
                <c:pt idx="4">
                  <c:v>y20 d75</c:v>
                </c:pt>
                <c:pt idx="5">
                  <c:v>y20 d93</c:v>
                </c:pt>
                <c:pt idx="6">
                  <c:v>y20 d112</c:v>
                </c:pt>
                <c:pt idx="7">
                  <c:v>y20 d130</c:v>
                </c:pt>
                <c:pt idx="8">
                  <c:v>y20 d149</c:v>
                </c:pt>
                <c:pt idx="9">
                  <c:v>y20 d167</c:v>
                </c:pt>
                <c:pt idx="10">
                  <c:v>y20 d185</c:v>
                </c:pt>
                <c:pt idx="11">
                  <c:v>y20 d204</c:v>
                </c:pt>
                <c:pt idx="12">
                  <c:v>y20 d222</c:v>
                </c:pt>
                <c:pt idx="13">
                  <c:v>y20 d241</c:v>
                </c:pt>
                <c:pt idx="14">
                  <c:v>y20 d259</c:v>
                </c:pt>
                <c:pt idx="15">
                  <c:v>y20 d278</c:v>
                </c:pt>
                <c:pt idx="16">
                  <c:v>y20 d296</c:v>
                </c:pt>
                <c:pt idx="17">
                  <c:v>y20 d315</c:v>
                </c:pt>
                <c:pt idx="18">
                  <c:v>y20 d333</c:v>
                </c:pt>
                <c:pt idx="19">
                  <c:v>y20 d351</c:v>
                </c:pt>
                <c:pt idx="20">
                  <c:v>y21 d5</c:v>
                </c:pt>
                <c:pt idx="21">
                  <c:v>y21 d23</c:v>
                </c:pt>
                <c:pt idx="22">
                  <c:v>y21 d42</c:v>
                </c:pt>
                <c:pt idx="23">
                  <c:v>y21 d60</c:v>
                </c:pt>
                <c:pt idx="24">
                  <c:v>y21 d78</c:v>
                </c:pt>
                <c:pt idx="25">
                  <c:v>y21 d97</c:v>
                </c:pt>
                <c:pt idx="26">
                  <c:v>y21 d115</c:v>
                </c:pt>
                <c:pt idx="27">
                  <c:v>y21 d134</c:v>
                </c:pt>
                <c:pt idx="28">
                  <c:v>y21 d152</c:v>
                </c:pt>
                <c:pt idx="29">
                  <c:v>y21 d171</c:v>
                </c:pt>
                <c:pt idx="30">
                  <c:v>y21 d189</c:v>
                </c:pt>
                <c:pt idx="31">
                  <c:v>y21 d208</c:v>
                </c:pt>
                <c:pt idx="32">
                  <c:v>y21 d226</c:v>
                </c:pt>
                <c:pt idx="33">
                  <c:v>y21 d245</c:v>
                </c:pt>
                <c:pt idx="34">
                  <c:v>y21 d263</c:v>
                </c:pt>
                <c:pt idx="35">
                  <c:v>y21 d281</c:v>
                </c:pt>
                <c:pt idx="36">
                  <c:v>y21 d300</c:v>
                </c:pt>
                <c:pt idx="37">
                  <c:v>y21 d318</c:v>
                </c:pt>
                <c:pt idx="38">
                  <c:v>y21 d337</c:v>
                </c:pt>
                <c:pt idx="39">
                  <c:v>y21 d355</c:v>
                </c:pt>
                <c:pt idx="40">
                  <c:v>y22 d8</c:v>
                </c:pt>
                <c:pt idx="41">
                  <c:v>y22 d27</c:v>
                </c:pt>
                <c:pt idx="42">
                  <c:v>y22 d45</c:v>
                </c:pt>
                <c:pt idx="43">
                  <c:v>y22 d64</c:v>
                </c:pt>
                <c:pt idx="44">
                  <c:v>y22 d82</c:v>
                </c:pt>
                <c:pt idx="45">
                  <c:v>y22 d101</c:v>
                </c:pt>
                <c:pt idx="46">
                  <c:v>y22 d119</c:v>
                </c:pt>
                <c:pt idx="47">
                  <c:v>y22 d138</c:v>
                </c:pt>
                <c:pt idx="48">
                  <c:v>y22 d156</c:v>
                </c:pt>
                <c:pt idx="49">
                  <c:v>y22 d174</c:v>
                </c:pt>
                <c:pt idx="50">
                  <c:v>y22 d193</c:v>
                </c:pt>
                <c:pt idx="51">
                  <c:v>y22 d211</c:v>
                </c:pt>
                <c:pt idx="52">
                  <c:v>y22 d230</c:v>
                </c:pt>
                <c:pt idx="53">
                  <c:v>y22 d248</c:v>
                </c:pt>
                <c:pt idx="54">
                  <c:v>y22 d267</c:v>
                </c:pt>
                <c:pt idx="55">
                  <c:v>y22 d285</c:v>
                </c:pt>
                <c:pt idx="56">
                  <c:v>y22 d304</c:v>
                </c:pt>
                <c:pt idx="57">
                  <c:v>y22 d322</c:v>
                </c:pt>
                <c:pt idx="58">
                  <c:v>y22 d340</c:v>
                </c:pt>
                <c:pt idx="59">
                  <c:v>y22 d359</c:v>
                </c:pt>
                <c:pt idx="60">
                  <c:v>y23 d12</c:v>
                </c:pt>
                <c:pt idx="61">
                  <c:v>y23 d31</c:v>
                </c:pt>
                <c:pt idx="62">
                  <c:v>y23 d49</c:v>
                </c:pt>
                <c:pt idx="63">
                  <c:v>y23 d67</c:v>
                </c:pt>
                <c:pt idx="64">
                  <c:v>y23 d86</c:v>
                </c:pt>
                <c:pt idx="65">
                  <c:v>y23 d104</c:v>
                </c:pt>
                <c:pt idx="66">
                  <c:v>y23 d123</c:v>
                </c:pt>
                <c:pt idx="67">
                  <c:v>y23 d141</c:v>
                </c:pt>
                <c:pt idx="68">
                  <c:v>y23 d160</c:v>
                </c:pt>
                <c:pt idx="69">
                  <c:v>y23 d178</c:v>
                </c:pt>
                <c:pt idx="70">
                  <c:v>y23 d197</c:v>
                </c:pt>
                <c:pt idx="71">
                  <c:v>y23 d215</c:v>
                </c:pt>
                <c:pt idx="72">
                  <c:v>y23 d233</c:v>
                </c:pt>
                <c:pt idx="73">
                  <c:v>y23 d252</c:v>
                </c:pt>
                <c:pt idx="74">
                  <c:v>y23 d270</c:v>
                </c:pt>
                <c:pt idx="75">
                  <c:v>y23 d289</c:v>
                </c:pt>
                <c:pt idx="76">
                  <c:v>y23 d307</c:v>
                </c:pt>
                <c:pt idx="77">
                  <c:v>y23 d326</c:v>
                </c:pt>
                <c:pt idx="78">
                  <c:v>y23 d344</c:v>
                </c:pt>
                <c:pt idx="79">
                  <c:v>y23 d363</c:v>
                </c:pt>
                <c:pt idx="80">
                  <c:v>y24 d16</c:v>
                </c:pt>
                <c:pt idx="81">
                  <c:v>y24 d34</c:v>
                </c:pt>
                <c:pt idx="82">
                  <c:v>y24 d53</c:v>
                </c:pt>
                <c:pt idx="83">
                  <c:v>y24 d71</c:v>
                </c:pt>
                <c:pt idx="84">
                  <c:v>y24 d90</c:v>
                </c:pt>
                <c:pt idx="85">
                  <c:v>y24 d108</c:v>
                </c:pt>
                <c:pt idx="86">
                  <c:v>y24 d126</c:v>
                </c:pt>
                <c:pt idx="87">
                  <c:v>y24 d145</c:v>
                </c:pt>
                <c:pt idx="88">
                  <c:v>y24 d163</c:v>
                </c:pt>
                <c:pt idx="89">
                  <c:v>y24 d182</c:v>
                </c:pt>
                <c:pt idx="90">
                  <c:v>y24 d200</c:v>
                </c:pt>
                <c:pt idx="91">
                  <c:v>y24 d219</c:v>
                </c:pt>
                <c:pt idx="92">
                  <c:v>y24 d237</c:v>
                </c:pt>
                <c:pt idx="93">
                  <c:v>y24 d256</c:v>
                </c:pt>
                <c:pt idx="94">
                  <c:v>y24 d274</c:v>
                </c:pt>
                <c:pt idx="95">
                  <c:v>y24 d292</c:v>
                </c:pt>
                <c:pt idx="96">
                  <c:v>y24 d311</c:v>
                </c:pt>
                <c:pt idx="97">
                  <c:v>y24 d329</c:v>
                </c:pt>
                <c:pt idx="98">
                  <c:v>y24 d348</c:v>
                </c:pt>
                <c:pt idx="99">
                  <c:v>y25 d1</c:v>
                </c:pt>
              </c:strCache>
            </c:strRef>
          </c:cat>
          <c:val>
            <c:numRef>
              <c:f>RPlot!$AT$102:$EO$102</c:f>
              <c:numCache>
                <c:formatCode>0</c:formatCode>
                <c:ptCount val="100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18356.182409179346</c:v>
                </c:pt>
                <c:pt idx="14">
                  <c:v>16746.395819153513</c:v>
                </c:pt>
                <c:pt idx="15">
                  <c:v>16130.168282555065</c:v>
                </c:pt>
                <c:pt idx="16">
                  <c:v>16579.167547390163</c:v>
                </c:pt>
                <c:pt idx="17">
                  <c:v>18017.994296516241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18857.499837662326</c:v>
                </c:pt>
                <c:pt idx="39">
                  <c:v>18119.557176458478</c:v>
                </c:pt>
                <c:pt idx="40">
                  <c:v>18450.822889495517</c:v>
                </c:pt>
                <c:pt idx="41">
                  <c:v>19692.732304597936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19374.053956789052</c:v>
                </c:pt>
                <c:pt idx="90">
                  <c:v>17888.860027412946</c:v>
                </c:pt>
                <c:pt idx="91">
                  <c:v>17611.595401214014</c:v>
                </c:pt>
                <c:pt idx="92">
                  <c:v>18195.523374486831</c:v>
                </c:pt>
                <c:pt idx="93">
                  <c:v>19666.240806920548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B7-48DC-A4D6-FF338C432FE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765226544"/>
        <c:axId val="1767989376"/>
        <c:axId val="1726672432"/>
      </c:surfaceChart>
      <c:catAx>
        <c:axId val="176522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Launch 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  <c:auto val="1"/>
        <c:lblAlgn val="ctr"/>
        <c:lblOffset val="100"/>
        <c:noMultiLvlLbl val="0"/>
      </c:catAx>
      <c:valAx>
        <c:axId val="176798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En Route</a:t>
                </a:r>
              </a:p>
            </c:rich>
          </c:tx>
          <c:layout>
            <c:manualLayout>
              <c:xMode val="edge"/>
              <c:yMode val="edge"/>
              <c:x val="0.89619528902170809"/>
              <c:y val="0.33860897690818953"/>
            </c:manualLayout>
          </c:layout>
          <c:overlay val="0"/>
        </c:title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26544"/>
        <c:crosses val="autoZero"/>
        <c:crossBetween val="midCat"/>
      </c:valAx>
      <c:serAx>
        <c:axId val="1726672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701184739967209E-2"/>
          <c:y val="7.3737055595323314E-2"/>
          <c:w val="0.90043371444241127"/>
          <c:h val="9.12461093878416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Top-down orbital plot (x-y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KPlot!$E$2</c:f>
              <c:strCache>
                <c:ptCount val="1"/>
                <c:pt idx="0">
                  <c:v>Origin Orbit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KPlot!$E$4:$E$104</c:f>
              <c:numCache>
                <c:formatCode>0.00E+00</c:formatCode>
                <c:ptCount val="101"/>
                <c:pt idx="0">
                  <c:v>-13599823007.697136</c:v>
                </c:pt>
                <c:pt idx="1">
                  <c:v>-13574346895.255716</c:v>
                </c:pt>
                <c:pt idx="2">
                  <c:v>-13495299037.147917</c:v>
                </c:pt>
                <c:pt idx="3">
                  <c:v>-13362991399.156162</c:v>
                </c:pt>
                <c:pt idx="4">
                  <c:v>-13177946139.081997</c:v>
                </c:pt>
                <c:pt idx="5">
                  <c:v>-12940893546.027786</c:v>
                </c:pt>
                <c:pt idx="6">
                  <c:v>-12652769158.279301</c:v>
                </c:pt>
                <c:pt idx="7">
                  <c:v>-12314710071.163467</c:v>
                </c:pt>
                <c:pt idx="8">
                  <c:v>-11928050449.452618</c:v>
                </c:pt>
                <c:pt idx="9">
                  <c:v>-11494316262.025671</c:v>
                </c:pt>
                <c:pt idx="10">
                  <c:v>-11015219259.566111</c:v>
                </c:pt>
                <c:pt idx="11">
                  <c:v>-10492650219.064034</c:v>
                </c:pt>
                <c:pt idx="12">
                  <c:v>-9928671481.7832127</c:v>
                </c:pt>
                <c:pt idx="13">
                  <c:v>-9325508814.1423225</c:v>
                </c:pt>
                <c:pt idx="14">
                  <c:v>-8685542623.6317406</c:v>
                </c:pt>
                <c:pt idx="15">
                  <c:v>-8011298564.4326744</c:v>
                </c:pt>
                <c:pt idx="16">
                  <c:v>-7305437569.8139505</c:v>
                </c:pt>
                <c:pt idx="17">
                  <c:v>-6570745350.6441259</c:v>
                </c:pt>
                <c:pt idx="18">
                  <c:v>-5810121401.463315</c:v>
                </c:pt>
                <c:pt idx="19">
                  <c:v>-5026567557.5028963</c:v>
                </c:pt>
                <c:pt idx="20">
                  <c:v>-4223176147.8133025</c:v>
                </c:pt>
                <c:pt idx="21">
                  <c:v>-3403117791.2539582</c:v>
                </c:pt>
                <c:pt idx="22">
                  <c:v>-2569628883.509141</c:v>
                </c:pt>
                <c:pt idx="23">
                  <c:v>-1725998824.5129058</c:v>
                </c:pt>
                <c:pt idx="24">
                  <c:v>-875557036.69015062</c:v>
                </c:pt>
                <c:pt idx="25">
                  <c:v>-21659825.247552719</c:v>
                </c:pt>
                <c:pt idx="26">
                  <c:v>832322867.62986445</c:v>
                </c:pt>
                <c:pt idx="27">
                  <c:v>1683020762.4008946</c:v>
                </c:pt>
                <c:pt idx="28">
                  <c:v>2527076543.1217761</c:v>
                </c:pt>
                <c:pt idx="29">
                  <c:v>3361159107.2384095</c:v>
                </c:pt>
                <c:pt idx="30">
                  <c:v>4181976711.9263043</c:v>
                </c:pt>
                <c:pt idx="31">
                  <c:v>4986289965.0956497</c:v>
                </c:pt>
                <c:pt idx="32">
                  <c:v>5770924609.7919588</c:v>
                </c:pt>
                <c:pt idx="33">
                  <c:v>6532784051.5380888</c:v>
                </c:pt>
                <c:pt idx="34">
                  <c:v>7268861579.1779346</c:v>
                </c:pt>
                <c:pt idx="35">
                  <c:v>7976252230.9917412</c:v>
                </c:pt>
                <c:pt idx="36">
                  <c:v>8652164259.2528458</c:v>
                </c:pt>
                <c:pt idx="37">
                  <c:v>9293930147.9805298</c:v>
                </c:pt>
                <c:pt idx="38">
                  <c:v>9899017140.4069386</c:v>
                </c:pt>
                <c:pt idx="39">
                  <c:v>10465037234.61091</c:v>
                </c:pt>
                <c:pt idx="40">
                  <c:v>10989756607.870607</c:v>
                </c:pt>
                <c:pt idx="41">
                  <c:v>11471104432.541256</c:v>
                </c:pt>
                <c:pt idx="42">
                  <c:v>11907181048.665781</c:v>
                </c:pt>
                <c:pt idx="43">
                  <c:v>12296265461.064793</c:v>
                </c:pt>
                <c:pt idx="44">
                  <c:v>12636822131.318316</c:v>
                </c:pt>
                <c:pt idx="45">
                  <c:v>12927507037.8344</c:v>
                </c:pt>
                <c:pt idx="46">
                  <c:v>13167172980.088331</c:v>
                </c:pt>
                <c:pt idx="47">
                  <c:v>13354874106.098984</c:v>
                </c:pt>
                <c:pt idx="48">
                  <c:v>13489869645.274481</c:v>
                </c:pt>
                <c:pt idx="49">
                  <c:v>13571626831.895294</c:v>
                </c:pt>
                <c:pt idx="50">
                  <c:v>13599823007.697136</c:v>
                </c:pt>
                <c:pt idx="51">
                  <c:v>13574346895.255716</c:v>
                </c:pt>
                <c:pt idx="52">
                  <c:v>13495299037.147923</c:v>
                </c:pt>
                <c:pt idx="53">
                  <c:v>13362991399.156172</c:v>
                </c:pt>
                <c:pt idx="54">
                  <c:v>13177946139.082008</c:v>
                </c:pt>
                <c:pt idx="55" formatCode="General">
                  <c:v>12940893546.027809</c:v>
                </c:pt>
                <c:pt idx="56">
                  <c:v>12652769158.279327</c:v>
                </c:pt>
                <c:pt idx="57">
                  <c:v>12314710071.163496</c:v>
                </c:pt>
                <c:pt idx="58">
                  <c:v>11928050449.452656</c:v>
                </c:pt>
                <c:pt idx="59">
                  <c:v>11494316262.025721</c:v>
                </c:pt>
                <c:pt idx="60">
                  <c:v>11015219259.566166</c:v>
                </c:pt>
                <c:pt idx="61">
                  <c:v>10492650219.064095</c:v>
                </c:pt>
                <c:pt idx="62">
                  <c:v>9928671481.7832851</c:v>
                </c:pt>
                <c:pt idx="63">
                  <c:v>9325508814.1424084</c:v>
                </c:pt>
                <c:pt idx="64">
                  <c:v>8685542623.631834</c:v>
                </c:pt>
                <c:pt idx="65">
                  <c:v>8011298564.4327602</c:v>
                </c:pt>
                <c:pt idx="66">
                  <c:v>7305437569.8140516</c:v>
                </c:pt>
                <c:pt idx="67">
                  <c:v>6570745350.6442299</c:v>
                </c:pt>
                <c:pt idx="68">
                  <c:v>5810121401.4634228</c:v>
                </c:pt>
                <c:pt idx="69">
                  <c:v>5026567557.5030155</c:v>
                </c:pt>
                <c:pt idx="70">
                  <c:v>4223176147.8134274</c:v>
                </c:pt>
                <c:pt idx="71">
                  <c:v>3403117791.2540736</c:v>
                </c:pt>
                <c:pt idx="72">
                  <c:v>2569628883.5092697</c:v>
                </c:pt>
                <c:pt idx="73">
                  <c:v>1725998824.5130119</c:v>
                </c:pt>
                <c:pt idx="74">
                  <c:v>875557036.69026947</c:v>
                </c:pt>
                <c:pt idx="75">
                  <c:v>21659825.247671843</c:v>
                </c:pt>
                <c:pt idx="76">
                  <c:v>-832322867.6297456</c:v>
                </c:pt>
                <c:pt idx="77">
                  <c:v>-1683020762.4007764</c:v>
                </c:pt>
                <c:pt idx="78">
                  <c:v>-2527076543.1216593</c:v>
                </c:pt>
                <c:pt idx="79">
                  <c:v>-3361159107.2382946</c:v>
                </c:pt>
                <c:pt idx="80">
                  <c:v>-4181976711.9261909</c:v>
                </c:pt>
                <c:pt idx="81">
                  <c:v>-4986289965.0955391</c:v>
                </c:pt>
                <c:pt idx="82">
                  <c:v>-5770924609.791852</c:v>
                </c:pt>
                <c:pt idx="83">
                  <c:v>-6532784051.5379839</c:v>
                </c:pt>
                <c:pt idx="84">
                  <c:v>-7268861579.1778355</c:v>
                </c:pt>
                <c:pt idx="85">
                  <c:v>-7976252230.9916449</c:v>
                </c:pt>
                <c:pt idx="86">
                  <c:v>-8652164259.2527523</c:v>
                </c:pt>
                <c:pt idx="87">
                  <c:v>-9293930147.980444</c:v>
                </c:pt>
                <c:pt idx="88">
                  <c:v>-9899017140.4068565</c:v>
                </c:pt>
                <c:pt idx="89">
                  <c:v>-10465037234.610834</c:v>
                </c:pt>
                <c:pt idx="90">
                  <c:v>-10989756607.870537</c:v>
                </c:pt>
                <c:pt idx="91">
                  <c:v>-11471104432.541191</c:v>
                </c:pt>
                <c:pt idx="92">
                  <c:v>-11907181048.66571</c:v>
                </c:pt>
                <c:pt idx="93">
                  <c:v>-12296265461.064732</c:v>
                </c:pt>
                <c:pt idx="94">
                  <c:v>-12636822131.318272</c:v>
                </c:pt>
                <c:pt idx="95">
                  <c:v>-12927507037.834364</c:v>
                </c:pt>
                <c:pt idx="96">
                  <c:v>-13167172980.088301</c:v>
                </c:pt>
                <c:pt idx="97">
                  <c:v>-13354874106.098961</c:v>
                </c:pt>
                <c:pt idx="98">
                  <c:v>-13489869645.274466</c:v>
                </c:pt>
                <c:pt idx="99">
                  <c:v>-13571626831.895287</c:v>
                </c:pt>
                <c:pt idx="100" formatCode="General">
                  <c:v>-13599823007.697136</c:v>
                </c:pt>
              </c:numCache>
            </c:numRef>
          </c:xVal>
          <c:yVal>
            <c:numRef>
              <c:f>KPlot!$F$4:$F$104</c:f>
              <c:numCache>
                <c:formatCode>0.00E+00</c:formatCode>
                <c:ptCount val="101"/>
                <c:pt idx="0">
                  <c:v>21659825.247473374</c:v>
                </c:pt>
                <c:pt idx="1">
                  <c:v>-832322867.62990141</c:v>
                </c:pt>
                <c:pt idx="2">
                  <c:v>-1683020762.4009373</c:v>
                </c:pt>
                <c:pt idx="3">
                  <c:v>-2527076543.12183</c:v>
                </c:pt>
                <c:pt idx="4">
                  <c:v>-3361159107.2384634</c:v>
                </c:pt>
                <c:pt idx="5">
                  <c:v>-4181976711.926374</c:v>
                </c:pt>
                <c:pt idx="6">
                  <c:v>-4986289965.0957174</c:v>
                </c:pt>
                <c:pt idx="7">
                  <c:v>-5770924609.7920256</c:v>
                </c:pt>
                <c:pt idx="8">
                  <c:v>-6532784051.5381632</c:v>
                </c:pt>
                <c:pt idx="9">
                  <c:v>-7268861579.1780176</c:v>
                </c:pt>
                <c:pt idx="10">
                  <c:v>-7976252230.9918194</c:v>
                </c:pt>
                <c:pt idx="11">
                  <c:v>-8652164259.2529182</c:v>
                </c:pt>
                <c:pt idx="12">
                  <c:v>-9293930147.9806099</c:v>
                </c:pt>
                <c:pt idx="13">
                  <c:v>-9899017140.4070206</c:v>
                </c:pt>
                <c:pt idx="14">
                  <c:v>-10465037234.610989</c:v>
                </c:pt>
                <c:pt idx="15">
                  <c:v>-10989756607.870674</c:v>
                </c:pt>
                <c:pt idx="16">
                  <c:v>-11471104432.541315</c:v>
                </c:pt>
                <c:pt idx="17">
                  <c:v>-11907181048.665833</c:v>
                </c:pt>
                <c:pt idx="18">
                  <c:v>-12296265461.06484</c:v>
                </c:pt>
                <c:pt idx="19">
                  <c:v>-12636822131.318359</c:v>
                </c:pt>
                <c:pt idx="20">
                  <c:v>-12927507037.834438</c:v>
                </c:pt>
                <c:pt idx="21">
                  <c:v>-13167172980.088358</c:v>
                </c:pt>
                <c:pt idx="22">
                  <c:v>-13354874106.099005</c:v>
                </c:pt>
                <c:pt idx="23">
                  <c:v>-13489869645.274494</c:v>
                </c:pt>
                <c:pt idx="24">
                  <c:v>-13571626831.895302</c:v>
                </c:pt>
                <c:pt idx="25">
                  <c:v>-13599823007.697136</c:v>
                </c:pt>
                <c:pt idx="26">
                  <c:v>-13574346895.255716</c:v>
                </c:pt>
                <c:pt idx="27">
                  <c:v>-13495299037.147924</c:v>
                </c:pt>
                <c:pt idx="28">
                  <c:v>-13362991399.156172</c:v>
                </c:pt>
                <c:pt idx="29">
                  <c:v>-13177946139.08201</c:v>
                </c:pt>
                <c:pt idx="30">
                  <c:v>-12940893546.027809</c:v>
                </c:pt>
                <c:pt idx="31">
                  <c:v>-12652769158.279327</c:v>
                </c:pt>
                <c:pt idx="32">
                  <c:v>-12314710071.163496</c:v>
                </c:pt>
                <c:pt idx="33">
                  <c:v>-11928050449.452658</c:v>
                </c:pt>
                <c:pt idx="34">
                  <c:v>-11494316262.025723</c:v>
                </c:pt>
                <c:pt idx="35">
                  <c:v>-11015219259.566168</c:v>
                </c:pt>
                <c:pt idx="36">
                  <c:v>-10492650219.064096</c:v>
                </c:pt>
                <c:pt idx="37">
                  <c:v>-9928671481.783287</c:v>
                </c:pt>
                <c:pt idx="38">
                  <c:v>-9325508814.1424103</c:v>
                </c:pt>
                <c:pt idx="39">
                  <c:v>-8685542623.631834</c:v>
                </c:pt>
                <c:pt idx="40">
                  <c:v>-8011298564.4327631</c:v>
                </c:pt>
                <c:pt idx="41">
                  <c:v>-7305437569.8140421</c:v>
                </c:pt>
                <c:pt idx="42">
                  <c:v>-6570745350.6442213</c:v>
                </c:pt>
                <c:pt idx="43">
                  <c:v>-5810121401.4634132</c:v>
                </c:pt>
                <c:pt idx="44">
                  <c:v>-5026567557.5030088</c:v>
                </c:pt>
                <c:pt idx="45">
                  <c:v>-4223176147.8134184</c:v>
                </c:pt>
                <c:pt idx="46">
                  <c:v>-3403117791.2540641</c:v>
                </c:pt>
                <c:pt idx="47">
                  <c:v>-2569628883.5092602</c:v>
                </c:pt>
                <c:pt idx="48">
                  <c:v>-1725998824.5130143</c:v>
                </c:pt>
                <c:pt idx="49">
                  <c:v>-875557036.69027209</c:v>
                </c:pt>
                <c:pt idx="50">
                  <c:v>-21659825.247674342</c:v>
                </c:pt>
                <c:pt idx="51">
                  <c:v>832322867.62986696</c:v>
                </c:pt>
                <c:pt idx="52">
                  <c:v>1683020762.4008973</c:v>
                </c:pt>
                <c:pt idx="53">
                  <c:v>2527076543.121778</c:v>
                </c:pt>
                <c:pt idx="54">
                  <c:v>3361159107.2384124</c:v>
                </c:pt>
                <c:pt idx="55" formatCode="General">
                  <c:v>4181976711.9263067</c:v>
                </c:pt>
                <c:pt idx="56">
                  <c:v>4986289965.0956526</c:v>
                </c:pt>
                <c:pt idx="57">
                  <c:v>5770924609.7919617</c:v>
                </c:pt>
                <c:pt idx="58">
                  <c:v>6532784051.5380907</c:v>
                </c:pt>
                <c:pt idx="59">
                  <c:v>7268861579.1779394</c:v>
                </c:pt>
                <c:pt idx="60">
                  <c:v>7976252230.9917431</c:v>
                </c:pt>
                <c:pt idx="61">
                  <c:v>8652164259.2528458</c:v>
                </c:pt>
                <c:pt idx="62">
                  <c:v>9293930147.9805317</c:v>
                </c:pt>
                <c:pt idx="63">
                  <c:v>9899017140.4069386</c:v>
                </c:pt>
                <c:pt idx="64">
                  <c:v>10465037234.610912</c:v>
                </c:pt>
                <c:pt idx="65">
                  <c:v>10989756607.870609</c:v>
                </c:pt>
                <c:pt idx="66">
                  <c:v>11471104432.54125</c:v>
                </c:pt>
                <c:pt idx="67">
                  <c:v>11907181048.665775</c:v>
                </c:pt>
                <c:pt idx="68">
                  <c:v>12296265461.064789</c:v>
                </c:pt>
                <c:pt idx="69">
                  <c:v>12636822131.318314</c:v>
                </c:pt>
                <c:pt idx="70">
                  <c:v>12927507037.834396</c:v>
                </c:pt>
                <c:pt idx="71">
                  <c:v>13167172980.088327</c:v>
                </c:pt>
                <c:pt idx="72">
                  <c:v>13354874106.09898</c:v>
                </c:pt>
                <c:pt idx="73">
                  <c:v>13489869645.274481</c:v>
                </c:pt>
                <c:pt idx="74">
                  <c:v>13571626831.895294</c:v>
                </c:pt>
                <c:pt idx="75">
                  <c:v>13599823007.697136</c:v>
                </c:pt>
                <c:pt idx="76">
                  <c:v>13574346895.255724</c:v>
                </c:pt>
                <c:pt idx="77">
                  <c:v>13495299037.147938</c:v>
                </c:pt>
                <c:pt idx="78">
                  <c:v>13362991399.156195</c:v>
                </c:pt>
                <c:pt idx="79">
                  <c:v>13177946139.082039</c:v>
                </c:pt>
                <c:pt idx="80">
                  <c:v>12940893546.027845</c:v>
                </c:pt>
                <c:pt idx="81">
                  <c:v>12652769158.279371</c:v>
                </c:pt>
                <c:pt idx="82">
                  <c:v>12314710071.163548</c:v>
                </c:pt>
                <c:pt idx="83">
                  <c:v>11928050449.452715</c:v>
                </c:pt>
                <c:pt idx="84">
                  <c:v>11494316262.025787</c:v>
                </c:pt>
                <c:pt idx="85">
                  <c:v>11015219259.566236</c:v>
                </c:pt>
                <c:pt idx="86">
                  <c:v>10492650219.064171</c:v>
                </c:pt>
                <c:pt idx="87">
                  <c:v>9928671481.7833691</c:v>
                </c:pt>
                <c:pt idx="88">
                  <c:v>9325508814.142498</c:v>
                </c:pt>
                <c:pt idx="89">
                  <c:v>8685542623.6319275</c:v>
                </c:pt>
                <c:pt idx="90">
                  <c:v>8011298564.4328594</c:v>
                </c:pt>
                <c:pt idx="91">
                  <c:v>7305437569.8141432</c:v>
                </c:pt>
                <c:pt idx="92">
                  <c:v>6570745350.6443472</c:v>
                </c:pt>
                <c:pt idx="93">
                  <c:v>5810121401.4635439</c:v>
                </c:pt>
                <c:pt idx="94">
                  <c:v>5026567557.5031204</c:v>
                </c:pt>
                <c:pt idx="95">
                  <c:v>4223176147.8135314</c:v>
                </c:pt>
                <c:pt idx="96">
                  <c:v>3403117791.2541795</c:v>
                </c:pt>
                <c:pt idx="97">
                  <c:v>2569628883.5093775</c:v>
                </c:pt>
                <c:pt idx="98">
                  <c:v>1725998824.5131323</c:v>
                </c:pt>
                <c:pt idx="99">
                  <c:v>875557036.69039083</c:v>
                </c:pt>
                <c:pt idx="100" formatCode="General">
                  <c:v>21659825.24779347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95-4E09-BC8F-F2537A3F2E08}"/>
            </c:ext>
          </c:extLst>
        </c:ser>
        <c:ser>
          <c:idx val="1"/>
          <c:order val="1"/>
          <c:tx>
            <c:strRef>
              <c:f>KPlot!$I$2</c:f>
              <c:strCache>
                <c:ptCount val="1"/>
                <c:pt idx="0">
                  <c:v>Destination Orbit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KPlot!$I$4:$I$104</c:f>
              <c:numCache>
                <c:formatCode>0.00E+00</c:formatCode>
                <c:ptCount val="101"/>
                <c:pt idx="0">
                  <c:v>15514867153.114368</c:v>
                </c:pt>
                <c:pt idx="1">
                  <c:v>16442679650.331343</c:v>
                </c:pt>
                <c:pt idx="2">
                  <c:v>17301757361.658581</c:v>
                </c:pt>
                <c:pt idx="3">
                  <c:v>18088233097.935776</c:v>
                </c:pt>
                <c:pt idx="4">
                  <c:v>18798626426.658154</c:v>
                </c:pt>
                <c:pt idx="5">
                  <c:v>19429863860.077866</c:v>
                </c:pt>
                <c:pt idx="6">
                  <c:v>19979295399.289898</c:v>
                </c:pt>
                <c:pt idx="7">
                  <c:v>20444707294.927418</c:v>
                </c:pt>
                <c:pt idx="8">
                  <c:v>20824330948.100452</c:v>
                </c:pt>
                <c:pt idx="9">
                  <c:v>21116847938.329491</c:v>
                </c:pt>
                <c:pt idx="10">
                  <c:v>21321391226.824043</c:v>
                </c:pt>
                <c:pt idx="11">
                  <c:v>21437542642.006588</c:v>
                </c:pt>
                <c:pt idx="12">
                  <c:v>21465326808.313007</c:v>
                </c:pt>
                <c:pt idx="13">
                  <c:v>21405201727.836693</c:v>
                </c:pt>
                <c:pt idx="14">
                  <c:v>21258046266.381985</c:v>
                </c:pt>
                <c:pt idx="15">
                  <c:v>21025144830.261505</c:v>
                </c:pt>
                <c:pt idx="16">
                  <c:v>20708169547.279129</c:v>
                </c:pt>
                <c:pt idx="17">
                  <c:v>20309160284.610287</c:v>
                </c:pt>
                <c:pt idx="18">
                  <c:v>19830502847.792122</c:v>
                </c:pt>
                <c:pt idx="19">
                  <c:v>19274905709.055374</c:v>
                </c:pt>
                <c:pt idx="20">
                  <c:v>18645375610.247646</c:v>
                </c:pt>
                <c:pt idx="21">
                  <c:v>17945192376.250698</c:v>
                </c:pt>
                <c:pt idx="22">
                  <c:v>17177883259.836905</c:v>
                </c:pt>
                <c:pt idx="23">
                  <c:v>16347197119.183153</c:v>
                </c:pt>
                <c:pt idx="24">
                  <c:v>15457078705.643864</c:v>
                </c:pt>
                <c:pt idx="25">
                  <c:v>14511643312.778542</c:v>
                </c:pt>
                <c:pt idx="26">
                  <c:v>13515152008.903227</c:v>
                </c:pt>
                <c:pt idx="27">
                  <c:v>12471987645.427891</c:v>
                </c:pt>
                <c:pt idx="28">
                  <c:v>11386631802.715376</c:v>
                </c:pt>
                <c:pt idx="29">
                  <c:v>10263642804.83984</c:v>
                </c:pt>
                <c:pt idx="30">
                  <c:v>9107634905.0339127</c:v>
                </c:pt>
                <c:pt idx="31">
                  <c:v>7923258715.2884645</c:v>
                </c:pt>
                <c:pt idx="32">
                  <c:v>6715182926.9187508</c:v>
                </c:pt>
                <c:pt idx="33">
                  <c:v>5488077344.239871</c:v>
                </c:pt>
                <c:pt idx="34">
                  <c:v>4246597231.0276246</c:v>
                </c:pt>
                <c:pt idx="35">
                  <c:v>2995368949.3147035</c:v>
                </c:pt>
                <c:pt idx="36">
                  <c:v>1738976852.358906</c:v>
                </c:pt>
                <c:pt idx="37">
                  <c:v>481951378.31774145</c:v>
                </c:pt>
                <c:pt idx="38">
                  <c:v>-771241721.76590824</c:v>
                </c:pt>
                <c:pt idx="39">
                  <c:v>-2016211098.7133827</c:v>
                </c:pt>
                <c:pt idx="40">
                  <c:v>-3248648548.2306156</c:v>
                </c:pt>
                <c:pt idx="41">
                  <c:v>-4464336874.1997585</c:v>
                </c:pt>
                <c:pt idx="42">
                  <c:v>-5659156968.8458471</c:v>
                </c:pt>
                <c:pt idx="43">
                  <c:v>-6829094209.2732048</c:v>
                </c:pt>
                <c:pt idx="44">
                  <c:v>-7970244271.2162924</c:v>
                </c:pt>
                <c:pt idx="45">
                  <c:v>-9078818460.804306</c:v>
                </c:pt>
                <c:pt idx="46">
                  <c:v>-10151148663.849613</c:v>
                </c:pt>
                <c:pt idx="47">
                  <c:v>-11183692009.763231</c:v>
                </c:pt>
                <c:pt idx="48">
                  <c:v>-12173035343.798763</c:v>
                </c:pt>
                <c:pt idx="49">
                  <c:v>-13115899597.023386</c:v>
                </c:pt>
                <c:pt idx="50">
                  <c:v>-14009144138.299789</c:v>
                </c:pt>
                <c:pt idx="51">
                  <c:v>-14849771186.695179</c:v>
                </c:pt>
                <c:pt idx="52">
                  <c:v>-15634930356.167444</c:v>
                </c:pt>
                <c:pt idx="53">
                  <c:v>-16361923397.150747</c:v>
                </c:pt>
                <c:pt idx="54">
                  <c:v>-17028209191.774885</c:v>
                </c:pt>
                <c:pt idx="55" formatCode="General">
                  <c:v>-17631409050.947777</c:v>
                </c:pt>
                <c:pt idx="56">
                  <c:v>-18169312352.371212</c:v>
                </c:pt>
                <c:pt idx="57">
                  <c:v>-18639882548.769592</c:v>
                </c:pt>
                <c:pt idx="58">
                  <c:v>-19041263565.167103</c:v>
                </c:pt>
                <c:pt idx="59">
                  <c:v>-19371786592.948757</c:v>
                </c:pt>
                <c:pt idx="60">
                  <c:v>-19629977276.684589</c:v>
                </c:pt>
                <c:pt idx="61">
                  <c:v>-19814563277.289944</c:v>
                </c:pt>
                <c:pt idx="62">
                  <c:v>-19924482182.062538</c:v>
                </c:pt>
                <c:pt idx="63">
                  <c:v>-19958889718.518131</c:v>
                </c:pt>
                <c:pt idx="64">
                  <c:v>-19917168214.805519</c:v>
                </c:pt>
                <c:pt idx="65">
                  <c:v>-19798935234.909176</c:v>
                </c:pt>
                <c:pt idx="66">
                  <c:v>-19604052301.966671</c:v>
                </c:pt>
                <c:pt idx="67">
                  <c:v>-19332633607.99651</c:v>
                </c:pt>
                <c:pt idx="68">
                  <c:v>-18985054593.34753</c:v>
                </c:pt>
                <c:pt idx="69">
                  <c:v>-18561960264.479992</c:v>
                </c:pt>
                <c:pt idx="70">
                  <c:v>-18064273104.552654</c:v>
                </c:pt>
                <c:pt idx="71">
                  <c:v>-17493200418.038353</c:v>
                </c:pt>
                <c:pt idx="72">
                  <c:v>-16850240938.585722</c:v>
                </c:pt>
                <c:pt idx="73">
                  <c:v>-16137190518.982206</c:v>
                </c:pt>
                <c:pt idx="74">
                  <c:v>-15356146713.776785</c:v>
                </c:pt>
                <c:pt idx="75">
                  <c:v>-14509512059.337996</c:v>
                </c:pt>
                <c:pt idx="76">
                  <c:v>-13599995853.305334</c:v>
                </c:pt>
                <c:pt idx="77">
                  <c:v>-12630614235.987307</c:v>
                </c:pt>
                <c:pt idx="78">
                  <c:v>-11604688380.697662</c:v>
                </c:pt>
                <c:pt idx="79">
                  <c:v>-10525840608.681004</c:v>
                </c:pt>
                <c:pt idx="80">
                  <c:v>-9397988257.4928093</c:v>
                </c:pt>
                <c:pt idx="81">
                  <c:v>-8225335149.7002907</c:v>
                </c:pt>
                <c:pt idx="82">
                  <c:v>-7012360531.7027569</c:v>
                </c:pt>
                <c:pt idx="83">
                  <c:v>-5763805380.3428049</c:v>
                </c:pt>
                <c:pt idx="84">
                  <c:v>-4484656007.6600409</c:v>
                </c:pt>
                <c:pt idx="85">
                  <c:v>-3180124931.3391738</c:v>
                </c:pt>
                <c:pt idx="86">
                  <c:v>-1855629019.6600506</c:v>
                </c:pt>
                <c:pt idx="87">
                  <c:v>-516764964.43103904</c:v>
                </c:pt>
                <c:pt idx="88">
                  <c:v>830717817.3268919</c:v>
                </c:pt>
                <c:pt idx="89">
                  <c:v>2180946703.2573595</c:v>
                </c:pt>
                <c:pt idx="90">
                  <c:v>3527957607.9800596</c:v>
                </c:pt>
                <c:pt idx="91">
                  <c:v>4865728699.9859829</c:v>
                </c:pt>
                <c:pt idx="92">
                  <c:v>6188215798.5765905</c:v>
                </c:pt>
                <c:pt idx="93">
                  <c:v>7489389113.0106964</c:v>
                </c:pt>
                <c:pt idx="94">
                  <c:v>8763270947.4603348</c:v>
                </c:pt>
                <c:pt idx="95">
                  <c:v>10003973962.843672</c:v>
                </c:pt>
                <c:pt idx="96">
                  <c:v>11205739561.259283</c:v>
                </c:pt>
                <c:pt idx="97">
                  <c:v>12362975941.602037</c:v>
                </c:pt>
                <c:pt idx="98">
                  <c:v>13470295366.780109</c:v>
                </c:pt>
                <c:pt idx="99">
                  <c:v>14522550184.303152</c:v>
                </c:pt>
                <c:pt idx="100" formatCode="General">
                  <c:v>15514867153.113949</c:v>
                </c:pt>
              </c:numCache>
            </c:numRef>
          </c:xVal>
          <c:yVal>
            <c:numRef>
              <c:f>KPlot!$J$4:$J$104</c:f>
              <c:numCache>
                <c:formatCode>0.00E+00</c:formatCode>
                <c:ptCount val="101"/>
                <c:pt idx="0">
                  <c:v>-15290394870.784014</c:v>
                </c:pt>
                <c:pt idx="1">
                  <c:v>-14284591334.989309</c:v>
                </c:pt>
                <c:pt idx="2">
                  <c:v>-13219824303.568651</c:v>
                </c:pt>
                <c:pt idx="3">
                  <c:v>-12101021892.475262</c:v>
                </c:pt>
                <c:pt idx="4">
                  <c:v>-10933381445.980043</c:v>
                </c:pt>
                <c:pt idx="5">
                  <c:v>-9722334940.2874546</c:v>
                </c:pt>
                <c:pt idx="6">
                  <c:v>-8473512736.6720743</c:v>
                </c:pt>
                <c:pt idx="7">
                  <c:v>-7192706133.0209589</c:v>
                </c:pt>
                <c:pt idx="8">
                  <c:v>-5885829173.11901</c:v>
                </c:pt>
                <c:pt idx="9">
                  <c:v>-4558880173.7092543</c:v>
                </c:pt>
                <c:pt idx="10">
                  <c:v>-3217903420.5475593</c:v>
                </c:pt>
                <c:pt idx="11">
                  <c:v>-1868951466.8995538</c:v>
                </c:pt>
                <c:pt idx="12">
                  <c:v>-518048441.99144024</c:v>
                </c:pt>
                <c:pt idx="13">
                  <c:v>828845256.15559649</c:v>
                </c:pt>
                <c:pt idx="14">
                  <c:v>2165866548.1285849</c:v>
                </c:pt>
                <c:pt idx="15">
                  <c:v>3487281249.1075225</c:v>
                </c:pt>
                <c:pt idx="16">
                  <c:v>4787513388.8200598</c:v>
                </c:pt>
                <c:pt idx="17">
                  <c:v>6061172079.8567152</c:v>
                </c:pt>
                <c:pt idx="18">
                  <c:v>7303075788.3796959</c:v>
                </c:pt>
                <c:pt idx="19">
                  <c:v>8508273910.3070478</c:v>
                </c:pt>
                <c:pt idx="20">
                  <c:v>9672065603.3908138</c:v>
                </c:pt>
                <c:pt idx="21">
                  <c:v>10790015870.264505</c:v>
                </c:pt>
                <c:pt idx="22">
                  <c:v>11857968928.709629</c:v>
                </c:pt>
                <c:pt idx="23">
                  <c:v>12872058942.446911</c:v>
                </c:pt>
                <c:pt idx="24">
                  <c:v>13828718218.248867</c:v>
                </c:pt>
                <c:pt idx="25">
                  <c:v>14724683002.804916</c:v>
                </c:pt>
                <c:pt idx="26">
                  <c:v>15556997035.433195</c:v>
                </c:pt>
                <c:pt idx="27">
                  <c:v>16323013030.437532</c:v>
                </c:pt>
                <c:pt idx="28">
                  <c:v>17020392275.804256</c:v>
                </c:pt>
                <c:pt idx="29">
                  <c:v>17647102543.269672</c:v>
                </c:pt>
                <c:pt idx="30">
                  <c:v>18201414508.89386</c:v>
                </c:pt>
                <c:pt idx="31">
                  <c:v>18681896883.547062</c:v>
                </c:pt>
                <c:pt idx="32">
                  <c:v>19087410449.577103</c:v>
                </c:pt>
                <c:pt idx="33">
                  <c:v>19417101193.837933</c:v>
                </c:pt>
                <c:pt idx="34">
                  <c:v>19670392718.675335</c:v>
                </c:pt>
                <c:pt idx="35">
                  <c:v>19846978101.835365</c:v>
                </c:pt>
                <c:pt idx="36">
                  <c:v>19946811364.01115</c:v>
                </c:pt>
                <c:pt idx="37">
                  <c:v>19970098689.272614</c:v>
                </c:pt>
                <c:pt idx="38">
                  <c:v>19917289529.292271</c:v>
                </c:pt>
                <c:pt idx="39">
                  <c:v>19789067707.411362</c:v>
                </c:pt>
                <c:pt idx="40">
                  <c:v>19586342623.462559</c:v>
                </c:pt>
                <c:pt idx="41">
                  <c:v>19310240645.116611</c:v>
                </c:pt>
                <c:pt idx="42">
                  <c:v>18962096756.545849</c:v>
                </c:pt>
                <c:pt idx="43">
                  <c:v>18543446520.555298</c:v>
                </c:pt>
                <c:pt idx="44">
                  <c:v>18056018396.143223</c:v>
                </c:pt>
                <c:pt idx="45">
                  <c:v>17501726439.807507</c:v>
                </c:pt>
                <c:pt idx="46">
                  <c:v>16882663405.874043</c:v>
                </c:pt>
                <c:pt idx="47">
                  <c:v>16201094248.728819</c:v>
                </c:pt>
                <c:pt idx="48">
                  <c:v>15459450018.105423</c:v>
                </c:pt>
                <c:pt idx="49">
                  <c:v>14660322127.524059</c:v>
                </c:pt>
                <c:pt idx="50">
                  <c:v>13806456965.591459</c:v>
                </c:pt>
                <c:pt idx="51">
                  <c:v>12900750810.14953</c:v>
                </c:pt>
                <c:pt idx="52">
                  <c:v>11946244996.193602</c:v>
                </c:pt>
                <c:pt idx="53">
                  <c:v>10946121280.055868</c:v>
                </c:pt>
                <c:pt idx="54">
                  <c:v>9903697334.5885296</c:v>
                </c:pt>
                <c:pt idx="55">
                  <c:v>8822422302.9550915</c:v>
                </c:pt>
                <c:pt idx="56">
                  <c:v>7705872332.2077093</c:v>
                </c:pt>
                <c:pt idx="57">
                  <c:v>6557746002.0957289</c:v>
                </c:pt>
                <c:pt idx="58">
                  <c:v>5381859559.5809231</c:v>
                </c:pt>
                <c:pt idx="59">
                  <c:v>4182141865.388166</c:v>
                </c:pt>
                <c:pt idx="60">
                  <c:v>2962628955.6774778</c:v>
                </c:pt>
                <c:pt idx="61">
                  <c:v>1727458119.6868727</c:v>
                </c:pt>
                <c:pt idx="62">
                  <c:v>480861393.07741129</c:v>
                </c:pt>
                <c:pt idx="63">
                  <c:v>-772841633.15359521</c:v>
                </c:pt>
                <c:pt idx="64">
                  <c:v>-2029251786.7981761</c:v>
                </c:pt>
                <c:pt idx="65">
                  <c:v>-3283899167.1350532</c:v>
                </c:pt>
                <c:pt idx="66">
                  <c:v>-4532252966.9515123</c:v>
                </c:pt>
                <c:pt idx="67">
                  <c:v>-5769732348.0025845</c:v>
                </c:pt>
                <c:pt idx="68">
                  <c:v>-6991718445.3633842</c:v>
                </c:pt>
                <c:pt idx="69">
                  <c:v>-8193567565.3257494</c:v>
                </c:pt>
                <c:pt idx="70">
                  <c:v>-9370625628.4143581</c:v>
                </c:pt>
                <c:pt idx="71">
                  <c:v>-10518243893.676439</c:v>
                </c:pt>
                <c:pt idx="72">
                  <c:v>-11631795982.581018</c:v>
                </c:pt>
                <c:pt idx="73">
                  <c:v>-12706696200.66412</c:v>
                </c:pt>
                <c:pt idx="74">
                  <c:v>-13738419132.547121</c:v>
                </c:pt>
                <c:pt idx="75">
                  <c:v>-14722520461.276192</c:v>
                </c:pt>
                <c:pt idx="76">
                  <c:v>-15654658936.310453</c:v>
                </c:pt>
                <c:pt idx="77">
                  <c:v>-16530619386.239292</c:v>
                </c:pt>
                <c:pt idx="78">
                  <c:v>-17346336642.837414</c:v>
                </c:pt>
                <c:pt idx="79">
                  <c:v>-18097920212.88118</c:v>
                </c:pt>
                <c:pt idx="80">
                  <c:v>-18781679503.84087</c:v>
                </c:pt>
                <c:pt idx="81">
                  <c:v>-19394149379.825981</c:v>
                </c:pt>
                <c:pt idx="82">
                  <c:v>-19932115795.755142</c:v>
                </c:pt>
                <c:pt idx="83">
                  <c:v>-20392641231.480667</c:v>
                </c:pt>
                <c:pt idx="84">
                  <c:v>-20773089624.393147</c:v>
                </c:pt>
                <c:pt idx="85">
                  <c:v>-21071150479.751778</c:v>
                </c:pt>
                <c:pt idx="86">
                  <c:v>-21284861823.509514</c:v>
                </c:pt>
                <c:pt idx="87">
                  <c:v>-21412631653.559288</c:v>
                </c:pt>
                <c:pt idx="88">
                  <c:v>-21453257542.862801</c:v>
                </c:pt>
                <c:pt idx="89">
                  <c:v>-21405944052.46513</c:v>
                </c:pt>
                <c:pt idx="90">
                  <c:v>-21270317624.412712</c:v>
                </c:pt>
                <c:pt idx="91">
                  <c:v>-21046438644.356331</c:v>
                </c:pt>
                <c:pt idx="92">
                  <c:v>-20734810391.189671</c:v>
                </c:pt>
                <c:pt idx="93">
                  <c:v>-20336384626.260082</c:v>
                </c:pt>
                <c:pt idx="94">
                  <c:v>-19852563617.048054</c:v>
                </c:pt>
                <c:pt idx="95">
                  <c:v>-19285198439.042198</c:v>
                </c:pt>
                <c:pt idx="96">
                  <c:v>-18636583453.885395</c:v>
                </c:pt>
                <c:pt idx="97">
                  <c:v>-17909446920.5527</c:v>
                </c:pt>
                <c:pt idx="98">
                  <c:v>-17106937757.963875</c:v>
                </c:pt>
                <c:pt idx="99">
                  <c:v>-16232608540.502998</c:v>
                </c:pt>
                <c:pt idx="100" formatCode="General">
                  <c:v>-15290394870.784441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95-4E09-BC8F-F2537A3F2E08}"/>
            </c:ext>
          </c:extLst>
        </c:ser>
        <c:ser>
          <c:idx val="2"/>
          <c:order val="2"/>
          <c:tx>
            <c:strRef>
              <c:f>KPlot!$AG$2</c:f>
              <c:strCache>
                <c:ptCount val="1"/>
                <c:pt idx="0">
                  <c:v>Origin Vector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KPlot!$AG$4:$AG$5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13432568922.398336</c:v>
                </c:pt>
              </c:numCache>
            </c:numRef>
          </c:xVal>
          <c:yVal>
            <c:numRef>
              <c:f>KPlot!$AH$4:$AH$5</c:f>
              <c:numCache>
                <c:formatCode>0.00E+00</c:formatCode>
                <c:ptCount val="2"/>
                <c:pt idx="0">
                  <c:v>0</c:v>
                </c:pt>
                <c:pt idx="1">
                  <c:v>2126440014.1401999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95-4E09-BC8F-F2537A3F2E08}"/>
            </c:ext>
          </c:extLst>
        </c:ser>
        <c:ser>
          <c:idx val="3"/>
          <c:order val="3"/>
          <c:tx>
            <c:strRef>
              <c:f>KPlot!$AG$7</c:f>
              <c:strCache>
                <c:ptCount val="1"/>
                <c:pt idx="0">
                  <c:v>Destination Vector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KPlot!$AG$9:$AG$10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-19940995548.660805</c:v>
                </c:pt>
              </c:numCache>
            </c:numRef>
          </c:xVal>
          <c:yVal>
            <c:numRef>
              <c:f>KPlot!$AH$9:$AH$10</c:f>
              <c:numCache>
                <c:formatCode>0.00E+00</c:formatCode>
                <c:ptCount val="2"/>
                <c:pt idx="0">
                  <c:v>0</c:v>
                </c:pt>
                <c:pt idx="1">
                  <c:v>-1576713114.5592787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95-4E09-BC8F-F2537A3F2E08}"/>
            </c:ext>
          </c:extLst>
        </c:ser>
        <c:ser>
          <c:idx val="4"/>
          <c:order val="4"/>
          <c:tx>
            <c:strRef>
              <c:f>KPlot!$AG$12</c:f>
              <c:strCache>
                <c:ptCount val="1"/>
                <c:pt idx="0">
                  <c:v>Ascending Node Vector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KPlot!$AG$14:$AG$16</c:f>
              <c:numCache>
                <c:formatCode>0.00E+00</c:formatCode>
                <c:ptCount val="3"/>
                <c:pt idx="0">
                  <c:v>0</c:v>
                </c:pt>
              </c:numCache>
            </c:numRef>
          </c:xVal>
          <c:yVal>
            <c:numRef>
              <c:f>KPlot!$AH$14:$AH$16</c:f>
              <c:numCache>
                <c:formatCode>0.00E+00</c:formatCode>
                <c:ptCount val="3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95-4E09-BC8F-F2537A3F2E08}"/>
            </c:ext>
          </c:extLst>
        </c:ser>
        <c:ser>
          <c:idx val="5"/>
          <c:order val="5"/>
          <c:tx>
            <c:strRef>
              <c:f>KPlot!$AG$17</c:f>
              <c:strCache>
                <c:ptCount val="1"/>
                <c:pt idx="0">
                  <c:v>Descending Node Vector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KPlot!$AG$19:$AG$21</c:f>
              <c:numCache>
                <c:formatCode>0.00E+00</c:formatCode>
                <c:ptCount val="3"/>
                <c:pt idx="0">
                  <c:v>0</c:v>
                </c:pt>
              </c:numCache>
            </c:numRef>
          </c:xVal>
          <c:yVal>
            <c:numRef>
              <c:f>KPlot!$AH$19:$AH$21</c:f>
              <c:numCache>
                <c:formatCode>0.00E+00</c:formatCode>
                <c:ptCount val="3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5A-4ADC-A8F9-7C290596E318}"/>
            </c:ext>
          </c:extLst>
        </c:ser>
        <c:ser>
          <c:idx val="6"/>
          <c:order val="6"/>
          <c:tx>
            <c:strRef>
              <c:f>KPlot!$M$2</c:f>
              <c:strCache>
                <c:ptCount val="1"/>
                <c:pt idx="0">
                  <c:v>Direct Transfer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KPlot!$M$4:$M$104</c:f>
              <c:numCache>
                <c:formatCode>0.00E+00</c:formatCode>
                <c:ptCount val="101"/>
                <c:pt idx="0">
                  <c:v>13432568922.398344</c:v>
                </c:pt>
                <c:pt idx="1">
                  <c:v>13356801492.884474</c:v>
                </c:pt>
                <c:pt idx="2">
                  <c:v>13270558268.401222</c:v>
                </c:pt>
                <c:pt idx="3">
                  <c:v>13173886483.206926</c:v>
                </c:pt>
                <c:pt idx="4">
                  <c:v>13066833657.932123</c:v>
                </c:pt>
                <c:pt idx="5">
                  <c:v>12949447652.824255</c:v>
                </c:pt>
                <c:pt idx="6">
                  <c:v>12821776734.688307</c:v>
                </c:pt>
                <c:pt idx="7">
                  <c:v>12683869657.472351</c:v>
                </c:pt>
                <c:pt idx="8">
                  <c:v>12535775756.470753</c:v>
                </c:pt>
                <c:pt idx="9">
                  <c:v>12377545056.139961</c:v>
                </c:pt>
                <c:pt idx="10">
                  <c:v>12209228391.542755</c:v>
                </c:pt>
                <c:pt idx="11">
                  <c:v>12030877543.45624</c:v>
                </c:pt>
                <c:pt idx="12">
                  <c:v>11842545387.196371</c:v>
                </c:pt>
                <c:pt idx="13">
                  <c:v>11644286055.227709</c:v>
                </c:pt>
                <c:pt idx="14">
                  <c:v>11436155113.640463</c:v>
                </c:pt>
                <c:pt idx="15">
                  <c:v>11218209752.587954</c:v>
                </c:pt>
                <c:pt idx="16">
                  <c:v>10990508990.786161</c:v>
                </c:pt>
                <c:pt idx="17">
                  <c:v>10753113894.182434</c:v>
                </c:pt>
                <c:pt idx="18">
                  <c:v>10506087808.902443</c:v>
                </c:pt>
                <c:pt idx="19">
                  <c:v>10249496608.584282</c:v>
                </c:pt>
                <c:pt idx="20">
                  <c:v>9983408956.2008266</c:v>
                </c:pt>
                <c:pt idx="21">
                  <c:v>9707896580.4660778</c:v>
                </c:pt>
                <c:pt idx="22">
                  <c:v>9423034566.9035378</c:v>
                </c:pt>
                <c:pt idx="23">
                  <c:v>9128901663.6383572</c:v>
                </c:pt>
                <c:pt idx="24">
                  <c:v>8825580601.9494209</c:v>
                </c:pt>
                <c:pt idx="25">
                  <c:v>8513158431.5885649</c:v>
                </c:pt>
                <c:pt idx="26">
                  <c:v>8191726870.8373461</c:v>
                </c:pt>
                <c:pt idx="27">
                  <c:v>7861382671.2293987</c:v>
                </c:pt>
                <c:pt idx="28">
                  <c:v>7522227996.816349</c:v>
                </c:pt>
                <c:pt idx="29">
                  <c:v>7174370817.79813</c:v>
                </c:pt>
                <c:pt idx="30">
                  <c:v>6817925318.2725945</c:v>
                </c:pt>
                <c:pt idx="31">
                  <c:v>6453012317.7856865</c:v>
                </c:pt>
                <c:pt idx="32">
                  <c:v>6079759706.2800703</c:v>
                </c:pt>
                <c:pt idx="33">
                  <c:v>5698302891.9475765</c:v>
                </c:pt>
                <c:pt idx="34">
                  <c:v>5308785261.3885927</c:v>
                </c:pt>
                <c:pt idx="35">
                  <c:v>4911358651.3679342</c:v>
                </c:pt>
                <c:pt idx="36">
                  <c:v>4506183831.333683</c:v>
                </c:pt>
                <c:pt idx="37">
                  <c:v>4093430995.7303009</c:v>
                </c:pt>
                <c:pt idx="38">
                  <c:v>3673280264.9911213</c:v>
                </c:pt>
                <c:pt idx="39">
                  <c:v>3245922193.9373102</c:v>
                </c:pt>
                <c:pt idx="40">
                  <c:v>2811558286.1411452</c:v>
                </c:pt>
                <c:pt idx="41">
                  <c:v>2370401512.6295877</c:v>
                </c:pt>
                <c:pt idx="42">
                  <c:v>1922676833.1112399</c:v>
                </c:pt>
                <c:pt idx="43">
                  <c:v>1468621717.7053781</c:v>
                </c:pt>
                <c:pt idx="44">
                  <c:v>1008486666.9361219</c:v>
                </c:pt>
                <c:pt idx="45">
                  <c:v>542535727.52901328</c:v>
                </c:pt>
                <c:pt idx="46">
                  <c:v>71047001.311425611</c:v>
                </c:pt>
                <c:pt idx="47">
                  <c:v>-405686855.7248866</c:v>
                </c:pt>
                <c:pt idx="48">
                  <c:v>-887358147.39318919</c:v>
                </c:pt>
                <c:pt idx="49">
                  <c:v>-1373643667.7631311</c:v>
                </c:pt>
                <c:pt idx="50">
                  <c:v>-1864204251.8053486</c:v>
                </c:pt>
                <c:pt idx="51">
                  <c:v>-2358684350.2020526</c:v>
                </c:pt>
                <c:pt idx="52">
                  <c:v>-2856711632.5579329</c:v>
                </c:pt>
                <c:pt idx="53">
                  <c:v>-3357896623.5028062</c:v>
                </c:pt>
                <c:pt idx="54">
                  <c:v>-3861832376.4262714</c:v>
                </c:pt>
                <c:pt idx="55">
                  <c:v>-4368094189.8244991</c:v>
                </c:pt>
                <c:pt idx="56">
                  <c:v>-4876239371.4615726</c:v>
                </c:pt>
                <c:pt idx="57">
                  <c:v>-5385807055.7527905</c:v>
                </c:pt>
                <c:pt idx="58">
                  <c:v>-5896318079.9554882</c:v>
                </c:pt>
                <c:pt idx="59">
                  <c:v>-6407274924.9034033</c:v>
                </c:pt>
                <c:pt idx="60">
                  <c:v>-6918161726.1342754</c:v>
                </c:pt>
                <c:pt idx="61">
                  <c:v>-7428444361.3335438</c:v>
                </c:pt>
                <c:pt idx="62">
                  <c:v>-7937570620.0431976</c:v>
                </c:pt>
                <c:pt idx="63">
                  <c:v>-8444970461.556901</c:v>
                </c:pt>
                <c:pt idx="64">
                  <c:v>-8950056366.8347034</c:v>
                </c:pt>
                <c:pt idx="65">
                  <c:v>-9452223790.1194954</c:v>
                </c:pt>
                <c:pt idx="66">
                  <c:v>-9950851715.7088375</c:v>
                </c:pt>
                <c:pt idx="67">
                  <c:v>-10445303325.037218</c:v>
                </c:pt>
                <c:pt idx="68">
                  <c:v>-10934926778.831394</c:v>
                </c:pt>
                <c:pt idx="69">
                  <c:v>-11419056118.634655</c:v>
                </c:pt>
                <c:pt idx="70">
                  <c:v>-11897012291.423313</c:v>
                </c:pt>
                <c:pt idx="71">
                  <c:v>-12368104300.381405</c:v>
                </c:pt>
                <c:pt idx="72">
                  <c:v>-12831630484.140024</c:v>
                </c:pt>
                <c:pt idx="73">
                  <c:v>-13286879925.932753</c:v>
                </c:pt>
                <c:pt idx="74">
                  <c:v>-13733133993.166412</c:v>
                </c:pt>
                <c:pt idx="75">
                  <c:v>-14169668006.860428</c:v>
                </c:pt>
                <c:pt idx="76">
                  <c:v>-14595753039.272867</c:v>
                </c:pt>
                <c:pt idx="77">
                  <c:v>-15010657836.813065</c:v>
                </c:pt>
                <c:pt idx="78">
                  <c:v>-15413650864.047983</c:v>
                </c:pt>
                <c:pt idx="79">
                  <c:v>-15804002463.253075</c:v>
                </c:pt>
                <c:pt idx="80">
                  <c:v>-16180987122.55271</c:v>
                </c:pt>
                <c:pt idx="81">
                  <c:v>-16543885844.251961</c:v>
                </c:pt>
                <c:pt idx="82">
                  <c:v>-16891988603.502747</c:v>
                </c:pt>
                <c:pt idx="83">
                  <c:v>-17224596885.987602</c:v>
                </c:pt>
                <c:pt idx="84">
                  <c:v>-17541026291.869186</c:v>
                </c:pt>
                <c:pt idx="85">
                  <c:v>-17840609191.861683</c:v>
                </c:pt>
                <c:pt idx="86">
                  <c:v>-18122697419.958248</c:v>
                </c:pt>
                <c:pt idx="87">
                  <c:v>-18386664986.120544</c:v>
                </c:pt>
                <c:pt idx="88">
                  <c:v>-18631910791.125671</c:v>
                </c:pt>
                <c:pt idx="89">
                  <c:v>-18857861324.799107</c:v>
                </c:pt>
                <c:pt idx="90">
                  <c:v>-19063973328.063385</c:v>
                </c:pt>
                <c:pt idx="91">
                  <c:v>-19249736398.621773</c:v>
                </c:pt>
                <c:pt idx="92">
                  <c:v>-19414675519.698532</c:v>
                </c:pt>
                <c:pt idx="93">
                  <c:v>-19558353491.08696</c:v>
                </c:pt>
                <c:pt idx="94">
                  <c:v>-19680373241.831036</c:v>
                </c:pt>
                <c:pt idx="95">
                  <c:v>-19780380004.196896</c:v>
                </c:pt>
                <c:pt idx="96">
                  <c:v>-19858063329.182117</c:v>
                </c:pt>
                <c:pt idx="97">
                  <c:v>-19913158924.670109</c:v>
                </c:pt>
                <c:pt idx="98">
                  <c:v>-19945450298.458069</c:v>
                </c:pt>
                <c:pt idx="99">
                  <c:v>-19954770189.764889</c:v>
                </c:pt>
                <c:pt idx="100" formatCode="General">
                  <c:v>-19941001774.447273</c:v>
                </c:pt>
              </c:numCache>
            </c:numRef>
          </c:xVal>
          <c:yVal>
            <c:numRef>
              <c:f>KPlot!$N$4:$N$104</c:f>
              <c:numCache>
                <c:formatCode>0.00E+00</c:formatCode>
                <c:ptCount val="101"/>
                <c:pt idx="0">
                  <c:v>2126440014.1402314</c:v>
                </c:pt>
                <c:pt idx="1">
                  <c:v>2536061619.7807417</c:v>
                </c:pt>
                <c:pt idx="2">
                  <c:v>2943483400.1131291</c:v>
                </c:pt>
                <c:pt idx="3">
                  <c:v>3348509031.2842393</c:v>
                </c:pt>
                <c:pt idx="4">
                  <c:v>3750942413.9339414</c:v>
                </c:pt>
                <c:pt idx="5">
                  <c:v>4150587445.1172233</c:v>
                </c:pt>
                <c:pt idx="6">
                  <c:v>4547247793.6592894</c:v>
                </c:pt>
                <c:pt idx="7">
                  <c:v>4940726679.2461147</c:v>
                </c:pt>
                <c:pt idx="8">
                  <c:v>5330826655.5622568</c:v>
                </c:pt>
                <c:pt idx="9">
                  <c:v>5717349397.8014088</c:v>
                </c:pt>
                <c:pt idx="10">
                  <c:v>6100095494.8926687</c:v>
                </c:pt>
                <c:pt idx="11">
                  <c:v>6478864246.8050375</c:v>
                </c:pt>
                <c:pt idx="12">
                  <c:v>6853453467.3168354</c:v>
                </c:pt>
                <c:pt idx="13">
                  <c:v>7223659292.6622972</c:v>
                </c:pt>
                <c:pt idx="14">
                  <c:v>7589275996.4977961</c:v>
                </c:pt>
                <c:pt idx="15">
                  <c:v>7950095811.6626081</c:v>
                </c:pt>
                <c:pt idx="16">
                  <c:v>8305908759.2445412</c:v>
                </c:pt>
                <c:pt idx="17">
                  <c:v>8656502485.4996376</c:v>
                </c:pt>
                <c:pt idx="18">
                  <c:v>9001662107.2166996</c:v>
                </c:pt>
                <c:pt idx="19">
                  <c:v>9341170066.1604004</c:v>
                </c:pt>
                <c:pt idx="20">
                  <c:v>9674805993.2773342</c:v>
                </c:pt>
                <c:pt idx="21">
                  <c:v>10002346583.393488</c:v>
                </c:pt>
                <c:pt idx="22">
                  <c:v>10323565481.189058</c:v>
                </c:pt>
                <c:pt idx="23">
                  <c:v>10638233179.287609</c:v>
                </c:pt>
                <c:pt idx="24">
                  <c:v>10946116929.354753</c:v>
                </c:pt>
                <c:pt idx="25">
                  <c:v>11246980667.159164</c:v>
                </c:pt>
                <c:pt idx="26">
                  <c:v>11540584952.609343</c:v>
                </c:pt>
                <c:pt idx="27">
                  <c:v>11826686925.840769</c:v>
                </c:pt>
                <c:pt idx="28">
                  <c:v>12105040280.490631</c:v>
                </c:pt>
                <c:pt idx="29">
                  <c:v>12375395255.359886</c:v>
                </c:pt>
                <c:pt idx="30">
                  <c:v>12637498645.725998</c:v>
                </c:pt>
                <c:pt idx="31">
                  <c:v>12891093835.631708</c:v>
                </c:pt>
                <c:pt idx="32">
                  <c:v>13135920852.537008</c:v>
                </c:pt>
                <c:pt idx="33">
                  <c:v>13371716445.781069</c:v>
                </c:pt>
                <c:pt idx="34">
                  <c:v>13598214190.357771</c:v>
                </c:pt>
                <c:pt idx="35">
                  <c:v>13815144617.562744</c:v>
                </c:pt>
                <c:pt idx="36">
                  <c:v>14022235374.11862</c:v>
                </c:pt>
                <c:pt idx="37">
                  <c:v>14219211411.429407</c:v>
                </c:pt>
                <c:pt idx="38">
                  <c:v>14405795206.652231</c:v>
                </c:pt>
                <c:pt idx="39">
                  <c:v>14581707017.304192</c:v>
                </c:pt>
                <c:pt idx="40">
                  <c:v>14746665171.142221</c:v>
                </c:pt>
                <c:pt idx="41">
                  <c:v>14900386393.063745</c:v>
                </c:pt>
                <c:pt idx="42">
                  <c:v>15042586170.773113</c:v>
                </c:pt>
                <c:pt idx="43">
                  <c:v>15172979160.942324</c:v>
                </c:pt>
                <c:pt idx="44">
                  <c:v>15291279637.56229</c:v>
                </c:pt>
                <c:pt idx="45">
                  <c:v>15397201984.131157</c:v>
                </c:pt>
                <c:pt idx="46">
                  <c:v>15490461231.256943</c:v>
                </c:pt>
                <c:pt idx="47">
                  <c:v>15570773641.160833</c:v>
                </c:pt>
                <c:pt idx="48">
                  <c:v>15637857340.453564</c:v>
                </c:pt>
                <c:pt idx="49">
                  <c:v>15691433002.417166</c:v>
                </c:pt>
                <c:pt idx="50">
                  <c:v>15731224579.857191</c:v>
                </c:pt>
                <c:pt idx="51">
                  <c:v>15756960089.393381</c:v>
                </c:pt>
                <c:pt idx="52">
                  <c:v>15768372447.828262</c:v>
                </c:pt>
                <c:pt idx="53">
                  <c:v>15765200360.971321</c:v>
                </c:pt>
                <c:pt idx="54">
                  <c:v>15747189264.999493</c:v>
                </c:pt>
                <c:pt idx="55">
                  <c:v>15714092320.101549</c:v>
                </c:pt>
                <c:pt idx="56">
                  <c:v>15665671455.783369</c:v>
                </c:pt>
                <c:pt idx="57">
                  <c:v>15601698466.801851</c:v>
                </c:pt>
                <c:pt idx="58">
                  <c:v>15521956158.247812</c:v>
                </c:pt>
                <c:pt idx="59">
                  <c:v>15426239537.811859</c:v>
                </c:pt>
                <c:pt idx="60">
                  <c:v>15314357052.743103</c:v>
                </c:pt>
                <c:pt idx="61">
                  <c:v>15186131868.44998</c:v>
                </c:pt>
                <c:pt idx="62">
                  <c:v>15041403185.096893</c:v>
                </c:pt>
                <c:pt idx="63">
                  <c:v>14880027587.923395</c:v>
                </c:pt>
                <c:pt idx="64">
                  <c:v>14701880426.357378</c:v>
                </c:pt>
                <c:pt idx="65">
                  <c:v>14506857216.31411</c:v>
                </c:pt>
                <c:pt idx="66">
                  <c:v>14294875059.376751</c:v>
                </c:pt>
                <c:pt idx="67">
                  <c:v>14065874071.843443</c:v>
                </c:pt>
                <c:pt idx="68">
                  <c:v>13819818815.915632</c:v>
                </c:pt>
                <c:pt idx="69">
                  <c:v>13556699724.590233</c:v>
                </c:pt>
                <c:pt idx="70">
                  <c:v>13276534511.126762</c:v>
                </c:pt>
                <c:pt idx="71">
                  <c:v>12979369553.288431</c:v>
                </c:pt>
                <c:pt idx="72">
                  <c:v>12665281241.923138</c:v>
                </c:pt>
                <c:pt idx="73">
                  <c:v>12334377282.864023</c:v>
                </c:pt>
                <c:pt idx="74">
                  <c:v>11986797940.605207</c:v>
                </c:pt>
                <c:pt idx="75">
                  <c:v>11622717211.758354</c:v>
                </c:pt>
                <c:pt idx="76">
                  <c:v>11242343915.934788</c:v>
                </c:pt>
                <c:pt idx="77">
                  <c:v>10845922691.438765</c:v>
                </c:pt>
                <c:pt idx="78">
                  <c:v>10433734883.015215</c:v>
                </c:pt>
                <c:pt idx="79">
                  <c:v>10006099308.881859</c:v>
                </c:pt>
                <c:pt idx="80">
                  <c:v>9563372894.4030056</c:v>
                </c:pt>
                <c:pt idx="81">
                  <c:v>9105951160.0441875</c:v>
                </c:pt>
                <c:pt idx="82">
                  <c:v>8634268551.6888123</c:v>
                </c:pt>
                <c:pt idx="83">
                  <c:v>8148798602.0122604</c:v>
                </c:pt>
                <c:pt idx="84">
                  <c:v>7650053912.3962097</c:v>
                </c:pt>
                <c:pt idx="85">
                  <c:v>7138585945.8337908</c:v>
                </c:pt>
                <c:pt idx="86">
                  <c:v>6614984622.4210749</c:v>
                </c:pt>
                <c:pt idx="87">
                  <c:v>6079877710.3494873</c:v>
                </c:pt>
                <c:pt idx="88">
                  <c:v>5533930006.8023233</c:v>
                </c:pt>
                <c:pt idx="89">
                  <c:v>4977842304.8045559</c:v>
                </c:pt>
                <c:pt idx="90">
                  <c:v>4412350143.8629932</c:v>
                </c:pt>
                <c:pt idx="91">
                  <c:v>3838222344.1516218</c:v>
                </c:pt>
                <c:pt idx="92">
                  <c:v>3256259326.0151033</c:v>
                </c:pt>
                <c:pt idx="93">
                  <c:v>2667291218.6659813</c:v>
                </c:pt>
                <c:pt idx="94">
                  <c:v>2072175764.1048214</c:v>
                </c:pt>
                <c:pt idx="95">
                  <c:v>1471796024.466774</c:v>
                </c:pt>
                <c:pt idx="96">
                  <c:v>867057903.16981208</c:v>
                </c:pt>
                <c:pt idx="97">
                  <c:v>258887492.35924393</c:v>
                </c:pt>
                <c:pt idx="98">
                  <c:v>-351771738.80760157</c:v>
                </c:pt>
                <c:pt idx="99">
                  <c:v>-963961898.55858517</c:v>
                </c:pt>
                <c:pt idx="100" formatCode="General">
                  <c:v>-1576713751.3196321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D5A-4ADC-A8F9-7C290596E318}"/>
            </c:ext>
          </c:extLst>
        </c:ser>
        <c:ser>
          <c:idx val="7"/>
          <c:order val="7"/>
          <c:tx>
            <c:strRef>
              <c:f>KPlot!$U$2</c:f>
              <c:strCache>
                <c:ptCount val="1"/>
                <c:pt idx="0">
                  <c:v>90° Transfer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KPlot!$U$4:$U$104</c:f>
              <c:numCache>
                <c:formatCode>0.00E+00</c:formatCode>
                <c:ptCount val="101"/>
              </c:numCache>
            </c:numRef>
          </c:xVal>
          <c:yVal>
            <c:numRef>
              <c:f>KPlot!$V$4:$V$104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63-4361-A2A6-1E27460DE5BE}"/>
            </c:ext>
          </c:extLst>
        </c:ser>
        <c:ser>
          <c:idx val="8"/>
          <c:order val="8"/>
          <c:tx>
            <c:strRef>
              <c:f>KPlot!$Q$2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KPlot!$Q$4:$Q$104</c:f>
              <c:numCache>
                <c:formatCode>0.00E+00</c:formatCode>
                <c:ptCount val="101"/>
              </c:numCache>
            </c:numRef>
          </c:xVal>
          <c:yVal>
            <c:numRef>
              <c:f>KPlot!$R$4:$R$104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63-4361-A2A6-1E27460DE5BE}"/>
            </c:ext>
          </c:extLst>
        </c:ser>
        <c:ser>
          <c:idx val="9"/>
          <c:order val="9"/>
          <c:tx>
            <c:strRef>
              <c:f>KPlot!$AG$52</c:f>
              <c:strCache>
                <c:ptCount val="1"/>
                <c:pt idx="0">
                  <c:v>90 Transfer (IP)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KPlot!$AG$54:$AG$55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KPlot!$AH$54:$AH$55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20-4B45-AF88-5FDB9D7CF75B}"/>
            </c:ext>
          </c:extLst>
        </c:ser>
        <c:ser>
          <c:idx val="10"/>
          <c:order val="10"/>
          <c:tx>
            <c:strRef>
              <c:f>KPlot!$AG$56</c:f>
              <c:strCache>
                <c:ptCount val="1"/>
                <c:pt idx="0">
                  <c:v>90 Transfer (OP)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KPlot!$AG$58:$AG$59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xVal>
          <c:yVal>
            <c:numRef>
              <c:f>KPlot!$AH$58:$AH$59</c:f>
              <c:numCache>
                <c:formatCode>General</c:formatCode>
                <c:ptCount val="2"/>
                <c:pt idx="0" formatCode="0.00E+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20-4B45-AF88-5FDB9D7CF75B}"/>
            </c:ext>
          </c:extLst>
        </c:ser>
        <c:ser>
          <c:idx val="11"/>
          <c:order val="11"/>
          <c:tx>
            <c:strRef>
              <c:f>KPlot!$AJ$36</c:f>
              <c:strCache>
                <c:ptCount val="1"/>
                <c:pt idx="0">
                  <c:v>Destination At Injection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KPlot!$AJ$38:$AJ$39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13203905006.860924</c:v>
                </c:pt>
              </c:numCache>
            </c:numRef>
          </c:xVal>
          <c:yVal>
            <c:numRef>
              <c:f>KPlot!$AK$38:$AK$39</c:f>
              <c:numCache>
                <c:formatCode>General</c:formatCode>
                <c:ptCount val="2"/>
                <c:pt idx="0" formatCode="0.00E+00">
                  <c:v>0</c:v>
                </c:pt>
                <c:pt idx="1">
                  <c:v>15796133180.029444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6B0-418D-930D-28C9D55FB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Side view orbital plot (x-z plane)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Orig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KPlot!$E$4:$E$104</c:f>
              <c:numCache>
                <c:formatCode>0.00E+00</c:formatCode>
                <c:ptCount val="101"/>
                <c:pt idx="0">
                  <c:v>-13599823007.697136</c:v>
                </c:pt>
                <c:pt idx="1">
                  <c:v>-13574346895.255716</c:v>
                </c:pt>
                <c:pt idx="2">
                  <c:v>-13495299037.147917</c:v>
                </c:pt>
                <c:pt idx="3">
                  <c:v>-13362991399.156162</c:v>
                </c:pt>
                <c:pt idx="4">
                  <c:v>-13177946139.081997</c:v>
                </c:pt>
                <c:pt idx="5">
                  <c:v>-12940893546.027786</c:v>
                </c:pt>
                <c:pt idx="6">
                  <c:v>-12652769158.279301</c:v>
                </c:pt>
                <c:pt idx="7">
                  <c:v>-12314710071.163467</c:v>
                </c:pt>
                <c:pt idx="8">
                  <c:v>-11928050449.452618</c:v>
                </c:pt>
                <c:pt idx="9">
                  <c:v>-11494316262.025671</c:v>
                </c:pt>
                <c:pt idx="10">
                  <c:v>-11015219259.566111</c:v>
                </c:pt>
                <c:pt idx="11">
                  <c:v>-10492650219.064034</c:v>
                </c:pt>
                <c:pt idx="12">
                  <c:v>-9928671481.7832127</c:v>
                </c:pt>
                <c:pt idx="13">
                  <c:v>-9325508814.1423225</c:v>
                </c:pt>
                <c:pt idx="14">
                  <c:v>-8685542623.6317406</c:v>
                </c:pt>
                <c:pt idx="15">
                  <c:v>-8011298564.4326744</c:v>
                </c:pt>
                <c:pt idx="16">
                  <c:v>-7305437569.8139505</c:v>
                </c:pt>
                <c:pt idx="17">
                  <c:v>-6570745350.6441259</c:v>
                </c:pt>
                <c:pt idx="18">
                  <c:v>-5810121401.463315</c:v>
                </c:pt>
                <c:pt idx="19">
                  <c:v>-5026567557.5028963</c:v>
                </c:pt>
                <c:pt idx="20">
                  <c:v>-4223176147.8133025</c:v>
                </c:pt>
                <c:pt idx="21">
                  <c:v>-3403117791.2539582</c:v>
                </c:pt>
                <c:pt idx="22">
                  <c:v>-2569628883.509141</c:v>
                </c:pt>
                <c:pt idx="23">
                  <c:v>-1725998824.5129058</c:v>
                </c:pt>
                <c:pt idx="24">
                  <c:v>-875557036.69015062</c:v>
                </c:pt>
                <c:pt idx="25">
                  <c:v>-21659825.247552719</c:v>
                </c:pt>
                <c:pt idx="26">
                  <c:v>832322867.62986445</c:v>
                </c:pt>
                <c:pt idx="27">
                  <c:v>1683020762.4008946</c:v>
                </c:pt>
                <c:pt idx="28">
                  <c:v>2527076543.1217761</c:v>
                </c:pt>
                <c:pt idx="29">
                  <c:v>3361159107.2384095</c:v>
                </c:pt>
                <c:pt idx="30">
                  <c:v>4181976711.9263043</c:v>
                </c:pt>
                <c:pt idx="31">
                  <c:v>4986289965.0956497</c:v>
                </c:pt>
                <c:pt idx="32">
                  <c:v>5770924609.7919588</c:v>
                </c:pt>
                <c:pt idx="33">
                  <c:v>6532784051.5380888</c:v>
                </c:pt>
                <c:pt idx="34">
                  <c:v>7268861579.1779346</c:v>
                </c:pt>
                <c:pt idx="35">
                  <c:v>7976252230.9917412</c:v>
                </c:pt>
                <c:pt idx="36">
                  <c:v>8652164259.2528458</c:v>
                </c:pt>
                <c:pt idx="37">
                  <c:v>9293930147.9805298</c:v>
                </c:pt>
                <c:pt idx="38">
                  <c:v>9899017140.4069386</c:v>
                </c:pt>
                <c:pt idx="39">
                  <c:v>10465037234.61091</c:v>
                </c:pt>
                <c:pt idx="40">
                  <c:v>10989756607.870607</c:v>
                </c:pt>
                <c:pt idx="41">
                  <c:v>11471104432.541256</c:v>
                </c:pt>
                <c:pt idx="42">
                  <c:v>11907181048.665781</c:v>
                </c:pt>
                <c:pt idx="43">
                  <c:v>12296265461.064793</c:v>
                </c:pt>
                <c:pt idx="44">
                  <c:v>12636822131.318316</c:v>
                </c:pt>
                <c:pt idx="45">
                  <c:v>12927507037.8344</c:v>
                </c:pt>
                <c:pt idx="46">
                  <c:v>13167172980.088331</c:v>
                </c:pt>
                <c:pt idx="47">
                  <c:v>13354874106.098984</c:v>
                </c:pt>
                <c:pt idx="48">
                  <c:v>13489869645.274481</c:v>
                </c:pt>
                <c:pt idx="49">
                  <c:v>13571626831.895294</c:v>
                </c:pt>
                <c:pt idx="50">
                  <c:v>13599823007.697136</c:v>
                </c:pt>
                <c:pt idx="51">
                  <c:v>13574346895.255716</c:v>
                </c:pt>
                <c:pt idx="52">
                  <c:v>13495299037.147923</c:v>
                </c:pt>
                <c:pt idx="53">
                  <c:v>13362991399.156172</c:v>
                </c:pt>
                <c:pt idx="54">
                  <c:v>13177946139.082008</c:v>
                </c:pt>
                <c:pt idx="55" formatCode="General">
                  <c:v>12940893546.027809</c:v>
                </c:pt>
                <c:pt idx="56">
                  <c:v>12652769158.279327</c:v>
                </c:pt>
                <c:pt idx="57">
                  <c:v>12314710071.163496</c:v>
                </c:pt>
                <c:pt idx="58">
                  <c:v>11928050449.452656</c:v>
                </c:pt>
                <c:pt idx="59">
                  <c:v>11494316262.025721</c:v>
                </c:pt>
                <c:pt idx="60">
                  <c:v>11015219259.566166</c:v>
                </c:pt>
                <c:pt idx="61">
                  <c:v>10492650219.064095</c:v>
                </c:pt>
                <c:pt idx="62">
                  <c:v>9928671481.7832851</c:v>
                </c:pt>
                <c:pt idx="63">
                  <c:v>9325508814.1424084</c:v>
                </c:pt>
                <c:pt idx="64">
                  <c:v>8685542623.631834</c:v>
                </c:pt>
                <c:pt idx="65">
                  <c:v>8011298564.4327602</c:v>
                </c:pt>
                <c:pt idx="66">
                  <c:v>7305437569.8140516</c:v>
                </c:pt>
                <c:pt idx="67">
                  <c:v>6570745350.6442299</c:v>
                </c:pt>
                <c:pt idx="68">
                  <c:v>5810121401.4634228</c:v>
                </c:pt>
                <c:pt idx="69">
                  <c:v>5026567557.5030155</c:v>
                </c:pt>
                <c:pt idx="70">
                  <c:v>4223176147.8134274</c:v>
                </c:pt>
                <c:pt idx="71">
                  <c:v>3403117791.2540736</c:v>
                </c:pt>
                <c:pt idx="72">
                  <c:v>2569628883.5092697</c:v>
                </c:pt>
                <c:pt idx="73">
                  <c:v>1725998824.5130119</c:v>
                </c:pt>
                <c:pt idx="74">
                  <c:v>875557036.69026947</c:v>
                </c:pt>
                <c:pt idx="75">
                  <c:v>21659825.247671843</c:v>
                </c:pt>
                <c:pt idx="76">
                  <c:v>-832322867.6297456</c:v>
                </c:pt>
                <c:pt idx="77">
                  <c:v>-1683020762.4007764</c:v>
                </c:pt>
                <c:pt idx="78">
                  <c:v>-2527076543.1216593</c:v>
                </c:pt>
                <c:pt idx="79">
                  <c:v>-3361159107.2382946</c:v>
                </c:pt>
                <c:pt idx="80">
                  <c:v>-4181976711.9261909</c:v>
                </c:pt>
                <c:pt idx="81">
                  <c:v>-4986289965.0955391</c:v>
                </c:pt>
                <c:pt idx="82">
                  <c:v>-5770924609.791852</c:v>
                </c:pt>
                <c:pt idx="83">
                  <c:v>-6532784051.5379839</c:v>
                </c:pt>
                <c:pt idx="84">
                  <c:v>-7268861579.1778355</c:v>
                </c:pt>
                <c:pt idx="85">
                  <c:v>-7976252230.9916449</c:v>
                </c:pt>
                <c:pt idx="86">
                  <c:v>-8652164259.2527523</c:v>
                </c:pt>
                <c:pt idx="87">
                  <c:v>-9293930147.980444</c:v>
                </c:pt>
                <c:pt idx="88">
                  <c:v>-9899017140.4068565</c:v>
                </c:pt>
                <c:pt idx="89">
                  <c:v>-10465037234.610834</c:v>
                </c:pt>
                <c:pt idx="90">
                  <c:v>-10989756607.870537</c:v>
                </c:pt>
                <c:pt idx="91">
                  <c:v>-11471104432.541191</c:v>
                </c:pt>
                <c:pt idx="92">
                  <c:v>-11907181048.66571</c:v>
                </c:pt>
                <c:pt idx="93">
                  <c:v>-12296265461.064732</c:v>
                </c:pt>
                <c:pt idx="94">
                  <c:v>-12636822131.318272</c:v>
                </c:pt>
                <c:pt idx="95">
                  <c:v>-12927507037.834364</c:v>
                </c:pt>
                <c:pt idx="96">
                  <c:v>-13167172980.088301</c:v>
                </c:pt>
                <c:pt idx="97">
                  <c:v>-13354874106.098961</c:v>
                </c:pt>
                <c:pt idx="98">
                  <c:v>-13489869645.274466</c:v>
                </c:pt>
                <c:pt idx="99">
                  <c:v>-13571626831.895287</c:v>
                </c:pt>
                <c:pt idx="100" formatCode="General">
                  <c:v>-13599823007.697136</c:v>
                </c:pt>
              </c:numCache>
            </c:numRef>
          </c:xVal>
          <c:yVal>
            <c:numRef>
              <c:f>KPlot!$G$4:$G$104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 formatCode="General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EB-489F-B3A1-09BA26602FE5}"/>
            </c:ext>
          </c:extLst>
        </c:ser>
        <c:ser>
          <c:idx val="1"/>
          <c:order val="1"/>
          <c:tx>
            <c:v>Dest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KPlot!$I$4:$I$104</c:f>
              <c:numCache>
                <c:formatCode>0.00E+00</c:formatCode>
                <c:ptCount val="101"/>
                <c:pt idx="0">
                  <c:v>15514867153.114368</c:v>
                </c:pt>
                <c:pt idx="1">
                  <c:v>16442679650.331343</c:v>
                </c:pt>
                <c:pt idx="2">
                  <c:v>17301757361.658581</c:v>
                </c:pt>
                <c:pt idx="3">
                  <c:v>18088233097.935776</c:v>
                </c:pt>
                <c:pt idx="4">
                  <c:v>18798626426.658154</c:v>
                </c:pt>
                <c:pt idx="5">
                  <c:v>19429863860.077866</c:v>
                </c:pt>
                <c:pt idx="6">
                  <c:v>19979295399.289898</c:v>
                </c:pt>
                <c:pt idx="7">
                  <c:v>20444707294.927418</c:v>
                </c:pt>
                <c:pt idx="8">
                  <c:v>20824330948.100452</c:v>
                </c:pt>
                <c:pt idx="9">
                  <c:v>21116847938.329491</c:v>
                </c:pt>
                <c:pt idx="10">
                  <c:v>21321391226.824043</c:v>
                </c:pt>
                <c:pt idx="11">
                  <c:v>21437542642.006588</c:v>
                </c:pt>
                <c:pt idx="12">
                  <c:v>21465326808.313007</c:v>
                </c:pt>
                <c:pt idx="13">
                  <c:v>21405201727.836693</c:v>
                </c:pt>
                <c:pt idx="14">
                  <c:v>21258046266.381985</c:v>
                </c:pt>
                <c:pt idx="15">
                  <c:v>21025144830.261505</c:v>
                </c:pt>
                <c:pt idx="16">
                  <c:v>20708169547.279129</c:v>
                </c:pt>
                <c:pt idx="17">
                  <c:v>20309160284.610287</c:v>
                </c:pt>
                <c:pt idx="18">
                  <c:v>19830502847.792122</c:v>
                </c:pt>
                <c:pt idx="19">
                  <c:v>19274905709.055374</c:v>
                </c:pt>
                <c:pt idx="20">
                  <c:v>18645375610.247646</c:v>
                </c:pt>
                <c:pt idx="21">
                  <c:v>17945192376.250698</c:v>
                </c:pt>
                <c:pt idx="22">
                  <c:v>17177883259.836905</c:v>
                </c:pt>
                <c:pt idx="23">
                  <c:v>16347197119.183153</c:v>
                </c:pt>
                <c:pt idx="24">
                  <c:v>15457078705.643864</c:v>
                </c:pt>
                <c:pt idx="25">
                  <c:v>14511643312.778542</c:v>
                </c:pt>
                <c:pt idx="26">
                  <c:v>13515152008.903227</c:v>
                </c:pt>
                <c:pt idx="27">
                  <c:v>12471987645.427891</c:v>
                </c:pt>
                <c:pt idx="28">
                  <c:v>11386631802.715376</c:v>
                </c:pt>
                <c:pt idx="29">
                  <c:v>10263642804.83984</c:v>
                </c:pt>
                <c:pt idx="30">
                  <c:v>9107634905.0339127</c:v>
                </c:pt>
                <c:pt idx="31">
                  <c:v>7923258715.2884645</c:v>
                </c:pt>
                <c:pt idx="32">
                  <c:v>6715182926.9187508</c:v>
                </c:pt>
                <c:pt idx="33">
                  <c:v>5488077344.239871</c:v>
                </c:pt>
                <c:pt idx="34">
                  <c:v>4246597231.0276246</c:v>
                </c:pt>
                <c:pt idx="35">
                  <c:v>2995368949.3147035</c:v>
                </c:pt>
                <c:pt idx="36">
                  <c:v>1738976852.358906</c:v>
                </c:pt>
                <c:pt idx="37">
                  <c:v>481951378.31774145</c:v>
                </c:pt>
                <c:pt idx="38">
                  <c:v>-771241721.76590824</c:v>
                </c:pt>
                <c:pt idx="39">
                  <c:v>-2016211098.7133827</c:v>
                </c:pt>
                <c:pt idx="40">
                  <c:v>-3248648548.2306156</c:v>
                </c:pt>
                <c:pt idx="41">
                  <c:v>-4464336874.1997585</c:v>
                </c:pt>
                <c:pt idx="42">
                  <c:v>-5659156968.8458471</c:v>
                </c:pt>
                <c:pt idx="43">
                  <c:v>-6829094209.2732048</c:v>
                </c:pt>
                <c:pt idx="44">
                  <c:v>-7970244271.2162924</c:v>
                </c:pt>
                <c:pt idx="45">
                  <c:v>-9078818460.804306</c:v>
                </c:pt>
                <c:pt idx="46">
                  <c:v>-10151148663.849613</c:v>
                </c:pt>
                <c:pt idx="47">
                  <c:v>-11183692009.763231</c:v>
                </c:pt>
                <c:pt idx="48">
                  <c:v>-12173035343.798763</c:v>
                </c:pt>
                <c:pt idx="49">
                  <c:v>-13115899597.023386</c:v>
                </c:pt>
                <c:pt idx="50">
                  <c:v>-14009144138.299789</c:v>
                </c:pt>
                <c:pt idx="51">
                  <c:v>-14849771186.695179</c:v>
                </c:pt>
                <c:pt idx="52">
                  <c:v>-15634930356.167444</c:v>
                </c:pt>
                <c:pt idx="53">
                  <c:v>-16361923397.150747</c:v>
                </c:pt>
                <c:pt idx="54">
                  <c:v>-17028209191.774885</c:v>
                </c:pt>
                <c:pt idx="55" formatCode="General">
                  <c:v>-17631409050.947777</c:v>
                </c:pt>
                <c:pt idx="56">
                  <c:v>-18169312352.371212</c:v>
                </c:pt>
                <c:pt idx="57">
                  <c:v>-18639882548.769592</c:v>
                </c:pt>
                <c:pt idx="58">
                  <c:v>-19041263565.167103</c:v>
                </c:pt>
                <c:pt idx="59">
                  <c:v>-19371786592.948757</c:v>
                </c:pt>
                <c:pt idx="60">
                  <c:v>-19629977276.684589</c:v>
                </c:pt>
                <c:pt idx="61">
                  <c:v>-19814563277.289944</c:v>
                </c:pt>
                <c:pt idx="62">
                  <c:v>-19924482182.062538</c:v>
                </c:pt>
                <c:pt idx="63">
                  <c:v>-19958889718.518131</c:v>
                </c:pt>
                <c:pt idx="64">
                  <c:v>-19917168214.805519</c:v>
                </c:pt>
                <c:pt idx="65">
                  <c:v>-19798935234.909176</c:v>
                </c:pt>
                <c:pt idx="66">
                  <c:v>-19604052301.966671</c:v>
                </c:pt>
                <c:pt idx="67">
                  <c:v>-19332633607.99651</c:v>
                </c:pt>
                <c:pt idx="68">
                  <c:v>-18985054593.34753</c:v>
                </c:pt>
                <c:pt idx="69">
                  <c:v>-18561960264.479992</c:v>
                </c:pt>
                <c:pt idx="70">
                  <c:v>-18064273104.552654</c:v>
                </c:pt>
                <c:pt idx="71">
                  <c:v>-17493200418.038353</c:v>
                </c:pt>
                <c:pt idx="72">
                  <c:v>-16850240938.585722</c:v>
                </c:pt>
                <c:pt idx="73">
                  <c:v>-16137190518.982206</c:v>
                </c:pt>
                <c:pt idx="74">
                  <c:v>-15356146713.776785</c:v>
                </c:pt>
                <c:pt idx="75">
                  <c:v>-14509512059.337996</c:v>
                </c:pt>
                <c:pt idx="76">
                  <c:v>-13599995853.305334</c:v>
                </c:pt>
                <c:pt idx="77">
                  <c:v>-12630614235.987307</c:v>
                </c:pt>
                <c:pt idx="78">
                  <c:v>-11604688380.697662</c:v>
                </c:pt>
                <c:pt idx="79">
                  <c:v>-10525840608.681004</c:v>
                </c:pt>
                <c:pt idx="80">
                  <c:v>-9397988257.4928093</c:v>
                </c:pt>
                <c:pt idx="81">
                  <c:v>-8225335149.7002907</c:v>
                </c:pt>
                <c:pt idx="82">
                  <c:v>-7012360531.7027569</c:v>
                </c:pt>
                <c:pt idx="83">
                  <c:v>-5763805380.3428049</c:v>
                </c:pt>
                <c:pt idx="84">
                  <c:v>-4484656007.6600409</c:v>
                </c:pt>
                <c:pt idx="85">
                  <c:v>-3180124931.3391738</c:v>
                </c:pt>
                <c:pt idx="86">
                  <c:v>-1855629019.6600506</c:v>
                </c:pt>
                <c:pt idx="87">
                  <c:v>-516764964.43103904</c:v>
                </c:pt>
                <c:pt idx="88">
                  <c:v>830717817.3268919</c:v>
                </c:pt>
                <c:pt idx="89">
                  <c:v>2180946703.2573595</c:v>
                </c:pt>
                <c:pt idx="90">
                  <c:v>3527957607.9800596</c:v>
                </c:pt>
                <c:pt idx="91">
                  <c:v>4865728699.9859829</c:v>
                </c:pt>
                <c:pt idx="92">
                  <c:v>6188215798.5765905</c:v>
                </c:pt>
                <c:pt idx="93">
                  <c:v>7489389113.0106964</c:v>
                </c:pt>
                <c:pt idx="94">
                  <c:v>8763270947.4603348</c:v>
                </c:pt>
                <c:pt idx="95">
                  <c:v>10003973962.843672</c:v>
                </c:pt>
                <c:pt idx="96">
                  <c:v>11205739561.259283</c:v>
                </c:pt>
                <c:pt idx="97">
                  <c:v>12362975941.602037</c:v>
                </c:pt>
                <c:pt idx="98">
                  <c:v>13470295366.780109</c:v>
                </c:pt>
                <c:pt idx="99">
                  <c:v>14522550184.303152</c:v>
                </c:pt>
                <c:pt idx="100" formatCode="General">
                  <c:v>15514867153.113949</c:v>
                </c:pt>
              </c:numCache>
            </c:numRef>
          </c:xVal>
          <c:yVal>
            <c:numRef>
              <c:f>KPlot!$K$4:$K$104</c:f>
              <c:numCache>
                <c:formatCode>0.00E+00</c:formatCode>
                <c:ptCount val="101"/>
                <c:pt idx="0">
                  <c:v>32847.339609958261</c:v>
                </c:pt>
                <c:pt idx="1">
                  <c:v>-1399407.5769721856</c:v>
                </c:pt>
                <c:pt idx="2">
                  <c:v>-2825252.4814099032</c:v>
                </c:pt>
                <c:pt idx="3">
                  <c:v>-4238168.0119404523</c:v>
                </c:pt>
                <c:pt idx="4">
                  <c:v>-5631717.5920958845</c:v>
                </c:pt>
                <c:pt idx="5">
                  <c:v>-6999588.0891197426</c:v>
                </c:pt>
                <c:pt idx="6">
                  <c:v>-8335629.0304769883</c:v>
                </c:pt>
                <c:pt idx="7">
                  <c:v>-9633889.9408782553</c:v>
                </c:pt>
                <c:pt idx="8">
                  <c:v>-10888655.400680959</c:v>
                </c:pt>
                <c:pt idx="9">
                  <c:v>-12094477.472338537</c:v>
                </c:pt>
                <c:pt idx="10">
                  <c:v>-13246205.193363931</c:v>
                </c:pt>
                <c:pt idx="11">
                  <c:v>-14339010.890522907</c:v>
                </c:pt>
                <c:pt idx="12">
                  <c:v>-15368413.129076147</c:v>
                </c:pt>
                <c:pt idx="13">
                  <c:v>-16330296.171223613</c:v>
                </c:pt>
                <c:pt idx="14">
                  <c:v>-17220925.877898701</c:v>
                </c:pt>
                <c:pt idx="15">
                  <c:v>-18036962.046237104</c:v>
                </c:pt>
                <c:pt idx="16">
                  <c:v>-18775467.230079688</c:v>
                </c:pt>
                <c:pt idx="17">
                  <c:v>-19433912.141613241</c:v>
                </c:pt>
                <c:pt idx="18">
                  <c:v>-20010177.777773138</c:v>
                </c:pt>
                <c:pt idx="19">
                  <c:v>-20502554.454617117</c:v>
                </c:pt>
                <c:pt idx="20">
                  <c:v>-20909737.966047361</c:v>
                </c:pt>
                <c:pt idx="21">
                  <c:v>-21230823.109751876</c:v>
                </c:pt>
                <c:pt idx="22">
                  <c:v>-21465294.843011424</c:v>
                </c:pt>
                <c:pt idx="23">
                  <c:v>-21613017.344216447</c:v>
                </c:pt>
                <c:pt idx="24">
                  <c:v>-21674221.262872137</c:v>
                </c:pt>
                <c:pt idx="25">
                  <c:v>-21649489.441981576</c:v>
                </c:pt>
                <c:pt idx="26">
                  <c:v>-21539741.392539609</c:v>
                </c:pt>
                <c:pt idx="27">
                  <c:v>-21346216.791068576</c:v>
                </c:pt>
                <c:pt idx="28">
                  <c:v>-21070458.258353278</c:v>
                </c:pt>
                <c:pt idx="29">
                  <c:v>-20714293.661476709</c:v>
                </c:pt>
                <c:pt idx="30">
                  <c:v>-20279818.16260618</c:v>
                </c:pt>
                <c:pt idx="31">
                  <c:v>-19769376.217391089</c:v>
                </c:pt>
                <c:pt idx="32">
                  <c:v>-19185543.703928892</c:v>
                </c:pt>
                <c:pt idx="33">
                  <c:v>-18531110.340600263</c:v>
                </c:pt>
                <c:pt idx="34">
                  <c:v>-17809062.528172385</c:v>
                </c:pt>
                <c:pt idx="35">
                  <c:v>-17022566.728856862</c:v>
                </c:pt>
                <c:pt idx="36">
                  <c:v>-16174953.472857704</c:v>
                </c:pt>
                <c:pt idx="37">
                  <c:v>-15269702.061651379</c:v>
                </c:pt>
                <c:pt idx="38">
                  <c:v>-14310426.01704629</c:v>
                </c:pt>
                <c:pt idx="39">
                  <c:v>-13300859.306145513</c:v>
                </c:pt>
                <c:pt idx="40">
                  <c:v>-12244843.354806313</c:v>
                </c:pt>
                <c:pt idx="41">
                  <c:v>-11146314.846129842</c:v>
                </c:pt>
                <c:pt idx="42">
                  <c:v>-10009294.285950942</c:v>
                </c:pt>
                <c:pt idx="43">
                  <c:v>-8837875.3042397201</c:v>
                </c:pt>
                <c:pt idx="44">
                  <c:v>-7636214.6497376477</c:v>
                </c:pt>
                <c:pt idx="45">
                  <c:v>-6408522.8249924313</c:v>
                </c:pt>
                <c:pt idx="46">
                  <c:v>-5159055.3001620919</c:v>
                </c:pt>
                <c:pt idx="47">
                  <c:v>-3892104.2364678178</c:v>
                </c:pt>
                <c:pt idx="48">
                  <c:v>-2611990.6439107163</c:v>
                </c:pt>
                <c:pt idx="49">
                  <c:v>-1323056.8927681819</c:v>
                </c:pt>
                <c:pt idx="50">
                  <c:v>-29659.494381808956</c:v>
                </c:pt>
                <c:pt idx="51">
                  <c:v>1263837.9362055291</c:v>
                </c:pt>
                <c:pt idx="52">
                  <c:v>2553071.6251586382</c:v>
                </c:pt>
                <c:pt idx="53">
                  <c:v>3833684.5826880145</c:v>
                </c:pt>
                <c:pt idx="54">
                  <c:v>5101333.6342071341</c:v>
                </c:pt>
                <c:pt idx="55">
                  <c:v>6351696.6292792149</c:v>
                </c:pt>
                <c:pt idx="56">
                  <c:v>7580479.9159038886</c:v>
                </c:pt>
                <c:pt idx="57">
                  <c:v>8783426.1647901628</c:v>
                </c:pt>
                <c:pt idx="58">
                  <c:v>9956322.6243077405</c:v>
                </c:pt>
                <c:pt idx="59">
                  <c:v>11095009.881758934</c:v>
                </c:pt>
                <c:pt idx="60">
                  <c:v>12195391.200406468</c:v>
                </c:pt>
                <c:pt idx="61">
                  <c:v>13253442.494256863</c:v>
                </c:pt>
                <c:pt idx="62">
                  <c:v>14265222.99386861</c:v>
                </c:pt>
                <c:pt idx="63">
                  <c:v>15226886.646357674</c:v>
                </c:pt>
                <c:pt idx="64">
                  <c:v>16134694.281252921</c:v>
                </c:pt>
                <c:pt idx="65">
                  <c:v>16985026.560861941</c:v>
                </c:pt>
                <c:pt idx="66">
                  <c:v>17774397.719314732</c:v>
                </c:pt>
                <c:pt idx="67">
                  <c:v>18499470.078460269</c:v>
                </c:pt>
                <c:pt idx="68">
                  <c:v>19157069.311326426</c:v>
                </c:pt>
                <c:pt idx="69">
                  <c:v>19744200.404993255</c:v>
                </c:pt>
                <c:pt idx="70">
                  <c:v>20258064.254587244</c:v>
                </c:pt>
                <c:pt idx="71">
                  <c:v>20696074.79885947</c:v>
                </c:pt>
                <c:pt idx="72">
                  <c:v>21055876.585690297</c:v>
                </c:pt>
                <c:pt idx="73">
                  <c:v>21335362.633170083</c:v>
                </c:pt>
                <c:pt idx="74">
                  <c:v>21532692.429003093</c:v>
                </c:pt>
                <c:pt idx="75">
                  <c:v>21646309.888304077</c:v>
                </c:pt>
                <c:pt idx="76">
                  <c:v>21674961.067905713</c:v>
                </c:pt>
                <c:pt idx="77">
                  <c:v>21617711.4146339</c:v>
                </c:pt>
                <c:pt idx="78">
                  <c:v>21473962.306252472</c:v>
                </c:pt>
                <c:pt idx="79">
                  <c:v>21243466.627589408</c:v>
                </c:pt>
                <c:pt idx="80">
                  <c:v>20926343.111417316</c:v>
                </c:pt>
                <c:pt idx="81">
                  <c:v>20523089.164662372</c:v>
                </c:pt>
                <c:pt idx="82">
                  <c:v>20034591.89613153</c:v>
                </c:pt>
                <c:pt idx="83">
                  <c:v>19462137.062805839</c:v>
                </c:pt>
                <c:pt idx="84">
                  <c:v>18807415.658402894</c:v>
                </c:pt>
                <c:pt idx="85">
                  <c:v>18072527.880815849</c:v>
                </c:pt>
                <c:pt idx="86">
                  <c:v>17259984.234504811</c:v>
                </c:pt>
                <c:pt idx="87">
                  <c:v>16372703.550101861</c:v>
                </c:pt>
                <c:pt idx="88">
                  <c:v>15414007.736357385</c:v>
                </c:pt>
                <c:pt idx="89">
                  <c:v>14387613.118855063</c:v>
                </c:pt>
                <c:pt idx="90">
                  <c:v>13297618.265184235</c:v>
                </c:pt>
                <c:pt idx="91">
                  <c:v>12148488.246783076</c:v>
                </c:pt>
                <c:pt idx="92">
                  <c:v>10945035.342527136</c:v>
                </c:pt>
                <c:pt idx="93">
                  <c:v>9692396.2471979503</c:v>
                </c:pt>
                <c:pt idx="94">
                  <c:v>8396005.9079101682</c:v>
                </c:pt>
                <c:pt idx="95">
                  <c:v>7061568.1719267229</c:v>
                </c:pt>
                <c:pt idx="96">
                  <c:v>5695023.4884876199</c:v>
                </c:pt>
                <c:pt idx="97">
                  <c:v>4302513.9636941338</c:v>
                </c:pt>
                <c:pt idx="98">
                  <c:v>2890346.1195215755</c:v>
                </c:pt>
                <c:pt idx="99">
                  <c:v>1464951.754150159</c:v>
                </c:pt>
                <c:pt idx="100" formatCode="General">
                  <c:v>32847.339610586336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EB-489F-B3A1-09BA26602FE5}"/>
            </c:ext>
          </c:extLst>
        </c:ser>
        <c:ser>
          <c:idx val="2"/>
          <c:order val="2"/>
          <c:tx>
            <c:v>Launch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KPlot!$AG$4:$AG$5</c:f>
              <c:numCache>
                <c:formatCode>0.00E+00</c:formatCode>
                <c:ptCount val="2"/>
                <c:pt idx="0">
                  <c:v>0</c:v>
                </c:pt>
                <c:pt idx="1">
                  <c:v>13432568922.398336</c:v>
                </c:pt>
              </c:numCache>
            </c:numRef>
          </c:xVal>
          <c:yVal>
            <c:numRef>
              <c:f>KPlot!$AI$4:$AI$5</c:f>
              <c:numCache>
                <c:formatCode>0.00E+00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EB-489F-B3A1-09BA26602FE5}"/>
            </c:ext>
          </c:extLst>
        </c:ser>
        <c:ser>
          <c:idx val="3"/>
          <c:order val="3"/>
          <c:tx>
            <c:v>Intercept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KPlot!$AG$9:$AG$10</c:f>
              <c:numCache>
                <c:formatCode>0.00E+00</c:formatCode>
                <c:ptCount val="2"/>
                <c:pt idx="0">
                  <c:v>0</c:v>
                </c:pt>
                <c:pt idx="1">
                  <c:v>-19940995548.660805</c:v>
                </c:pt>
              </c:numCache>
            </c:numRef>
          </c:xVal>
          <c:yVal>
            <c:numRef>
              <c:f>KPlot!$AI$9:$AI$10</c:f>
              <c:numCache>
                <c:formatCode>0.00E+00</c:formatCode>
                <c:ptCount val="2"/>
                <c:pt idx="0">
                  <c:v>0</c:v>
                </c:pt>
                <c:pt idx="1">
                  <c:v>15814175.674115183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EB-489F-B3A1-09BA26602FE5}"/>
            </c:ext>
          </c:extLst>
        </c:ser>
        <c:ser>
          <c:idx val="6"/>
          <c:order val="4"/>
          <c:tx>
            <c:v>Direct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KPlot!$M$4:$M$104</c:f>
              <c:numCache>
                <c:formatCode>0.00E+00</c:formatCode>
                <c:ptCount val="101"/>
                <c:pt idx="0">
                  <c:v>13432568922.398344</c:v>
                </c:pt>
                <c:pt idx="1">
                  <c:v>13356801492.884474</c:v>
                </c:pt>
                <c:pt idx="2">
                  <c:v>13270558268.401222</c:v>
                </c:pt>
                <c:pt idx="3">
                  <c:v>13173886483.206926</c:v>
                </c:pt>
                <c:pt idx="4">
                  <c:v>13066833657.932123</c:v>
                </c:pt>
                <c:pt idx="5">
                  <c:v>12949447652.824255</c:v>
                </c:pt>
                <c:pt idx="6">
                  <c:v>12821776734.688307</c:v>
                </c:pt>
                <c:pt idx="7">
                  <c:v>12683869657.472351</c:v>
                </c:pt>
                <c:pt idx="8">
                  <c:v>12535775756.470753</c:v>
                </c:pt>
                <c:pt idx="9">
                  <c:v>12377545056.139961</c:v>
                </c:pt>
                <c:pt idx="10">
                  <c:v>12209228391.542755</c:v>
                </c:pt>
                <c:pt idx="11">
                  <c:v>12030877543.45624</c:v>
                </c:pt>
                <c:pt idx="12">
                  <c:v>11842545387.196371</c:v>
                </c:pt>
                <c:pt idx="13">
                  <c:v>11644286055.227709</c:v>
                </c:pt>
                <c:pt idx="14">
                  <c:v>11436155113.640463</c:v>
                </c:pt>
                <c:pt idx="15">
                  <c:v>11218209752.587954</c:v>
                </c:pt>
                <c:pt idx="16">
                  <c:v>10990508990.786161</c:v>
                </c:pt>
                <c:pt idx="17">
                  <c:v>10753113894.182434</c:v>
                </c:pt>
                <c:pt idx="18">
                  <c:v>10506087808.902443</c:v>
                </c:pt>
                <c:pt idx="19">
                  <c:v>10249496608.584282</c:v>
                </c:pt>
                <c:pt idx="20">
                  <c:v>9983408956.2008266</c:v>
                </c:pt>
                <c:pt idx="21">
                  <c:v>9707896580.4660778</c:v>
                </c:pt>
                <c:pt idx="22">
                  <c:v>9423034566.9035378</c:v>
                </c:pt>
                <c:pt idx="23">
                  <c:v>9128901663.6383572</c:v>
                </c:pt>
                <c:pt idx="24">
                  <c:v>8825580601.9494209</c:v>
                </c:pt>
                <c:pt idx="25">
                  <c:v>8513158431.5885649</c:v>
                </c:pt>
                <c:pt idx="26">
                  <c:v>8191726870.8373461</c:v>
                </c:pt>
                <c:pt idx="27">
                  <c:v>7861382671.2293987</c:v>
                </c:pt>
                <c:pt idx="28">
                  <c:v>7522227996.816349</c:v>
                </c:pt>
                <c:pt idx="29">
                  <c:v>7174370817.79813</c:v>
                </c:pt>
                <c:pt idx="30">
                  <c:v>6817925318.2725945</c:v>
                </c:pt>
                <c:pt idx="31">
                  <c:v>6453012317.7856865</c:v>
                </c:pt>
                <c:pt idx="32">
                  <c:v>6079759706.2800703</c:v>
                </c:pt>
                <c:pt idx="33">
                  <c:v>5698302891.9475765</c:v>
                </c:pt>
                <c:pt idx="34">
                  <c:v>5308785261.3885927</c:v>
                </c:pt>
                <c:pt idx="35">
                  <c:v>4911358651.3679342</c:v>
                </c:pt>
                <c:pt idx="36">
                  <c:v>4506183831.333683</c:v>
                </c:pt>
                <c:pt idx="37">
                  <c:v>4093430995.7303009</c:v>
                </c:pt>
                <c:pt idx="38">
                  <c:v>3673280264.9911213</c:v>
                </c:pt>
                <c:pt idx="39">
                  <c:v>3245922193.9373102</c:v>
                </c:pt>
                <c:pt idx="40">
                  <c:v>2811558286.1411452</c:v>
                </c:pt>
                <c:pt idx="41">
                  <c:v>2370401512.6295877</c:v>
                </c:pt>
                <c:pt idx="42">
                  <c:v>1922676833.1112399</c:v>
                </c:pt>
                <c:pt idx="43">
                  <c:v>1468621717.7053781</c:v>
                </c:pt>
                <c:pt idx="44">
                  <c:v>1008486666.9361219</c:v>
                </c:pt>
                <c:pt idx="45">
                  <c:v>542535727.52901328</c:v>
                </c:pt>
                <c:pt idx="46">
                  <c:v>71047001.311425611</c:v>
                </c:pt>
                <c:pt idx="47">
                  <c:v>-405686855.7248866</c:v>
                </c:pt>
                <c:pt idx="48">
                  <c:v>-887358147.39318919</c:v>
                </c:pt>
                <c:pt idx="49">
                  <c:v>-1373643667.7631311</c:v>
                </c:pt>
                <c:pt idx="50">
                  <c:v>-1864204251.8053486</c:v>
                </c:pt>
                <c:pt idx="51">
                  <c:v>-2358684350.2020526</c:v>
                </c:pt>
                <c:pt idx="52">
                  <c:v>-2856711632.5579329</c:v>
                </c:pt>
                <c:pt idx="53">
                  <c:v>-3357896623.5028062</c:v>
                </c:pt>
                <c:pt idx="54">
                  <c:v>-3861832376.4262714</c:v>
                </c:pt>
                <c:pt idx="55">
                  <c:v>-4368094189.8244991</c:v>
                </c:pt>
                <c:pt idx="56">
                  <c:v>-4876239371.4615726</c:v>
                </c:pt>
                <c:pt idx="57">
                  <c:v>-5385807055.7527905</c:v>
                </c:pt>
                <c:pt idx="58">
                  <c:v>-5896318079.9554882</c:v>
                </c:pt>
                <c:pt idx="59">
                  <c:v>-6407274924.9034033</c:v>
                </c:pt>
                <c:pt idx="60">
                  <c:v>-6918161726.1342754</c:v>
                </c:pt>
                <c:pt idx="61">
                  <c:v>-7428444361.3335438</c:v>
                </c:pt>
                <c:pt idx="62">
                  <c:v>-7937570620.0431976</c:v>
                </c:pt>
                <c:pt idx="63">
                  <c:v>-8444970461.556901</c:v>
                </c:pt>
                <c:pt idx="64">
                  <c:v>-8950056366.8347034</c:v>
                </c:pt>
                <c:pt idx="65">
                  <c:v>-9452223790.1194954</c:v>
                </c:pt>
                <c:pt idx="66">
                  <c:v>-9950851715.7088375</c:v>
                </c:pt>
                <c:pt idx="67">
                  <c:v>-10445303325.037218</c:v>
                </c:pt>
                <c:pt idx="68">
                  <c:v>-10934926778.831394</c:v>
                </c:pt>
                <c:pt idx="69">
                  <c:v>-11419056118.634655</c:v>
                </c:pt>
                <c:pt idx="70">
                  <c:v>-11897012291.423313</c:v>
                </c:pt>
                <c:pt idx="71">
                  <c:v>-12368104300.381405</c:v>
                </c:pt>
                <c:pt idx="72">
                  <c:v>-12831630484.140024</c:v>
                </c:pt>
                <c:pt idx="73">
                  <c:v>-13286879925.932753</c:v>
                </c:pt>
                <c:pt idx="74">
                  <c:v>-13733133993.166412</c:v>
                </c:pt>
                <c:pt idx="75">
                  <c:v>-14169668006.860428</c:v>
                </c:pt>
                <c:pt idx="76">
                  <c:v>-14595753039.272867</c:v>
                </c:pt>
                <c:pt idx="77">
                  <c:v>-15010657836.813065</c:v>
                </c:pt>
                <c:pt idx="78">
                  <c:v>-15413650864.047983</c:v>
                </c:pt>
                <c:pt idx="79">
                  <c:v>-15804002463.253075</c:v>
                </c:pt>
                <c:pt idx="80">
                  <c:v>-16180987122.55271</c:v>
                </c:pt>
                <c:pt idx="81">
                  <c:v>-16543885844.251961</c:v>
                </c:pt>
                <c:pt idx="82">
                  <c:v>-16891988603.502747</c:v>
                </c:pt>
                <c:pt idx="83">
                  <c:v>-17224596885.987602</c:v>
                </c:pt>
                <c:pt idx="84">
                  <c:v>-17541026291.869186</c:v>
                </c:pt>
                <c:pt idx="85">
                  <c:v>-17840609191.861683</c:v>
                </c:pt>
                <c:pt idx="86">
                  <c:v>-18122697419.958248</c:v>
                </c:pt>
                <c:pt idx="87">
                  <c:v>-18386664986.120544</c:v>
                </c:pt>
                <c:pt idx="88">
                  <c:v>-18631910791.125671</c:v>
                </c:pt>
                <c:pt idx="89">
                  <c:v>-18857861324.799107</c:v>
                </c:pt>
                <c:pt idx="90">
                  <c:v>-19063973328.063385</c:v>
                </c:pt>
                <c:pt idx="91">
                  <c:v>-19249736398.621773</c:v>
                </c:pt>
                <c:pt idx="92">
                  <c:v>-19414675519.698532</c:v>
                </c:pt>
                <c:pt idx="93">
                  <c:v>-19558353491.08696</c:v>
                </c:pt>
                <c:pt idx="94">
                  <c:v>-19680373241.831036</c:v>
                </c:pt>
                <c:pt idx="95">
                  <c:v>-19780380004.196896</c:v>
                </c:pt>
                <c:pt idx="96">
                  <c:v>-19858063329.182117</c:v>
                </c:pt>
                <c:pt idx="97">
                  <c:v>-19913158924.670109</c:v>
                </c:pt>
                <c:pt idx="98">
                  <c:v>-19945450298.458069</c:v>
                </c:pt>
                <c:pt idx="99">
                  <c:v>-19954770189.764889</c:v>
                </c:pt>
                <c:pt idx="100" formatCode="General">
                  <c:v>-19941001774.447273</c:v>
                </c:pt>
              </c:numCache>
            </c:numRef>
          </c:xVal>
          <c:yVal>
            <c:numRef>
              <c:f>KPlot!$O$4:$O$104</c:f>
              <c:numCache>
                <c:formatCode>0.00E+00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3EB-489F-B3A1-09BA26602FE5}"/>
            </c:ext>
          </c:extLst>
        </c:ser>
        <c:ser>
          <c:idx val="7"/>
          <c:order val="5"/>
          <c:tx>
            <c:v>90 Deg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KPlot!$U$4:$U$104</c:f>
              <c:numCache>
                <c:formatCode>0.00E+00</c:formatCode>
                <c:ptCount val="101"/>
              </c:numCache>
            </c:numRef>
          </c:xVal>
          <c:yVal>
            <c:numRef>
              <c:f>KPlot!$W$4:$W$104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3EB-489F-B3A1-09BA26602FE5}"/>
            </c:ext>
          </c:extLst>
        </c:ser>
        <c:ser>
          <c:idx val="4"/>
          <c:order val="6"/>
          <c:tx>
            <c:strRef>
              <c:f>KPlot!$Q$2</c:f>
              <c:strCache>
                <c:ptCount val="1"/>
                <c:pt idx="0">
                  <c:v>In-Plane Transfer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KPlot!$Q$4:$Q$104</c:f>
              <c:numCache>
                <c:formatCode>0.00E+00</c:formatCode>
                <c:ptCount val="101"/>
              </c:numCache>
            </c:numRef>
          </c:xVal>
          <c:yVal>
            <c:numRef>
              <c:f>KPlot!$S$4:$S$104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06-46A9-A995-CCE904F2B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24095"/>
        <c:axId val="186526751"/>
      </c:scatterChart>
      <c:valAx>
        <c:axId val="30392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26751"/>
        <c:crosses val="autoZero"/>
        <c:crossBetween val="midCat"/>
      </c:valAx>
      <c:valAx>
        <c:axId val="18652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2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Δ</a:t>
            </a:r>
            <a:r>
              <a:rPr lang="en-US"/>
              <a:t>v (total) for Plane</a:t>
            </a:r>
            <a:r>
              <a:rPr lang="en-US" baseline="0"/>
              <a:t> Change Type</a:t>
            </a:r>
            <a:endParaRPr lang="en-US"/>
          </a:p>
        </c:rich>
      </c:tx>
      <c:layout>
        <c:manualLayout>
          <c:xMode val="edge"/>
          <c:yMode val="edge"/>
          <c:x val="0.16419006586440846"/>
          <c:y val="5.43109184617779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Transfer Delta V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KPlot!$AK$3:$AK$6</c:f>
              <c:strCache>
                <c:ptCount val="4"/>
                <c:pt idx="0">
                  <c:v>Direct</c:v>
                </c:pt>
                <c:pt idx="1">
                  <c:v>90°</c:v>
                </c:pt>
                <c:pt idx="2">
                  <c:v>AN</c:v>
                </c:pt>
                <c:pt idx="3">
                  <c:v>DN</c:v>
                </c:pt>
              </c:strCache>
            </c:strRef>
          </c:cat>
          <c:val>
            <c:numRef>
              <c:f>KPlot!$AO$3:$AO$6</c:f>
              <c:numCache>
                <c:formatCode>0.0</c:formatCode>
                <c:ptCount val="4"/>
                <c:pt idx="0">
                  <c:v>1698.8383813909313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E-45BA-9BFC-A736E15AE40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Optimum Transfer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KPlot!$AK$7</c:f>
              <c:strCache>
                <c:ptCount val="1"/>
                <c:pt idx="0">
                  <c:v>Optimum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KPlot!$AL$2:$AO$2</c:f>
              <c:strCache>
                <c:ptCount val="4"/>
                <c:pt idx="0">
                  <c:v>Vi</c:v>
                </c:pt>
                <c:pt idx="1">
                  <c:v>Vp</c:v>
                </c:pt>
                <c:pt idx="2">
                  <c:v>Vc</c:v>
                </c:pt>
                <c:pt idx="3">
                  <c:v>Vt</c:v>
                </c:pt>
              </c:strCache>
            </c:strRef>
          </c:cat>
          <c:val>
            <c:numRef>
              <c:f>KPlot!$AL$7:$AO$7</c:f>
              <c:numCache>
                <c:formatCode>0.0</c:formatCode>
                <c:ptCount val="4"/>
                <c:pt idx="0">
                  <c:v>1050.7518871050206</c:v>
                </c:pt>
                <c:pt idx="1">
                  <c:v>0</c:v>
                </c:pt>
                <c:pt idx="2">
                  <c:v>648.0864942859107</c:v>
                </c:pt>
                <c:pt idx="3">
                  <c:v>1698.8383813909313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B-49F4-A209-99FCED77AF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82524224"/>
        <c:axId val="1427482992"/>
      </c:barChart>
      <c:catAx>
        <c:axId val="13825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82992"/>
        <c:crosses val="autoZero"/>
        <c:auto val="1"/>
        <c:lblAlgn val="ctr"/>
        <c:lblOffset val="100"/>
        <c:noMultiLvlLbl val="0"/>
      </c:catAx>
      <c:valAx>
        <c:axId val="14274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Launch Window Plot (</a:t>
            </a:r>
            <a:r>
              <a:rPr lang="el-GR"/>
              <a:t>Δ</a:t>
            </a:r>
            <a:r>
              <a:rPr lang="en-US"/>
              <a:t>v [m/s])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1471801925722145E-2"/>
          <c:y val="0.17171296296296298"/>
          <c:w val="0.85162971547401145"/>
          <c:h val="0.62361876640419944"/>
        </c:manualLayout>
      </c:layout>
      <c:surfaceChart>
        <c:wireframe val="1"/>
        <c:ser>
          <c:idx val="0"/>
          <c:order val="0"/>
          <c:tx>
            <c:strRef>
              <c:f>KPlot!$EP$3</c:f>
              <c:strCache>
                <c:ptCount val="1"/>
                <c:pt idx="0">
                  <c:v>0y 86d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KPlot!$AT$3:$EO$3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3-41DD-A637-A280AECB4BFA}"/>
            </c:ext>
          </c:extLst>
        </c:ser>
        <c:ser>
          <c:idx val="1"/>
          <c:order val="1"/>
          <c:tx>
            <c:strRef>
              <c:f>KPlot!$EP$4</c:f>
              <c:strCache>
                <c:ptCount val="1"/>
                <c:pt idx="0">
                  <c:v>0y 95d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KPlot!$AT$4:$EO$4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3-41DD-A637-A280AECB4BFA}"/>
            </c:ext>
          </c:extLst>
        </c:ser>
        <c:ser>
          <c:idx val="2"/>
          <c:order val="2"/>
          <c:tx>
            <c:strRef>
              <c:f>KPlot!$EP$5</c:f>
              <c:strCache>
                <c:ptCount val="1"/>
                <c:pt idx="0">
                  <c:v>0y 103d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KPlot!$AT$5:$EO$5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3936.6549461449549</c:v>
                </c:pt>
                <c:pt idx="34">
                  <c:v>3871.1863248286654</c:v>
                </c:pt>
                <c:pt idx="35">
                  <c:v>3898.3091078952311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93-41DD-A637-A280AECB4BFA}"/>
            </c:ext>
          </c:extLst>
        </c:ser>
        <c:ser>
          <c:idx val="3"/>
          <c:order val="3"/>
          <c:tx>
            <c:strRef>
              <c:f>KPlot!$EP$6</c:f>
              <c:strCache>
                <c:ptCount val="1"/>
                <c:pt idx="0">
                  <c:v>0y 111d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KPlot!$AT$6:$EO$6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3867.8243070221811</c:v>
                </c:pt>
                <c:pt idx="32">
                  <c:v>3677.7619035469779</c:v>
                </c:pt>
                <c:pt idx="33">
                  <c:v>3564.3699394485207</c:v>
                </c:pt>
                <c:pt idx="34">
                  <c:v>3532.3214236227623</c:v>
                </c:pt>
                <c:pt idx="35">
                  <c:v>3585.8809936956313</c:v>
                </c:pt>
                <c:pt idx="36">
                  <c:v>3728.3250176051497</c:v>
                </c:pt>
                <c:pt idx="37">
                  <c:v>3960.743654730687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93-41DD-A637-A280AECB4BFA}"/>
            </c:ext>
          </c:extLst>
        </c:ser>
        <c:ser>
          <c:idx val="4"/>
          <c:order val="4"/>
          <c:tx>
            <c:strRef>
              <c:f>KPlot!$EP$7</c:f>
              <c:strCache>
                <c:ptCount val="1"/>
                <c:pt idx="0">
                  <c:v>0y 119d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KPlot!$AT$7:$EO$7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3980.9701735215622</c:v>
                </c:pt>
                <c:pt idx="30">
                  <c:v>3704.5856858417228</c:v>
                </c:pt>
                <c:pt idx="31">
                  <c:v>3488.7934297085403</c:v>
                </c:pt>
                <c:pt idx="32">
                  <c:v>3338.8943755275309</c:v>
                </c:pt>
                <c:pt idx="33">
                  <c:v>3259.8396199256213</c:v>
                </c:pt>
                <c:pt idx="34">
                  <c:v>3256.321631723923</c:v>
                </c:pt>
                <c:pt idx="35">
                  <c:v>3332.5294932042298</c:v>
                </c:pt>
                <c:pt idx="36">
                  <c:v>3491.3504876441466</c:v>
                </c:pt>
                <c:pt idx="37">
                  <c:v>3733.1663895716856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93-41DD-A637-A280AECB4BFA}"/>
            </c:ext>
          </c:extLst>
        </c:ser>
        <c:ser>
          <c:idx val="5"/>
          <c:order val="5"/>
          <c:tx>
            <c:strRef>
              <c:f>KPlot!$EP$8</c:f>
              <c:strCache>
                <c:ptCount val="1"/>
                <c:pt idx="0">
                  <c:v>0y 128d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KPlot!$AT$8:$EO$8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3866.9618896533052</c:v>
                </c:pt>
                <c:pt idx="29">
                  <c:v>3583.528128901964</c:v>
                </c:pt>
                <c:pt idx="30">
                  <c:v>3350.8970532267444</c:v>
                </c:pt>
                <c:pt idx="31">
                  <c:v>3174.3526492506699</c:v>
                </c:pt>
                <c:pt idx="32">
                  <c:v>3058.9430628897553</c:v>
                </c:pt>
                <c:pt idx="33">
                  <c:v>3009.5446188555711</c:v>
                </c:pt>
                <c:pt idx="34">
                  <c:v>3030.7808347900527</c:v>
                </c:pt>
                <c:pt idx="35">
                  <c:v>3126.5626691438647</c:v>
                </c:pt>
                <c:pt idx="36">
                  <c:v>3299.1678417144021</c:v>
                </c:pt>
                <c:pt idx="37">
                  <c:v>3548.18736997627</c:v>
                </c:pt>
                <c:pt idx="38">
                  <c:v>3869.9748155679799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93-41DD-A637-A280AECB4BFA}"/>
            </c:ext>
          </c:extLst>
        </c:ser>
        <c:ser>
          <c:idx val="6"/>
          <c:order val="6"/>
          <c:tx>
            <c:strRef>
              <c:f>KPlot!$EP$9</c:f>
              <c:strCache>
                <c:ptCount val="1"/>
                <c:pt idx="0">
                  <c:v>0y 136d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KPlot!$AT$9:$EO$9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3775.9320250638993</c:v>
                </c:pt>
                <c:pt idx="28">
                  <c:v>3491.633427079048</c:v>
                </c:pt>
                <c:pt idx="29">
                  <c:v>3249.5700730550816</c:v>
                </c:pt>
                <c:pt idx="30">
                  <c:v>3054.8063562362804</c:v>
                </c:pt>
                <c:pt idx="31">
                  <c:v>2912.3078773452653</c:v>
                </c:pt>
                <c:pt idx="32">
                  <c:v>2826.9574710126008</c:v>
                </c:pt>
                <c:pt idx="33">
                  <c:v>2803.5249943554545</c:v>
                </c:pt>
                <c:pt idx="34">
                  <c:v>2846.4177773946412</c:v>
                </c:pt>
                <c:pt idx="35">
                  <c:v>2959.0682176650912</c:v>
                </c:pt>
                <c:pt idx="36">
                  <c:v>3143.0064974008324</c:v>
                </c:pt>
                <c:pt idx="37">
                  <c:v>3397.0569644199868</c:v>
                </c:pt>
                <c:pt idx="38">
                  <c:v>3717.1588113944217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93-41DD-A637-A280AECB4BFA}"/>
            </c:ext>
          </c:extLst>
        </c:ser>
        <c:ser>
          <c:idx val="7"/>
          <c:order val="7"/>
          <c:tx>
            <c:strRef>
              <c:f>KPlot!$EP$10</c:f>
              <c:strCache>
                <c:ptCount val="1"/>
                <c:pt idx="0">
                  <c:v>0y 144d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KPlot!$AT$10:$EO$10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3699.6014289036584</c:v>
                </c:pt>
                <c:pt idx="27">
                  <c:v>3419.2332026676668</c:v>
                </c:pt>
                <c:pt idx="28">
                  <c:v>3173.7383748875582</c:v>
                </c:pt>
                <c:pt idx="29">
                  <c:v>2967.811598641053</c:v>
                </c:pt>
                <c:pt idx="30">
                  <c:v>2806.1774054292264</c:v>
                </c:pt>
                <c:pt idx="31">
                  <c:v>2693.573444597042</c:v>
                </c:pt>
                <c:pt idx="32">
                  <c:v>2634.7245401818318</c:v>
                </c:pt>
                <c:pt idx="33">
                  <c:v>2634.2014454680211</c:v>
                </c:pt>
                <c:pt idx="34">
                  <c:v>2696.0333188910136</c:v>
                </c:pt>
                <c:pt idx="35">
                  <c:v>2823.0115922822515</c:v>
                </c:pt>
                <c:pt idx="36">
                  <c:v>3015.8848799783818</c:v>
                </c:pt>
                <c:pt idx="37">
                  <c:v>3272.8340353361564</c:v>
                </c:pt>
                <c:pt idx="38">
                  <c:v>3589.6086430739106</c:v>
                </c:pt>
                <c:pt idx="39">
                  <c:v>3960.297077487814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93-41DD-A637-A280AECB4BFA}"/>
            </c:ext>
          </c:extLst>
        </c:ser>
        <c:ser>
          <c:idx val="8"/>
          <c:order val="8"/>
          <c:tx>
            <c:strRef>
              <c:f>KPlot!$EP$11</c:f>
              <c:strCache>
                <c:ptCount val="1"/>
                <c:pt idx="0">
                  <c:v>0y 153d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KPlot!$AT$11:$EO$11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3929.6044804496714</c:v>
                </c:pt>
                <c:pt idx="25">
                  <c:v>3632.1651601392041</c:v>
                </c:pt>
                <c:pt idx="26">
                  <c:v>3359.2979372078207</c:v>
                </c:pt>
                <c:pt idx="27">
                  <c:v>3115.0800536788511</c:v>
                </c:pt>
                <c:pt idx="28">
                  <c:v>2903.7495291473697</c:v>
                </c:pt>
                <c:pt idx="29">
                  <c:v>2729.6727159119478</c:v>
                </c:pt>
                <c:pt idx="30">
                  <c:v>2597.3164890074486</c:v>
                </c:pt>
                <c:pt idx="31">
                  <c:v>2511.2184136333453</c:v>
                </c:pt>
                <c:pt idx="32">
                  <c:v>2475.8959084082408</c:v>
                </c:pt>
                <c:pt idx="33">
                  <c:v>2495.6011434918964</c:v>
                </c:pt>
                <c:pt idx="34">
                  <c:v>2573.8345044840762</c:v>
                </c:pt>
                <c:pt idx="35">
                  <c:v>2712.6724168445344</c:v>
                </c:pt>
                <c:pt idx="36">
                  <c:v>2912.1343567394424</c:v>
                </c:pt>
                <c:pt idx="37">
                  <c:v>3169.9482349152049</c:v>
                </c:pt>
                <c:pt idx="38">
                  <c:v>3481.8950462224384</c:v>
                </c:pt>
                <c:pt idx="39">
                  <c:v>3842.5771819425008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93-41DD-A637-A280AECB4BFA}"/>
            </c:ext>
          </c:extLst>
        </c:ser>
        <c:ser>
          <c:idx val="9"/>
          <c:order val="9"/>
          <c:tx>
            <c:strRef>
              <c:f>KPlot!$EP$12</c:f>
              <c:strCache>
                <c:ptCount val="1"/>
                <c:pt idx="0">
                  <c:v>0y 161d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KPlot!$AT$12:$EO$12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3852.4308878174743</c:v>
                </c:pt>
                <c:pt idx="24">
                  <c:v>3569.6871230823899</c:v>
                </c:pt>
                <c:pt idx="25">
                  <c:v>3306.8566126969154</c:v>
                </c:pt>
                <c:pt idx="26">
                  <c:v>3067.4816224627057</c:v>
                </c:pt>
                <c:pt idx="27">
                  <c:v>2855.3142411229778</c:v>
                </c:pt>
                <c:pt idx="28">
                  <c:v>2674.2942599674398</c:v>
                </c:pt>
                <c:pt idx="29">
                  <c:v>2528.5281274985296</c:v>
                </c:pt>
                <c:pt idx="30">
                  <c:v>2422.2599858678132</c:v>
                </c:pt>
                <c:pt idx="31">
                  <c:v>2359.806788609083</c:v>
                </c:pt>
                <c:pt idx="32">
                  <c:v>2345.3981145120133</c:v>
                </c:pt>
                <c:pt idx="33">
                  <c:v>2382.8444485306509</c:v>
                </c:pt>
                <c:pt idx="34">
                  <c:v>2475.0267278301853</c:v>
                </c:pt>
                <c:pt idx="35">
                  <c:v>2623.305712130963</c:v>
                </c:pt>
                <c:pt idx="36">
                  <c:v>2827.1059219239492</c:v>
                </c:pt>
                <c:pt idx="37">
                  <c:v>3083.9137252981445</c:v>
                </c:pt>
                <c:pt idx="38">
                  <c:v>3389.7261336858428</c:v>
                </c:pt>
                <c:pt idx="39">
                  <c:v>3739.7428784188924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93-41DD-A637-A280AECB4BFA}"/>
            </c:ext>
          </c:extLst>
        </c:ser>
        <c:ser>
          <c:idx val="10"/>
          <c:order val="10"/>
          <c:tx>
            <c:strRef>
              <c:f>KPlot!$EP$13</c:f>
              <c:strCache>
                <c:ptCount val="1"/>
                <c:pt idx="0">
                  <c:v>0y 169d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KPlot!$AT$13:$EO$13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3776.8392117325529</c:v>
                </c:pt>
                <c:pt idx="23">
                  <c:v>3509.6179926447708</c:v>
                </c:pt>
                <c:pt idx="24">
                  <c:v>3258.5146566784597</c:v>
                </c:pt>
                <c:pt idx="25">
                  <c:v>3026.5790342925402</c:v>
                </c:pt>
                <c:pt idx="26">
                  <c:v>2817.085186921875</c:v>
                </c:pt>
                <c:pt idx="27">
                  <c:v>2633.5235105206971</c:v>
                </c:pt>
                <c:pt idx="28">
                  <c:v>2479.590196332857</c:v>
                </c:pt>
                <c:pt idx="29">
                  <c:v>2359.1655197641958</c:v>
                </c:pt>
                <c:pt idx="30">
                  <c:v>2276.2664603919493</c:v>
                </c:pt>
                <c:pt idx="31">
                  <c:v>2234.937922520774</c:v>
                </c:pt>
                <c:pt idx="32">
                  <c:v>2239.0319925182284</c:v>
                </c:pt>
                <c:pt idx="33">
                  <c:v>2291.8277762818943</c:v>
                </c:pt>
                <c:pt idx="34">
                  <c:v>2395.5552431965316</c:v>
                </c:pt>
                <c:pt idx="35">
                  <c:v>2550.9381210818237</c:v>
                </c:pt>
                <c:pt idx="36">
                  <c:v>2756.9814835726611</c:v>
                </c:pt>
                <c:pt idx="37">
                  <c:v>3011.126973756519</c:v>
                </c:pt>
                <c:pt idx="38">
                  <c:v>3309.7197107419315</c:v>
                </c:pt>
                <c:pt idx="39">
                  <c:v>3648.5873661582409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93-41DD-A637-A280AECB4BFA}"/>
            </c:ext>
          </c:extLst>
        </c:ser>
        <c:ser>
          <c:idx val="11"/>
          <c:order val="11"/>
          <c:tx>
            <c:strRef>
              <c:f>KPlot!$EP$14</c:f>
              <c:strCache>
                <c:ptCount val="1"/>
                <c:pt idx="0">
                  <c:v>0y 177d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KPlot!$AT$14:$EO$14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3963.8450474891051</c:v>
                </c:pt>
                <c:pt idx="21">
                  <c:v>3701.8139581440337</c:v>
                </c:pt>
                <c:pt idx="22">
                  <c:v>3450.4195907169324</c:v>
                </c:pt>
                <c:pt idx="23">
                  <c:v>3212.0668893397242</c:v>
                </c:pt>
                <c:pt idx="24">
                  <c:v>2989.3694591872054</c:v>
                </c:pt>
                <c:pt idx="25">
                  <c:v>2785.1566533023715</c:v>
                </c:pt>
                <c:pt idx="26">
                  <c:v>2602.4792764467188</c:v>
                </c:pt>
                <c:pt idx="27">
                  <c:v>2444.6090091872206</c:v>
                </c:pt>
                <c:pt idx="28">
                  <c:v>2315.0265048583615</c:v>
                </c:pt>
                <c:pt idx="29">
                  <c:v>2217.388356704756</c:v>
                </c:pt>
                <c:pt idx="30">
                  <c:v>2155.4531457677194</c:v>
                </c:pt>
                <c:pt idx="31">
                  <c:v>2132.9321022093118</c:v>
                </c:pt>
                <c:pt idx="32">
                  <c:v>2153.2189431051756</c:v>
                </c:pt>
                <c:pt idx="33">
                  <c:v>2219.0233018987292</c:v>
                </c:pt>
                <c:pt idx="34">
                  <c:v>2331.9585980843444</c:v>
                </c:pt>
                <c:pt idx="35">
                  <c:v>2492.2417215980822</c:v>
                </c:pt>
                <c:pt idx="36">
                  <c:v>2698.6407605824165</c:v>
                </c:pt>
                <c:pt idx="37">
                  <c:v>2948.7113227644604</c:v>
                </c:pt>
                <c:pt idx="38">
                  <c:v>3239.224728918477</c:v>
                </c:pt>
                <c:pt idx="39">
                  <c:v>3566.6287140609165</c:v>
                </c:pt>
                <c:pt idx="40">
                  <c:v>3927.4042753998165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93-41DD-A637-A280AECB4BFA}"/>
            </c:ext>
          </c:extLst>
        </c:ser>
        <c:ser>
          <c:idx val="12"/>
          <c:order val="12"/>
          <c:tx>
            <c:strRef>
              <c:f>KPlot!$EP$15</c:f>
              <c:strCache>
                <c:ptCount val="1"/>
                <c:pt idx="0">
                  <c:v>0y 186d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KPlot!$AT$15:$EO$15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3871.0899563995313</c:v>
                </c:pt>
                <c:pt idx="20">
                  <c:v>3626.9267612376625</c:v>
                </c:pt>
                <c:pt idx="21">
                  <c:v>3391.2759592161751</c:v>
                </c:pt>
                <c:pt idx="22">
                  <c:v>3166.1860172071092</c:v>
                </c:pt>
                <c:pt idx="23">
                  <c:v>2953.8896149596876</c:v>
                </c:pt>
                <c:pt idx="24">
                  <c:v>2756.8180018774592</c:v>
                </c:pt>
                <c:pt idx="25">
                  <c:v>2577.6129719075325</c:v>
                </c:pt>
                <c:pt idx="26">
                  <c:v>2419.1341233038652</c:v>
                </c:pt>
                <c:pt idx="27">
                  <c:v>2284.4561888253534</c:v>
                </c:pt>
                <c:pt idx="28">
                  <c:v>2176.8483166779497</c:v>
                </c:pt>
                <c:pt idx="29">
                  <c:v>2099.7238526660831</c:v>
                </c:pt>
                <c:pt idx="30">
                  <c:v>2056.5406522507592</c:v>
                </c:pt>
                <c:pt idx="31">
                  <c:v>2050.6128486013977</c:v>
                </c:pt>
                <c:pt idx="32">
                  <c:v>2084.8397491824007</c:v>
                </c:pt>
                <c:pt idx="33">
                  <c:v>2161.367340481318</c:v>
                </c:pt>
                <c:pt idx="34">
                  <c:v>2281.2822993803829</c:v>
                </c:pt>
                <c:pt idx="35">
                  <c:v>2444.4474851334789</c:v>
                </c:pt>
                <c:pt idx="36">
                  <c:v>2649.5562417467281</c:v>
                </c:pt>
                <c:pt idx="37">
                  <c:v>2894.3895114909665</c:v>
                </c:pt>
                <c:pt idx="38">
                  <c:v>3176.1781529735672</c:v>
                </c:pt>
                <c:pt idx="39">
                  <c:v>3491.9473482565209</c:v>
                </c:pt>
                <c:pt idx="40">
                  <c:v>3838.7828892950283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93-41DD-A637-A280AECB4BFA}"/>
            </c:ext>
          </c:extLst>
        </c:ser>
        <c:ser>
          <c:idx val="13"/>
          <c:order val="13"/>
          <c:tx>
            <c:strRef>
              <c:f>KPlot!$EP$16</c:f>
              <c:strCache>
                <c:ptCount val="1"/>
                <c:pt idx="0">
                  <c:v>0y 194d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KPlot!$AT$16:$EO$16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3779.2419894575833</c:v>
                </c:pt>
                <c:pt idx="19">
                  <c:v>3552.1526177129836</c:v>
                </c:pt>
                <c:pt idx="20">
                  <c:v>3331.8853095404747</c:v>
                </c:pt>
                <c:pt idx="21">
                  <c:v>3120.1847418987436</c:v>
                </c:pt>
                <c:pt idx="22">
                  <c:v>2918.9569730482317</c:v>
                </c:pt>
                <c:pt idx="23">
                  <c:v>2730.2845269918907</c:v>
                </c:pt>
                <c:pt idx="24">
                  <c:v>2556.4411838685091</c:v>
                </c:pt>
                <c:pt idx="25">
                  <c:v>2399.9037918116624</c:v>
                </c:pt>
                <c:pt idx="26">
                  <c:v>2263.3564878102243</c:v>
                </c:pt>
                <c:pt idx="27">
                  <c:v>2149.6801449871314</c:v>
                </c:pt>
                <c:pt idx="28">
                  <c:v>2061.9186711312877</c:v>
                </c:pt>
                <c:pt idx="29">
                  <c:v>2003.2126807740535</c:v>
                </c:pt>
                <c:pt idx="30">
                  <c:v>1976.6721842532202</c:v>
                </c:pt>
                <c:pt idx="31">
                  <c:v>1985.1835054780033</c:v>
                </c:pt>
                <c:pt idx="32">
                  <c:v>2031.1455538632006</c:v>
                </c:pt>
                <c:pt idx="33">
                  <c:v>2116.1990683476056</c:v>
                </c:pt>
                <c:pt idx="34">
                  <c:v>2241.0234018683045</c:v>
                </c:pt>
                <c:pt idx="35">
                  <c:v>2405.2761816226662</c:v>
                </c:pt>
                <c:pt idx="36">
                  <c:v>2607.7028417316806</c:v>
                </c:pt>
                <c:pt idx="37">
                  <c:v>2846.375607083568</c:v>
                </c:pt>
                <c:pt idx="38">
                  <c:v>3118.9815166698445</c:v>
                </c:pt>
                <c:pt idx="39">
                  <c:v>3423.0740667954351</c:v>
                </c:pt>
                <c:pt idx="40">
                  <c:v>3756.2649909900865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93-41DD-A637-A280AECB4BFA}"/>
            </c:ext>
          </c:extLst>
        </c:ser>
        <c:ser>
          <c:idx val="14"/>
          <c:order val="14"/>
          <c:tx>
            <c:strRef>
              <c:f>KPlot!$EP$17</c:f>
              <c:strCache>
                <c:ptCount val="1"/>
                <c:pt idx="0">
                  <c:v>0y 202d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KPlot!$AT$17:$EO$17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3903.8578941580927</c:v>
                </c:pt>
                <c:pt idx="17">
                  <c:v>3688.713187913042</c:v>
                </c:pt>
                <c:pt idx="18">
                  <c:v>3477.7596547518983</c:v>
                </c:pt>
                <c:pt idx="19">
                  <c:v>3272.3102855989314</c:v>
                </c:pt>
                <c:pt idx="20">
                  <c:v>3073.8389029954837</c:v>
                </c:pt>
                <c:pt idx="21">
                  <c:v>2883.9683455875452</c:v>
                </c:pt>
                <c:pt idx="22">
                  <c:v>2704.4781606410506</c:v>
                </c:pt>
                <c:pt idx="23">
                  <c:v>2537.3175735750956</c:v>
                </c:pt>
                <c:pt idx="24">
                  <c:v>2384.6183483319192</c:v>
                </c:pt>
                <c:pt idx="25">
                  <c:v>2248.70286350794</c:v>
                </c:pt>
                <c:pt idx="26">
                  <c:v>2132.0810805418796</c:v>
                </c:pt>
                <c:pt idx="27">
                  <c:v>2037.4289242171681</c:v>
                </c:pt>
                <c:pt idx="28">
                  <c:v>1967.5431413220599</c:v>
                </c:pt>
                <c:pt idx="29">
                  <c:v>1925.2566050616765</c:v>
                </c:pt>
                <c:pt idx="30">
                  <c:v>1913.3086398794305</c:v>
                </c:pt>
                <c:pt idx="31">
                  <c:v>1934.1483754324897</c:v>
                </c:pt>
                <c:pt idx="32">
                  <c:v>1989.7121959572992</c:v>
                </c:pt>
                <c:pt idx="33">
                  <c:v>2081.2254391961465</c:v>
                </c:pt>
                <c:pt idx="34">
                  <c:v>2209.0870235914044</c:v>
                </c:pt>
                <c:pt idx="35">
                  <c:v>2372.8759531023261</c:v>
                </c:pt>
                <c:pt idx="36">
                  <c:v>2571.4771361891562</c:v>
                </c:pt>
                <c:pt idx="37">
                  <c:v>2803.2837143959505</c:v>
                </c:pt>
                <c:pt idx="38">
                  <c:v>3066.4111424420698</c:v>
                </c:pt>
                <c:pt idx="39">
                  <c:v>3358.8856561860143</c:v>
                </c:pt>
                <c:pt idx="40">
                  <c:v>3678.7728523459155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293-41DD-A637-A280AECB4BFA}"/>
            </c:ext>
          </c:extLst>
        </c:ser>
        <c:ser>
          <c:idx val="15"/>
          <c:order val="15"/>
          <c:tx>
            <c:strRef>
              <c:f>KPlot!$EP$18</c:f>
              <c:strCache>
                <c:ptCount val="1"/>
                <c:pt idx="0">
                  <c:v>0y 211d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KPlot!$AT$18:$EO$18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3999.0969373834932</c:v>
                </c:pt>
                <c:pt idx="15">
                  <c:v>3798.2540715836835</c:v>
                </c:pt>
                <c:pt idx="16">
                  <c:v>3600.5622072792285</c:v>
                </c:pt>
                <c:pt idx="17">
                  <c:v>3404.3376128221216</c:v>
                </c:pt>
                <c:pt idx="18">
                  <c:v>3212.9055979428076</c:v>
                </c:pt>
                <c:pt idx="19">
                  <c:v>3027.2678828566313</c:v>
                </c:pt>
                <c:pt idx="20">
                  <c:v>2848.7500003081195</c:v>
                </c:pt>
                <c:pt idx="21">
                  <c:v>2678.8550720490598</c:v>
                </c:pt>
                <c:pt idx="22">
                  <c:v>2519.2449750118781</c:v>
                </c:pt>
                <c:pt idx="23">
                  <c:v>2371.7448736175679</c:v>
                </c:pt>
                <c:pt idx="24">
                  <c:v>2238.3504593938137</c:v>
                </c:pt>
                <c:pt idx="25">
                  <c:v>2121.2289653992007</c:v>
                </c:pt>
                <c:pt idx="26">
                  <c:v>2022.7063324337655</c:v>
                </c:pt>
                <c:pt idx="27">
                  <c:v>1945.2359333052757</c:v>
                </c:pt>
                <c:pt idx="28">
                  <c:v>1891.3400979091575</c:v>
                </c:pt>
                <c:pt idx="29">
                  <c:v>1863.5285330788415</c:v>
                </c:pt>
                <c:pt idx="30">
                  <c:v>1864.1617915128231</c:v>
                </c:pt>
                <c:pt idx="31">
                  <c:v>1895.27796513066</c:v>
                </c:pt>
                <c:pt idx="32">
                  <c:v>1958.418053226741</c:v>
                </c:pt>
                <c:pt idx="33">
                  <c:v>2054.4955826519845</c:v>
                </c:pt>
                <c:pt idx="34">
                  <c:v>2183.7450993406419</c:v>
                </c:pt>
                <c:pt idx="35">
                  <c:v>2345.7629371156359</c:v>
                </c:pt>
                <c:pt idx="36">
                  <c:v>2539.6250081038352</c:v>
                </c:pt>
                <c:pt idx="37">
                  <c:v>2764.0460808675934</c:v>
                </c:pt>
                <c:pt idx="38">
                  <c:v>3017.5348982247128</c:v>
                </c:pt>
                <c:pt idx="39">
                  <c:v>3298.5292179018206</c:v>
                </c:pt>
                <c:pt idx="40">
                  <c:v>3605.4850137753283</c:v>
                </c:pt>
                <c:pt idx="41">
                  <c:v>3936.9310921683236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293-41DD-A637-A280AECB4BFA}"/>
            </c:ext>
          </c:extLst>
        </c:ser>
        <c:ser>
          <c:idx val="16"/>
          <c:order val="16"/>
          <c:tx>
            <c:strRef>
              <c:f>KPlot!$EP$19</c:f>
              <c:strCache>
                <c:ptCount val="1"/>
                <c:pt idx="0">
                  <c:v>0y 219d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KPlot!$AT$19:$EO$19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3883.8130713790433</c:v>
                </c:pt>
                <c:pt idx="14">
                  <c:v>3696.5926768575791</c:v>
                </c:pt>
                <c:pt idx="15">
                  <c:v>3512.8258401750154</c:v>
                </c:pt>
                <c:pt idx="16">
                  <c:v>3331.5484904910199</c:v>
                </c:pt>
                <c:pt idx="17">
                  <c:v>3154.7063212049361</c:v>
                </c:pt>
                <c:pt idx="18">
                  <c:v>2980.9302418006782</c:v>
                </c:pt>
                <c:pt idx="19">
                  <c:v>2813.4636043128248</c:v>
                </c:pt>
                <c:pt idx="20">
                  <c:v>2653.2766953609726</c:v>
                </c:pt>
                <c:pt idx="21">
                  <c:v>2501.7261869838158</c:v>
                </c:pt>
                <c:pt idx="22">
                  <c:v>2360.355230860675</c:v>
                </c:pt>
                <c:pt idx="23">
                  <c:v>2230.866264326678</c:v>
                </c:pt>
                <c:pt idx="24">
                  <c:v>2115.1163891364504</c:v>
                </c:pt>
                <c:pt idx="25">
                  <c:v>2015.1086107783115</c:v>
                </c:pt>
                <c:pt idx="26">
                  <c:v>1932.9701640610888</c:v>
                </c:pt>
                <c:pt idx="27">
                  <c:v>1870.9092885842342</c:v>
                </c:pt>
                <c:pt idx="28">
                  <c:v>1831.1637982147204</c:v>
                </c:pt>
                <c:pt idx="29">
                  <c:v>1815.9152356520892</c:v>
                </c:pt>
                <c:pt idx="30">
                  <c:v>1827.1661180573446</c:v>
                </c:pt>
                <c:pt idx="31">
                  <c:v>1866.5950191324384</c:v>
                </c:pt>
                <c:pt idx="32">
                  <c:v>1935.4306225511327</c:v>
                </c:pt>
                <c:pt idx="33">
                  <c:v>2034.3754527335177</c:v>
                </c:pt>
                <c:pt idx="34">
                  <c:v>2163.5941112017063</c:v>
                </c:pt>
                <c:pt idx="35">
                  <c:v>2322.7649424786459</c:v>
                </c:pt>
                <c:pt idx="36">
                  <c:v>2511.1778694657114</c:v>
                </c:pt>
                <c:pt idx="37">
                  <c:v>2727.85311343169</c:v>
                </c:pt>
                <c:pt idx="38">
                  <c:v>2971.649710843064</c:v>
                </c:pt>
                <c:pt idx="39">
                  <c:v>3241.3613101341671</c:v>
                </c:pt>
                <c:pt idx="40">
                  <c:v>3535.7775635915677</c:v>
                </c:pt>
                <c:pt idx="41">
                  <c:v>3853.7236306378481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293-41DD-A637-A280AECB4BFA}"/>
            </c:ext>
          </c:extLst>
        </c:ser>
        <c:ser>
          <c:idx val="17"/>
          <c:order val="17"/>
          <c:tx>
            <c:strRef>
              <c:f>KPlot!$EP$20</c:f>
              <c:strCache>
                <c:ptCount val="1"/>
                <c:pt idx="0">
                  <c:v>0y 227d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KPlot!$AT$20:$EO$20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3941.7401115772977</c:v>
                </c:pt>
                <c:pt idx="12">
                  <c:v>3770.5013580826453</c:v>
                </c:pt>
                <c:pt idx="13">
                  <c:v>3599.6835352582466</c:v>
                </c:pt>
                <c:pt idx="14">
                  <c:v>3430.2189750005109</c:v>
                </c:pt>
                <c:pt idx="15">
                  <c:v>3261.1671608924498</c:v>
                </c:pt>
                <c:pt idx="16">
                  <c:v>3096.0590319538715</c:v>
                </c:pt>
                <c:pt idx="17">
                  <c:v>2934.7653265124309</c:v>
                </c:pt>
                <c:pt idx="18">
                  <c:v>2778.3295476037028</c:v>
                </c:pt>
                <c:pt idx="19">
                  <c:v>2627.9384069701782</c:v>
                </c:pt>
                <c:pt idx="20">
                  <c:v>2484.6502222646859</c:v>
                </c:pt>
                <c:pt idx="21">
                  <c:v>2349.9984730776141</c:v>
                </c:pt>
                <c:pt idx="22">
                  <c:v>2225.3932736470992</c:v>
                </c:pt>
                <c:pt idx="23">
                  <c:v>2112.4108709638867</c:v>
                </c:pt>
                <c:pt idx="24">
                  <c:v>2012.7630089359041</c:v>
                </c:pt>
                <c:pt idx="25">
                  <c:v>1928.2749356160296</c:v>
                </c:pt>
                <c:pt idx="26">
                  <c:v>1860.8580687624683</c:v>
                </c:pt>
                <c:pt idx="27">
                  <c:v>1812.4681978330445</c:v>
                </c:pt>
                <c:pt idx="28">
                  <c:v>1785.0562885663237</c:v>
                </c:pt>
                <c:pt idx="29">
                  <c:v>1780.4948816799103</c:v>
                </c:pt>
                <c:pt idx="30">
                  <c:v>1800.4705340747823</c:v>
                </c:pt>
                <c:pt idx="31">
                  <c:v>1846.3694255826244</c:v>
                </c:pt>
                <c:pt idx="32">
                  <c:v>1919.1929347228577</c:v>
                </c:pt>
                <c:pt idx="33">
                  <c:v>2019.5192564763461</c:v>
                </c:pt>
                <c:pt idx="34">
                  <c:v>2147.5121156894143</c:v>
                </c:pt>
                <c:pt idx="35">
                  <c:v>2302.9694153670807</c:v>
                </c:pt>
                <c:pt idx="36">
                  <c:v>2485.3982959177674</c:v>
                </c:pt>
                <c:pt idx="37">
                  <c:v>2694.096278495027</c:v>
                </c:pt>
                <c:pt idx="38">
                  <c:v>2928.2308248387408</c:v>
                </c:pt>
                <c:pt idx="39">
                  <c:v>3186.9002326438049</c:v>
                </c:pt>
                <c:pt idx="40">
                  <c:v>3469.1786110813537</c:v>
                </c:pt>
                <c:pt idx="41">
                  <c:v>3774.1441264769746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293-41DD-A637-A280AECB4BFA}"/>
            </c:ext>
          </c:extLst>
        </c:ser>
        <c:ser>
          <c:idx val="18"/>
          <c:order val="18"/>
          <c:tx>
            <c:strRef>
              <c:f>KPlot!$EP$21</c:f>
              <c:strCache>
                <c:ptCount val="1"/>
                <c:pt idx="0">
                  <c:v>0y 235d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KPlot!$AT$21:$EO$21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3980.0894274379307</c:v>
                </c:pt>
                <c:pt idx="10">
                  <c:v>3822.5393639451777</c:v>
                </c:pt>
                <c:pt idx="11">
                  <c:v>3664.4795327909383</c:v>
                </c:pt>
                <c:pt idx="12">
                  <c:v>3506.5546387619506</c:v>
                </c:pt>
                <c:pt idx="13">
                  <c:v>3349.456013324565</c:v>
                </c:pt>
                <c:pt idx="14">
                  <c:v>3193.9283025298073</c:v>
                </c:pt>
                <c:pt idx="15">
                  <c:v>3040.7865465226187</c:v>
                </c:pt>
                <c:pt idx="16">
                  <c:v>2890.9911299365604</c:v>
                </c:pt>
                <c:pt idx="17">
                  <c:v>2744.1066742818048</c:v>
                </c:pt>
                <c:pt idx="18">
                  <c:v>2603.1081070675145</c:v>
                </c:pt>
                <c:pt idx="19">
                  <c:v>2468.2102399503465</c:v>
                </c:pt>
                <c:pt idx="20">
                  <c:v>2340.6243446049248</c:v>
                </c:pt>
                <c:pt idx="21">
                  <c:v>2221.5784051016672</c:v>
                </c:pt>
                <c:pt idx="22">
                  <c:v>2112.3746770675543</c:v>
                </c:pt>
                <c:pt idx="23">
                  <c:v>2014.4747132916048</c:v>
                </c:pt>
                <c:pt idx="24">
                  <c:v>1929.4381132552571</c:v>
                </c:pt>
                <c:pt idx="25">
                  <c:v>1858.9038508453962</c:v>
                </c:pt>
                <c:pt idx="26">
                  <c:v>1804.5592869440516</c:v>
                </c:pt>
                <c:pt idx="27">
                  <c:v>1768.1079845560355</c:v>
                </c:pt>
                <c:pt idx="28">
                  <c:v>1751.2328451603832</c:v>
                </c:pt>
                <c:pt idx="29">
                  <c:v>1755.5345566911078</c:v>
                </c:pt>
                <c:pt idx="30">
                  <c:v>1782.4398382296033</c:v>
                </c:pt>
                <c:pt idx="31">
                  <c:v>1833.1136000185604</c:v>
                </c:pt>
                <c:pt idx="32">
                  <c:v>1908.4059925729518</c:v>
                </c:pt>
                <c:pt idx="33">
                  <c:v>2008.8377926160733</c:v>
                </c:pt>
                <c:pt idx="34">
                  <c:v>2134.6167872626966</c:v>
                </c:pt>
                <c:pt idx="35">
                  <c:v>2285.67689327978</c:v>
                </c:pt>
                <c:pt idx="36">
                  <c:v>2461.7310843655951</c:v>
                </c:pt>
                <c:pt idx="37">
                  <c:v>2662.3252667962915</c:v>
                </c:pt>
                <c:pt idx="38">
                  <c:v>2886.8916027987698</c:v>
                </c:pt>
                <c:pt idx="39">
                  <c:v>3134.7887784418645</c:v>
                </c:pt>
                <c:pt idx="40">
                  <c:v>3405.3330497011011</c:v>
                </c:pt>
                <c:pt idx="41">
                  <c:v>3697.8188138885907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293-41DD-A637-A280AECB4BFA}"/>
            </c:ext>
          </c:extLst>
        </c:ser>
        <c:ser>
          <c:idx val="19"/>
          <c:order val="19"/>
          <c:tx>
            <c:strRef>
              <c:f>KPlot!$EP$22</c:f>
              <c:strCache>
                <c:ptCount val="1"/>
                <c:pt idx="0">
                  <c:v>0y 244d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KPlot!$AT$22:$EO$22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3857.126172320548</c:v>
                </c:pt>
                <c:pt idx="9">
                  <c:v>3711.5876846622918</c:v>
                </c:pt>
                <c:pt idx="10">
                  <c:v>3565.4989568280403</c:v>
                </c:pt>
                <c:pt idx="11">
                  <c:v>3419.419905396162</c:v>
                </c:pt>
                <c:pt idx="12">
                  <c:v>3273.9497691252591</c:v>
                </c:pt>
                <c:pt idx="13">
                  <c:v>3129.7279106493588</c:v>
                </c:pt>
                <c:pt idx="14">
                  <c:v>2987.4376302644696</c:v>
                </c:pt>
                <c:pt idx="15">
                  <c:v>2847.8068403830034</c:v>
                </c:pt>
                <c:pt idx="16">
                  <c:v>2711.6122224441478</c:v>
                </c:pt>
                <c:pt idx="17">
                  <c:v>2579.6787719145077</c:v>
                </c:pt>
                <c:pt idx="18">
                  <c:v>2452.8432765549578</c:v>
                </c:pt>
                <c:pt idx="19">
                  <c:v>2332.310997049186</c:v>
                </c:pt>
                <c:pt idx="20">
                  <c:v>2219.0099427948198</c:v>
                </c:pt>
                <c:pt idx="21">
                  <c:v>2115.3758304184312</c:v>
                </c:pt>
                <c:pt idx="22">
                  <c:v>2019.9645914498867</c:v>
                </c:pt>
                <c:pt idx="23">
                  <c:v>1935.6116631560578</c:v>
                </c:pt>
                <c:pt idx="24">
                  <c:v>1863.6279225449591</c:v>
                </c:pt>
                <c:pt idx="25">
                  <c:v>1805.4285995188211</c:v>
                </c:pt>
                <c:pt idx="26">
                  <c:v>1762.4671192404544</c:v>
                </c:pt>
                <c:pt idx="27">
                  <c:v>1736.2060916161474</c:v>
                </c:pt>
                <c:pt idx="28">
                  <c:v>1728.0916767482965</c:v>
                </c:pt>
                <c:pt idx="29">
                  <c:v>1739.5004349212968</c:v>
                </c:pt>
                <c:pt idx="30">
                  <c:v>1771.6586658652805</c:v>
                </c:pt>
                <c:pt idx="31">
                  <c:v>1825.5744950806127</c:v>
                </c:pt>
                <c:pt idx="32">
                  <c:v>1902.0070307063195</c:v>
                </c:pt>
                <c:pt idx="33">
                  <c:v>2001.4655138383232</c:v>
                </c:pt>
                <c:pt idx="34">
                  <c:v>2124.2262934918672</c:v>
                </c:pt>
                <c:pt idx="35">
                  <c:v>2270.360857308483</c:v>
                </c:pt>
                <c:pt idx="36">
                  <c:v>2439.7687022194627</c:v>
                </c:pt>
                <c:pt idx="37">
                  <c:v>2632.2130059986166</c:v>
                </c:pt>
                <c:pt idx="38">
                  <c:v>2847.3519035655745</c:v>
                </c:pt>
                <c:pt idx="39">
                  <c:v>3084.7652685719513</c:v>
                </c:pt>
                <c:pt idx="40">
                  <c:v>3343.9753301620513</c:v>
                </c:pt>
                <c:pt idx="41">
                  <c:v>3624.4615204561978</c:v>
                </c:pt>
                <c:pt idx="42">
                  <c:v>3925.6703968804486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293-41DD-A637-A280AECB4BFA}"/>
            </c:ext>
          </c:extLst>
        </c:ser>
        <c:ser>
          <c:idx val="20"/>
          <c:order val="20"/>
          <c:tx>
            <c:strRef>
              <c:f>KPlot!$EP$23</c:f>
              <c:strCache>
                <c:ptCount val="1"/>
                <c:pt idx="0">
                  <c:v>0y 252d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KPlot!$AT$23:$EO$23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3878.5835358234117</c:v>
                </c:pt>
                <c:pt idx="7">
                  <c:v>3744.674065216017</c:v>
                </c:pt>
                <c:pt idx="8">
                  <c:v>3609.8166267115457</c:v>
                </c:pt>
                <c:pt idx="9">
                  <c:v>3474.4553666991924</c:v>
                </c:pt>
                <c:pt idx="10">
                  <c:v>3339.072293458793</c:v>
                </c:pt>
                <c:pt idx="11">
                  <c:v>3204.1857903677601</c:v>
                </c:pt>
                <c:pt idx="12">
                  <c:v>3070.3523322789656</c:v>
                </c:pt>
                <c:pt idx="13">
                  <c:v>2938.1649178446314</c:v>
                </c:pt>
                <c:pt idx="14">
                  <c:v>2808.256517685274</c:v>
                </c:pt>
                <c:pt idx="15">
                  <c:v>2681.3027860609836</c:v>
                </c:pt>
                <c:pt idx="16">
                  <c:v>2558.0268601959588</c:v>
                </c:pt>
                <c:pt idx="17">
                  <c:v>2439.2093250788939</c:v>
                </c:pt>
                <c:pt idx="18">
                  <c:v>2325.7272828722362</c:v>
                </c:pt>
                <c:pt idx="19">
                  <c:v>2218.4206898100492</c:v>
                </c:pt>
                <c:pt idx="20">
                  <c:v>2118.2907091920051</c:v>
                </c:pt>
                <c:pt idx="21">
                  <c:v>2026.360658565118</c:v>
                </c:pt>
                <c:pt idx="22">
                  <c:v>1943.7396306633957</c:v>
                </c:pt>
                <c:pt idx="23">
                  <c:v>1875.8535266797471</c:v>
                </c:pt>
                <c:pt idx="24">
                  <c:v>1814.5742204747587</c:v>
                </c:pt>
                <c:pt idx="25">
                  <c:v>1766.7337370668786</c:v>
                </c:pt>
                <c:pt idx="26">
                  <c:v>1733.2819268918097</c:v>
                </c:pt>
                <c:pt idx="27">
                  <c:v>1715.3814557783749</c:v>
                </c:pt>
                <c:pt idx="28">
                  <c:v>1714.2505988659443</c:v>
                </c:pt>
                <c:pt idx="29">
                  <c:v>1731.0778483859758</c:v>
                </c:pt>
                <c:pt idx="30">
                  <c:v>1766.935585191248</c:v>
                </c:pt>
                <c:pt idx="31">
                  <c:v>1822.7222480957701</c:v>
                </c:pt>
                <c:pt idx="32">
                  <c:v>1899.1454836709147</c:v>
                </c:pt>
                <c:pt idx="33">
                  <c:v>1996.7285330233353</c:v>
                </c:pt>
                <c:pt idx="34">
                  <c:v>2115.8243493799555</c:v>
                </c:pt>
                <c:pt idx="35">
                  <c:v>2256.632561175481</c:v>
                </c:pt>
                <c:pt idx="36">
                  <c:v>2419.217598379606</c:v>
                </c:pt>
                <c:pt idx="37">
                  <c:v>2603.5278933344853</c:v>
                </c:pt>
                <c:pt idx="38">
                  <c:v>2809.4133624128463</c:v>
                </c:pt>
                <c:pt idx="39">
                  <c:v>3036.6411072274709</c:v>
                </c:pt>
                <c:pt idx="40">
                  <c:v>3284.9084582960209</c:v>
                </c:pt>
                <c:pt idx="41">
                  <c:v>3553.8533694582256</c:v>
                </c:pt>
                <c:pt idx="42">
                  <c:v>3843.0623826266483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293-41DD-A637-A280AECB4BFA}"/>
            </c:ext>
          </c:extLst>
        </c:ser>
        <c:ser>
          <c:idx val="21"/>
          <c:order val="21"/>
          <c:tx>
            <c:strRef>
              <c:f>KPlot!$EP$24</c:f>
              <c:strCache>
                <c:ptCount val="1"/>
                <c:pt idx="0">
                  <c:v>0y 260d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KPlot!$AT$24:$EO$24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3892.6147331057628</c:v>
                </c:pt>
                <c:pt idx="5">
                  <c:v>3768.8551561655568</c:v>
                </c:pt>
                <c:pt idx="6">
                  <c:v>3644.0423367660187</c:v>
                </c:pt>
                <c:pt idx="7">
                  <c:v>3518.4986553750405</c:v>
                </c:pt>
                <c:pt idx="8">
                  <c:v>3392.5889358335944</c:v>
                </c:pt>
                <c:pt idx="9">
                  <c:v>3266.7166039585586</c:v>
                </c:pt>
                <c:pt idx="10">
                  <c:v>3141.3231336459435</c:v>
                </c:pt>
                <c:pt idx="11">
                  <c:v>3016.8839886299993</c:v>
                </c:pt>
                <c:pt idx="12">
                  <c:v>2893.9096927417831</c:v>
                </c:pt>
                <c:pt idx="13">
                  <c:v>2772.9459309131475</c:v>
                </c:pt>
                <c:pt idx="14">
                  <c:v>2654.5751006162209</c:v>
                </c:pt>
                <c:pt idx="15">
                  <c:v>2539.4191558645648</c:v>
                </c:pt>
                <c:pt idx="16">
                  <c:v>2428.144471378444</c:v>
                </c:pt>
                <c:pt idx="17">
                  <c:v>2321.4714724191035</c:v>
                </c:pt>
                <c:pt idx="18">
                  <c:v>2220.2007386119876</c:v>
                </c:pt>
                <c:pt idx="19">
                  <c:v>2125.3169431675606</c:v>
                </c:pt>
                <c:pt idx="20">
                  <c:v>2038.6362367111531</c:v>
                </c:pt>
                <c:pt idx="21">
                  <c:v>1956.690299510173</c:v>
                </c:pt>
                <c:pt idx="22">
                  <c:v>1885.4503776893484</c:v>
                </c:pt>
                <c:pt idx="23">
                  <c:v>1824.1781451865738</c:v>
                </c:pt>
                <c:pt idx="24">
                  <c:v>1785.4278923867041</c:v>
                </c:pt>
                <c:pt idx="25">
                  <c:v>1743.1993063242692</c:v>
                </c:pt>
                <c:pt idx="26">
                  <c:v>1716.4336214562709</c:v>
                </c:pt>
                <c:pt idx="27">
                  <c:v>1704.6852575593384</c:v>
                </c:pt>
                <c:pt idx="28">
                  <c:v>1708.6369969039758</c:v>
                </c:pt>
                <c:pt idx="29">
                  <c:v>1729.210051410199</c:v>
                </c:pt>
                <c:pt idx="30">
                  <c:v>1767.311377018508</c:v>
                </c:pt>
                <c:pt idx="31">
                  <c:v>1823.7387892776053</c:v>
                </c:pt>
                <c:pt idx="32">
                  <c:v>1899.1596460538681</c:v>
                </c:pt>
                <c:pt idx="33">
                  <c:v>1994.115622996738</c:v>
                </c:pt>
                <c:pt idx="34">
                  <c:v>2109.0301832988048</c:v>
                </c:pt>
                <c:pt idx="35">
                  <c:v>2244.2146956639344</c:v>
                </c:pt>
                <c:pt idx="36">
                  <c:v>2399.8738248570744</c:v>
                </c:pt>
                <c:pt idx="37">
                  <c:v>2576.1119640096763</c:v>
                </c:pt>
                <c:pt idx="38">
                  <c:v>2772.9401773058344</c:v>
                </c:pt>
                <c:pt idx="39">
                  <c:v>2990.2834491598119</c:v>
                </c:pt>
                <c:pt idx="40">
                  <c:v>3227.987825076887</c:v>
                </c:pt>
                <c:pt idx="41">
                  <c:v>3485.8271621275726</c:v>
                </c:pt>
                <c:pt idx="42">
                  <c:v>3763.5093020700424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293-41DD-A637-A280AECB4BFA}"/>
            </c:ext>
          </c:extLst>
        </c:ser>
        <c:ser>
          <c:idx val="22"/>
          <c:order val="22"/>
          <c:tx>
            <c:strRef>
              <c:f>KPlot!$EP$25</c:f>
              <c:strCache>
                <c:ptCount val="1"/>
                <c:pt idx="0">
                  <c:v>0y 268d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KPlot!$AT$25:$EO$25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3906.8341254968591</c:v>
                </c:pt>
                <c:pt idx="3">
                  <c:v>3790.967625318377</c:v>
                </c:pt>
                <c:pt idx="4">
                  <c:v>3674.3009863572597</c:v>
                </c:pt>
                <c:pt idx="5">
                  <c:v>3557.0080350943799</c:v>
                </c:pt>
                <c:pt idx="6">
                  <c:v>3439.3173404235654</c:v>
                </c:pt>
                <c:pt idx="7">
                  <c:v>3321.5053968502252</c:v>
                </c:pt>
                <c:pt idx="8">
                  <c:v>3203.8932224843184</c:v>
                </c:pt>
                <c:pt idx="9">
                  <c:v>3086.8397485597006</c:v>
                </c:pt>
                <c:pt idx="10">
                  <c:v>2970.7402291083408</c:v>
                </c:pt>
                <c:pt idx="11">
                  <c:v>2856.0237406414712</c:v>
                </c:pt>
                <c:pt idx="12">
                  <c:v>2743.1520158577996</c:v>
                </c:pt>
                <c:pt idx="13">
                  <c:v>2632.6192634804033</c:v>
                </c:pt>
                <c:pt idx="14">
                  <c:v>2524.9530224097725</c:v>
                </c:pt>
                <c:pt idx="15">
                  <c:v>2420.7162081256174</c:v>
                </c:pt>
                <c:pt idx="16">
                  <c:v>2320.5108506515944</c:v>
                </c:pt>
                <c:pt idx="17">
                  <c:v>2224.9851189850333</c:v>
                </c:pt>
                <c:pt idx="18">
                  <c:v>2134.8490032423865</c:v>
                </c:pt>
                <c:pt idx="19">
                  <c:v>2050.9188273495101</c:v>
                </c:pt>
                <c:pt idx="20">
                  <c:v>1974.2818847498354</c:v>
                </c:pt>
                <c:pt idx="21">
                  <c:v>1907.145555785931</c:v>
                </c:pt>
                <c:pt idx="22">
                  <c:v>1842.4447752178967</c:v>
                </c:pt>
                <c:pt idx="23">
                  <c:v>1790.6325653246854</c:v>
                </c:pt>
                <c:pt idx="24">
                  <c:v>1749.1273911922688</c:v>
                </c:pt>
                <c:pt idx="25">
                  <c:v>1744.9589387356384</c:v>
                </c:pt>
                <c:pt idx="26">
                  <c:v>1714.1862940188601</c:v>
                </c:pt>
                <c:pt idx="27">
                  <c:v>1704.3001529300711</c:v>
                </c:pt>
                <c:pt idx="28">
                  <c:v>1710.7491983788973</c:v>
                </c:pt>
                <c:pt idx="29">
                  <c:v>1733.1962034556141</c:v>
                </c:pt>
                <c:pt idx="30">
                  <c:v>1772.0874648010704</c:v>
                </c:pt>
                <c:pt idx="31">
                  <c:v>1828.0140467151377</c:v>
                </c:pt>
                <c:pt idx="32">
                  <c:v>1901.5580927218482</c:v>
                </c:pt>
                <c:pt idx="33">
                  <c:v>1993.2541325496391</c:v>
                </c:pt>
                <c:pt idx="34">
                  <c:v>2103.5740903198302</c:v>
                </c:pt>
                <c:pt idx="35">
                  <c:v>2232.9176772606907</c:v>
                </c:pt>
                <c:pt idx="36">
                  <c:v>2381.6033399125859</c:v>
                </c:pt>
                <c:pt idx="37">
                  <c:v>2549.8638892562553</c:v>
                </c:pt>
                <c:pt idx="38">
                  <c:v>2737.8442632411188</c:v>
                </c:pt>
                <c:pt idx="39">
                  <c:v>2945.6018652562834</c:v>
                </c:pt>
                <c:pt idx="40">
                  <c:v>3173.1087858643546</c:v>
                </c:pt>
                <c:pt idx="41">
                  <c:v>3420.2553754807359</c:v>
                </c:pt>
                <c:pt idx="42">
                  <c:v>3686.8546792116604</c:v>
                </c:pt>
                <c:pt idx="43">
                  <c:v>3972.6472985275068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293-41DD-A637-A280AECB4BFA}"/>
            </c:ext>
          </c:extLst>
        </c:ser>
        <c:ser>
          <c:idx val="23"/>
          <c:order val="23"/>
          <c:tx>
            <c:strRef>
              <c:f>KPlot!$EP$26</c:f>
              <c:strCache>
                <c:ptCount val="1"/>
                <c:pt idx="0">
                  <c:v>0y 277d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KPlot!$AT$26:$EO$26</c:f>
              <c:numCache>
                <c:formatCode>0</c:formatCode>
                <c:ptCount val="100"/>
                <c:pt idx="0">
                  <c:v>3931.9361441481278</c:v>
                </c:pt>
                <c:pt idx="1">
                  <c:v>3820.5187952399156</c:v>
                </c:pt>
                <c:pt idx="2">
                  <c:v>3709.0605028629079</c:v>
                </c:pt>
                <c:pt idx="3">
                  <c:v>3597.528671646829</c:v>
                </c:pt>
                <c:pt idx="4">
                  <c:v>3485.9696342919742</c:v>
                </c:pt>
                <c:pt idx="5">
                  <c:v>3374.4972930377726</c:v>
                </c:pt>
                <c:pt idx="6">
                  <c:v>3263.2854691191751</c:v>
                </c:pt>
                <c:pt idx="7">
                  <c:v>3152.5581009743855</c:v>
                </c:pt>
                <c:pt idx="8">
                  <c:v>3042.5842130796136</c:v>
                </c:pt>
                <c:pt idx="9">
                  <c:v>2933.6724722689769</c:v>
                </c:pt>
                <c:pt idx="10">
                  <c:v>2826.1671611043989</c:v>
                </c:pt>
                <c:pt idx="11">
                  <c:v>2720.4451970896635</c:v>
                </c:pt>
                <c:pt idx="12">
                  <c:v>2616.9141532720173</c:v>
                </c:pt>
                <c:pt idx="13">
                  <c:v>2516.0112562192944</c:v>
                </c:pt>
                <c:pt idx="14">
                  <c:v>2418.2033702990966</c:v>
                </c:pt>
                <c:pt idx="15">
                  <c:v>2323.9880554139518</c:v>
                </c:pt>
                <c:pt idx="16">
                  <c:v>2233.8959945764377</c:v>
                </c:pt>
                <c:pt idx="17">
                  <c:v>2148.4956679625566</c:v>
                </c:pt>
                <c:pt idx="18">
                  <c:v>2068.4028361543706</c:v>
                </c:pt>
                <c:pt idx="19">
                  <c:v>1994.3027114561869</c:v>
                </c:pt>
                <c:pt idx="20">
                  <c:v>1927.0117223599311</c:v>
                </c:pt>
                <c:pt idx="21">
                  <c:v>1867.6878564196534</c:v>
                </c:pt>
                <c:pt idx="22">
                  <c:v>1818.7681413524608</c:v>
                </c:pt>
                <c:pt idx="23">
                  <c:v>1769.5782126415893</c:v>
                </c:pt>
                <c:pt idx="24">
                  <c:v>1735.3593623923746</c:v>
                </c:pt>
                <c:pt idx="25">
                  <c:v>1711.4968697317843</c:v>
                </c:pt>
                <c:pt idx="26">
                  <c:v>1698.8259559375429</c:v>
                </c:pt>
                <c:pt idx="27">
                  <c:v>1719.2551919690109</c:v>
                </c:pt>
                <c:pt idx="28">
                  <c:v>1721.6679282801833</c:v>
                </c:pt>
                <c:pt idx="29">
                  <c:v>1743.0092149881687</c:v>
                </c:pt>
                <c:pt idx="30">
                  <c:v>1780.92542086872</c:v>
                </c:pt>
                <c:pt idx="31">
                  <c:v>1835.1679171404764</c:v>
                </c:pt>
                <c:pt idx="32">
                  <c:v>1906.0128534499543</c:v>
                </c:pt>
                <c:pt idx="33">
                  <c:v>1993.8930423028771</c:v>
                </c:pt>
                <c:pt idx="34">
                  <c:v>2099.2789563521619</c:v>
                </c:pt>
                <c:pt idx="35">
                  <c:v>2222.6225836632038</c:v>
                </c:pt>
                <c:pt idx="36">
                  <c:v>2364.3268024128729</c:v>
                </c:pt>
                <c:pt idx="37">
                  <c:v>2524.725894325702</c:v>
                </c:pt>
                <c:pt idx="38">
                  <c:v>2704.0738656005296</c:v>
                </c:pt>
                <c:pt idx="39">
                  <c:v>2902.5381324676164</c:v>
                </c:pt>
                <c:pt idx="40">
                  <c:v>3120.1971492301491</c:v>
                </c:pt>
                <c:pt idx="41">
                  <c:v>3357.0409564932061</c:v>
                </c:pt>
                <c:pt idx="42">
                  <c:v>3612.973824663688</c:v>
                </c:pt>
                <c:pt idx="43">
                  <c:v>3887.8182867440746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293-41DD-A637-A280AECB4BFA}"/>
            </c:ext>
          </c:extLst>
        </c:ser>
        <c:ser>
          <c:idx val="24"/>
          <c:order val="24"/>
          <c:tx>
            <c:strRef>
              <c:f>KPlot!$EP$27</c:f>
              <c:strCache>
                <c:ptCount val="1"/>
                <c:pt idx="0">
                  <c:v>0y 285d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KPlot!$AT$27:$EO$27</c:f>
              <c:numCache>
                <c:formatCode>0</c:formatCode>
                <c:ptCount val="100"/>
                <c:pt idx="0">
                  <c:v>3760.5452630926848</c:v>
                </c:pt>
                <c:pt idx="1">
                  <c:v>3650.857948101946</c:v>
                </c:pt>
                <c:pt idx="2">
                  <c:v>3542.1010886398572</c:v>
                </c:pt>
                <c:pt idx="3">
                  <c:v>3434.1536955353768</c:v>
                </c:pt>
                <c:pt idx="4">
                  <c:v>3326.9841315539616</c:v>
                </c:pt>
                <c:pt idx="5">
                  <c:v>3220.6353885041462</c:v>
                </c:pt>
                <c:pt idx="6">
                  <c:v>3115.2149030740484</c:v>
                </c:pt>
                <c:pt idx="7">
                  <c:v>3010.8850357653446</c:v>
                </c:pt>
                <c:pt idx="8">
                  <c:v>2907.8553297929375</c:v>
                </c:pt>
                <c:pt idx="9">
                  <c:v>2806.3761549228329</c:v>
                </c:pt>
                <c:pt idx="10">
                  <c:v>2706.7335982706745</c:v>
                </c:pt>
                <c:pt idx="11">
                  <c:v>2609.2454983666285</c:v>
                </c:pt>
                <c:pt idx="12">
                  <c:v>2514.2585463550295</c:v>
                </c:pt>
                <c:pt idx="13">
                  <c:v>2422.1464035429935</c:v>
                </c:pt>
                <c:pt idx="14">
                  <c:v>2333.3088167313367</c:v>
                </c:pt>
                <c:pt idx="15">
                  <c:v>2248.17177158512</c:v>
                </c:pt>
                <c:pt idx="16">
                  <c:v>2167.1888553485496</c:v>
                </c:pt>
                <c:pt idx="17">
                  <c:v>2090.844316066994</c:v>
                </c:pt>
                <c:pt idx="18">
                  <c:v>2019.659105298957</c:v>
                </c:pt>
                <c:pt idx="19">
                  <c:v>1954.2033437915095</c:v>
                </c:pt>
                <c:pt idx="20">
                  <c:v>1895.1249708129169</c:v>
                </c:pt>
                <c:pt idx="21">
                  <c:v>1843.2253355695541</c:v>
                </c:pt>
                <c:pt idx="22">
                  <c:v>1799.6954371543111</c:v>
                </c:pt>
                <c:pt idx="23">
                  <c:v>1767.0481211768922</c:v>
                </c:pt>
                <c:pt idx="24">
                  <c:v>1754.4814635390194</c:v>
                </c:pt>
                <c:pt idx="25">
                  <c:v>1712.5293982530281</c:v>
                </c:pt>
                <c:pt idx="26">
                  <c:v>1703.8923380137899</c:v>
                </c:pt>
                <c:pt idx="27">
                  <c:v>1706.231560854462</c:v>
                </c:pt>
                <c:pt idx="28">
                  <c:v>1749.9559320896117</c:v>
                </c:pt>
                <c:pt idx="29">
                  <c:v>1760.6305175874888</c:v>
                </c:pt>
                <c:pt idx="30">
                  <c:v>1794.2113670843057</c:v>
                </c:pt>
                <c:pt idx="31">
                  <c:v>1845.1526285949735</c:v>
                </c:pt>
                <c:pt idx="32">
                  <c:v>1912.3812455812549</c:v>
                </c:pt>
                <c:pt idx="33">
                  <c:v>1995.9000561659841</c:v>
                </c:pt>
                <c:pt idx="34">
                  <c:v>2096.0488051961665</c:v>
                </c:pt>
                <c:pt idx="35">
                  <c:v>2213.2688489977386</c:v>
                </c:pt>
                <c:pt idx="36">
                  <c:v>2348.0082871676373</c:v>
                </c:pt>
                <c:pt idx="37">
                  <c:v>2500.673893694986</c:v>
                </c:pt>
                <c:pt idx="38">
                  <c:v>2671.6049243419793</c:v>
                </c:pt>
                <c:pt idx="39">
                  <c:v>2861.0584695690486</c:v>
                </c:pt>
                <c:pt idx="40">
                  <c:v>3069.2019264429582</c:v>
                </c:pt>
                <c:pt idx="41">
                  <c:v>3296.1102819759435</c:v>
                </c:pt>
                <c:pt idx="42">
                  <c:v>3541.7667658275977</c:v>
                </c:pt>
                <c:pt idx="43">
                  <c:v>3806.0658181458075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293-41DD-A637-A280AECB4BFA}"/>
            </c:ext>
          </c:extLst>
        </c:ser>
        <c:ser>
          <c:idx val="25"/>
          <c:order val="25"/>
          <c:tx>
            <c:strRef>
              <c:f>KPlot!$EP$28</c:f>
              <c:strCache>
                <c:ptCount val="1"/>
                <c:pt idx="0">
                  <c:v>0y 293d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KPlot!$AT$28:$EO$28</c:f>
              <c:numCache>
                <c:formatCode>0</c:formatCode>
                <c:ptCount val="100"/>
                <c:pt idx="0">
                  <c:v>3621.7926547339066</c:v>
                </c:pt>
                <c:pt idx="1">
                  <c:v>3512.8500660846648</c:v>
                </c:pt>
                <c:pt idx="2">
                  <c:v>3405.8861677287523</c:v>
                </c:pt>
                <c:pt idx="3">
                  <c:v>3300.6745651337069</c:v>
                </c:pt>
                <c:pt idx="4">
                  <c:v>3197.0887638155377</c:v>
                </c:pt>
                <c:pt idx="5">
                  <c:v>3095.0869764188465</c:v>
                </c:pt>
                <c:pt idx="6">
                  <c:v>2994.6986074223823</c:v>
                </c:pt>
                <c:pt idx="7">
                  <c:v>2896.0130269083484</c:v>
                </c:pt>
                <c:pt idx="8">
                  <c:v>2799.1701889795218</c:v>
                </c:pt>
                <c:pt idx="9">
                  <c:v>2704.3528640860159</c:v>
                </c:pt>
                <c:pt idx="10">
                  <c:v>2611.7803062056037</c:v>
                </c:pt>
                <c:pt idx="11">
                  <c:v>2521.7032186405713</c:v>
                </c:pt>
                <c:pt idx="12">
                  <c:v>2434.3999179880839</c:v>
                </c:pt>
                <c:pt idx="13">
                  <c:v>2350.1736278494759</c:v>
                </c:pt>
                <c:pt idx="14">
                  <c:v>2269.3508679436072</c:v>
                </c:pt>
                <c:pt idx="15">
                  <c:v>2192.2809519337529</c:v>
                </c:pt>
                <c:pt idx="16">
                  <c:v>2119.3366924334559</c:v>
                </c:pt>
                <c:pt idx="17">
                  <c:v>2050.9165878124068</c:v>
                </c:pt>
                <c:pt idx="18">
                  <c:v>1987.4491598367686</c:v>
                </c:pt>
                <c:pt idx="19">
                  <c:v>1929.4010485821748</c:v>
                </c:pt>
                <c:pt idx="20">
                  <c:v>1877.2928522583197</c:v>
                </c:pt>
                <c:pt idx="21">
                  <c:v>1831.7332981413724</c:v>
                </c:pt>
                <c:pt idx="22">
                  <c:v>1793.5029147674056</c:v>
                </c:pt>
                <c:pt idx="23">
                  <c:v>1763.7940172894225</c:v>
                </c:pt>
                <c:pt idx="24">
                  <c:v>1745.0645734068671</c:v>
                </c:pt>
                <c:pt idx="25">
                  <c:v>1745.2787038113895</c:v>
                </c:pt>
                <c:pt idx="26">
                  <c:v>1715.0994862652542</c:v>
                </c:pt>
                <c:pt idx="27">
                  <c:v>1719.287906455397</c:v>
                </c:pt>
                <c:pt idx="28">
                  <c:v>1734.2201950936906</c:v>
                </c:pt>
                <c:pt idx="29">
                  <c:v>1798.5741983228818</c:v>
                </c:pt>
                <c:pt idx="30">
                  <c:v>1814.6817557160055</c:v>
                </c:pt>
                <c:pt idx="31">
                  <c:v>1858.648404645968</c:v>
                </c:pt>
                <c:pt idx="32">
                  <c:v>1920.8094890494876</c:v>
                </c:pt>
                <c:pt idx="33">
                  <c:v>1999.2839861907207</c:v>
                </c:pt>
                <c:pt idx="34">
                  <c:v>2093.8688764779554</c:v>
                </c:pt>
                <c:pt idx="35">
                  <c:v>2204.8478233966257</c:v>
                </c:pt>
                <c:pt idx="36">
                  <c:v>2332.6477338329155</c:v>
                </c:pt>
                <c:pt idx="37">
                  <c:v>2477.7103735836049</c:v>
                </c:pt>
                <c:pt idx="38">
                  <c:v>2640.4346623437159</c:v>
                </c:pt>
                <c:pt idx="39">
                  <c:v>2821.1477003310929</c:v>
                </c:pt>
                <c:pt idx="40">
                  <c:v>3020.0898425486585</c:v>
                </c:pt>
                <c:pt idx="41">
                  <c:v>3237.407798845752</c:v>
                </c:pt>
                <c:pt idx="42">
                  <c:v>3473.1528345053866</c:v>
                </c:pt>
                <c:pt idx="43">
                  <c:v>3727.282357739904</c:v>
                </c:pt>
                <c:pt idx="44">
                  <c:v>3999.6637144092711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293-41DD-A637-A280AECB4BFA}"/>
            </c:ext>
          </c:extLst>
        </c:ser>
        <c:ser>
          <c:idx val="26"/>
          <c:order val="26"/>
          <c:tx>
            <c:strRef>
              <c:f>KPlot!$EP$29</c:f>
              <c:strCache>
                <c:ptCount val="1"/>
                <c:pt idx="0">
                  <c:v>0y 302d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KPlot!$AT$29:$EO$29</c:f>
              <c:numCache>
                <c:formatCode>0</c:formatCode>
                <c:ptCount val="100"/>
                <c:pt idx="0">
                  <c:v>3516.2747180969773</c:v>
                </c:pt>
                <c:pt idx="1">
                  <c:v>3406.93377492737</c:v>
                </c:pt>
                <c:pt idx="2">
                  <c:v>3300.7136808711302</c:v>
                </c:pt>
                <c:pt idx="3">
                  <c:v>3197.260917738382</c:v>
                </c:pt>
                <c:pt idx="4">
                  <c:v>3096.3366685162464</c:v>
                </c:pt>
                <c:pt idx="5">
                  <c:v>2997.797944218737</c:v>
                </c:pt>
                <c:pt idx="6">
                  <c:v>2901.5816495333465</c:v>
                </c:pt>
                <c:pt idx="7">
                  <c:v>2807.6911704564891</c:v>
                </c:pt>
                <c:pt idx="8">
                  <c:v>2716.1851414380844</c:v>
                </c:pt>
                <c:pt idx="9">
                  <c:v>2627.1681172549934</c:v>
                </c:pt>
                <c:pt idx="10">
                  <c:v>2540.7829342706755</c:v>
                </c:pt>
                <c:pt idx="11">
                  <c:v>2457.2045966593705</c:v>
                </c:pt>
                <c:pt idx="12">
                  <c:v>2376.6355663478862</c:v>
                </c:pt>
                <c:pt idx="13">
                  <c:v>2299.3023726714941</c:v>
                </c:pt>
                <c:pt idx="14">
                  <c:v>2225.4534924111085</c:v>
                </c:pt>
                <c:pt idx="15">
                  <c:v>2155.3584892423769</c:v>
                </c:pt>
                <c:pt idx="16">
                  <c:v>2089.3084560426141</c:v>
                </c:pt>
                <c:pt idx="17">
                  <c:v>2027.6178996081976</c:v>
                </c:pt>
                <c:pt idx="18">
                  <c:v>1970.6284010496252</c:v>
                </c:pt>
                <c:pt idx="19">
                  <c:v>1918.7148048772885</c:v>
                </c:pt>
                <c:pt idx="20">
                  <c:v>1872.2956494626408</c:v>
                </c:pt>
                <c:pt idx="21">
                  <c:v>1831.8518821181528</c:v>
                </c:pt>
                <c:pt idx="22">
                  <c:v>1797.9640463018347</c:v>
                </c:pt>
                <c:pt idx="23">
                  <c:v>1771.3963206397354</c:v>
                </c:pt>
                <c:pt idx="24">
                  <c:v>1753.3191140733297</c:v>
                </c:pt>
                <c:pt idx="25">
                  <c:v>1746.0373396094924</c:v>
                </c:pt>
                <c:pt idx="26">
                  <c:v>1756.2420981201155</c:v>
                </c:pt>
                <c:pt idx="27">
                  <c:v>1736.685015780618</c:v>
                </c:pt>
                <c:pt idx="28">
                  <c:v>1751.5702073592979</c:v>
                </c:pt>
                <c:pt idx="29">
                  <c:v>1777.0481134118479</c:v>
                </c:pt>
                <c:pt idx="30">
                  <c:v>1858.6828072341464</c:v>
                </c:pt>
                <c:pt idx="31">
                  <c:v>1878.8942714278667</c:v>
                </c:pt>
                <c:pt idx="32">
                  <c:v>1932.1375386098821</c:v>
                </c:pt>
                <c:pt idx="33">
                  <c:v>2004.2961024130886</c:v>
                </c:pt>
                <c:pt idx="34">
                  <c:v>2092.8294818482727</c:v>
                </c:pt>
                <c:pt idx="35">
                  <c:v>2197.4053457351706</c:v>
                </c:pt>
                <c:pt idx="36">
                  <c:v>2318.2777019706664</c:v>
                </c:pt>
                <c:pt idx="37">
                  <c:v>2455.8598689677547</c:v>
                </c:pt>
                <c:pt idx="38">
                  <c:v>2610.5770534668504</c:v>
                </c:pt>
                <c:pt idx="39">
                  <c:v>2782.804962207445</c:v>
                </c:pt>
                <c:pt idx="40">
                  <c:v>2972.841229226769</c:v>
                </c:pt>
                <c:pt idx="41">
                  <c:v>3180.8919720266749</c:v>
                </c:pt>
                <c:pt idx="42">
                  <c:v>3407.0665417562927</c:v>
                </c:pt>
                <c:pt idx="43">
                  <c:v>3651.3772245783975</c:v>
                </c:pt>
                <c:pt idx="44">
                  <c:v>3913.7420637205169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293-41DD-A637-A280AECB4BFA}"/>
            </c:ext>
          </c:extLst>
        </c:ser>
        <c:ser>
          <c:idx val="27"/>
          <c:order val="27"/>
          <c:tx>
            <c:strRef>
              <c:f>KPlot!$EP$30</c:f>
              <c:strCache>
                <c:ptCount val="1"/>
                <c:pt idx="0">
                  <c:v>0y 310d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KPlot!$AT$30:$EO$30</c:f>
              <c:numCache>
                <c:formatCode>0</c:formatCode>
                <c:ptCount val="100"/>
                <c:pt idx="0">
                  <c:v>3444.9309020851829</c:v>
                </c:pt>
                <c:pt idx="1">
                  <c:v>3333.8627245863936</c:v>
                </c:pt>
                <c:pt idx="2">
                  <c:v>3227.1667902642148</c:v>
                </c:pt>
                <c:pt idx="3">
                  <c:v>3124.3395665861635</c:v>
                </c:pt>
                <c:pt idx="4">
                  <c:v>3025.0091001487799</c:v>
                </c:pt>
                <c:pt idx="5">
                  <c:v>2928.9128253895219</c:v>
                </c:pt>
                <c:pt idx="6">
                  <c:v>2835.8787880800473</c:v>
                </c:pt>
                <c:pt idx="7">
                  <c:v>2745.8098266465026</c:v>
                </c:pt>
                <c:pt idx="8">
                  <c:v>2658.6703277114739</c:v>
                </c:pt>
                <c:pt idx="9">
                  <c:v>2574.4752427050917</c:v>
                </c:pt>
                <c:pt idx="10">
                  <c:v>2493.2811164034674</c:v>
                </c:pt>
                <c:pt idx="11">
                  <c:v>2415.1789340023306</c:v>
                </c:pt>
                <c:pt idx="12">
                  <c:v>2340.2886402430386</c:v>
                </c:pt>
                <c:pt idx="13">
                  <c:v>2268.7552226555126</c:v>
                </c:pt>
                <c:pt idx="14">
                  <c:v>2200.7462827978115</c:v>
                </c:pt>
                <c:pt idx="15">
                  <c:v>2136.4510478630409</c:v>
                </c:pt>
                <c:pt idx="16">
                  <c:v>2076.0808068151964</c:v>
                </c:pt>
                <c:pt idx="17">
                  <c:v>2019.8708032260918</c:v>
                </c:pt>
                <c:pt idx="18">
                  <c:v>1968.0837070447672</c:v>
                </c:pt>
                <c:pt idx="19">
                  <c:v>1921.0149731270758</c:v>
                </c:pt>
                <c:pt idx="20">
                  <c:v>1879.0007915423212</c:v>
                </c:pt>
                <c:pt idx="21">
                  <c:v>1842.4302119763827</c:v>
                </c:pt>
                <c:pt idx="22">
                  <c:v>1811.7650612619725</c:v>
                </c:pt>
                <c:pt idx="23">
                  <c:v>1787.576408814235</c:v>
                </c:pt>
                <c:pt idx="24">
                  <c:v>1770.6210167380734</c:v>
                </c:pt>
                <c:pt idx="25">
                  <c:v>1762.0309925682029</c:v>
                </c:pt>
                <c:pt idx="26">
                  <c:v>1763.8993211486186</c:v>
                </c:pt>
                <c:pt idx="27">
                  <c:v>1781.7218713122472</c:v>
                </c:pt>
                <c:pt idx="28">
                  <c:v>1771.9458426862946</c:v>
                </c:pt>
                <c:pt idx="29">
                  <c:v>1795.8124019839547</c:v>
                </c:pt>
                <c:pt idx="30">
                  <c:v>1830.2528204506496</c:v>
                </c:pt>
                <c:pt idx="31">
                  <c:v>1925.3011527431067</c:v>
                </c:pt>
                <c:pt idx="32">
                  <c:v>1949.8029072275067</c:v>
                </c:pt>
                <c:pt idx="33">
                  <c:v>2011.8130899013579</c:v>
                </c:pt>
                <c:pt idx="34">
                  <c:v>2093.2169342907405</c:v>
                </c:pt>
                <c:pt idx="35">
                  <c:v>2191.0635299262476</c:v>
                </c:pt>
                <c:pt idx="36">
                  <c:v>2304.96685191285</c:v>
                </c:pt>
                <c:pt idx="37">
                  <c:v>2435.167452686278</c:v>
                </c:pt>
                <c:pt idx="38">
                  <c:v>2582.0600546353626</c:v>
                </c:pt>
                <c:pt idx="39">
                  <c:v>2746.0407082245383</c:v>
                </c:pt>
                <c:pt idx="40">
                  <c:v>2927.4470180066173</c:v>
                </c:pt>
                <c:pt idx="41">
                  <c:v>3126.5322553322562</c:v>
                </c:pt>
                <c:pt idx="42">
                  <c:v>3343.4544549899019</c:v>
                </c:pt>
                <c:pt idx="43">
                  <c:v>3578.2732998192041</c:v>
                </c:pt>
                <c:pt idx="44">
                  <c:v>3830.9515031456658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293-41DD-A637-A280AECB4BFA}"/>
            </c:ext>
          </c:extLst>
        </c:ser>
        <c:ser>
          <c:idx val="28"/>
          <c:order val="28"/>
          <c:tx>
            <c:strRef>
              <c:f>KPlot!$EP$31</c:f>
              <c:strCache>
                <c:ptCount val="1"/>
                <c:pt idx="0">
                  <c:v>0y 318d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KPlot!$AT$31:$EO$31</c:f>
              <c:numCache>
                <c:formatCode>0</c:formatCode>
                <c:ptCount val="100"/>
                <c:pt idx="0">
                  <c:v>3408.9524165379999</c:v>
                </c:pt>
                <c:pt idx="1">
                  <c:v>3294.6145052055745</c:v>
                </c:pt>
                <c:pt idx="2">
                  <c:v>3186.0254890562828</c:v>
                </c:pt>
                <c:pt idx="3">
                  <c:v>3082.5062068632542</c:v>
                </c:pt>
                <c:pt idx="4">
                  <c:v>2983.5287887028171</c:v>
                </c:pt>
                <c:pt idx="5">
                  <c:v>2888.690894545236</c:v>
                </c:pt>
                <c:pt idx="6">
                  <c:v>2797.6938796628465</c:v>
                </c:pt>
                <c:pt idx="7">
                  <c:v>2710.3244015352902</c:v>
                </c:pt>
                <c:pt idx="8">
                  <c:v>2626.4390506463842</c:v>
                </c:pt>
                <c:pt idx="9">
                  <c:v>2545.9516558540336</c:v>
                </c:pt>
                <c:pt idx="10">
                  <c:v>2468.8229786592256</c:v>
                </c:pt>
                <c:pt idx="11">
                  <c:v>2395.0525664143001</c:v>
                </c:pt>
                <c:pt idx="12">
                  <c:v>2324.6725805719225</c:v>
                </c:pt>
                <c:pt idx="13">
                  <c:v>2257.7434520650158</c:v>
                </c:pt>
                <c:pt idx="14">
                  <c:v>2194.3512426489178</c:v>
                </c:pt>
                <c:pt idx="15">
                  <c:v>2134.606610769094</c:v>
                </c:pt>
                <c:pt idx="16">
                  <c:v>2078.6452974727626</c:v>
                </c:pt>
                <c:pt idx="17">
                  <c:v>2026.6300694584604</c:v>
                </c:pt>
                <c:pt idx="18">
                  <c:v>1978.7540955650175</c:v>
                </c:pt>
                <c:pt idx="19">
                  <c:v>1935.245813414436</c:v>
                </c:pt>
                <c:pt idx="20">
                  <c:v>1896.3755092182694</c:v>
                </c:pt>
                <c:pt idx="21">
                  <c:v>1862.464175818872</c:v>
                </c:pt>
                <c:pt idx="22">
                  <c:v>1833.8959288016263</c:v>
                </c:pt>
                <c:pt idx="23">
                  <c:v>1811.1368374480849</c:v>
                </c:pt>
                <c:pt idx="24">
                  <c:v>1794.7668974151068</c:v>
                </c:pt>
                <c:pt idx="25">
                  <c:v>1785.5429818791461</c:v>
                </c:pt>
                <c:pt idx="26">
                  <c:v>1784.5488319312874</c:v>
                </c:pt>
                <c:pt idx="27">
                  <c:v>1793.6474904654726</c:v>
                </c:pt>
                <c:pt idx="28">
                  <c:v>1817.3056545264428</c:v>
                </c:pt>
                <c:pt idx="29">
                  <c:v>1873.9407228092011</c:v>
                </c:pt>
                <c:pt idx="30">
                  <c:v>1848.2985062726814</c:v>
                </c:pt>
                <c:pt idx="31">
                  <c:v>1890.5811663166717</c:v>
                </c:pt>
                <c:pt idx="32">
                  <c:v>1944.3906139529226</c:v>
                </c:pt>
                <c:pt idx="33">
                  <c:v>2025.171321128591</c:v>
                </c:pt>
                <c:pt idx="34">
                  <c:v>2095.8525318996858</c:v>
                </c:pt>
                <c:pt idx="35">
                  <c:v>2186.0971340337746</c:v>
                </c:pt>
                <c:pt idx="36">
                  <c:v>2292.837988865137</c:v>
                </c:pt>
                <c:pt idx="37">
                  <c:v>2415.7019913307413</c:v>
                </c:pt>
                <c:pt idx="38">
                  <c:v>2554.9248781124033</c:v>
                </c:pt>
                <c:pt idx="39">
                  <c:v>2710.8749031752664</c:v>
                </c:pt>
                <c:pt idx="40">
                  <c:v>2883.9066414689632</c:v>
                </c:pt>
                <c:pt idx="41">
                  <c:v>3074.3068715573895</c:v>
                </c:pt>
                <c:pt idx="42">
                  <c:v>3282.27285832497</c:v>
                </c:pt>
                <c:pt idx="43">
                  <c:v>3507.9045260043622</c:v>
                </c:pt>
                <c:pt idx="44">
                  <c:v>3751.2042748508638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293-41DD-A637-A280AECB4BFA}"/>
            </c:ext>
          </c:extLst>
        </c:ser>
        <c:ser>
          <c:idx val="29"/>
          <c:order val="29"/>
          <c:tx>
            <c:strRef>
              <c:f>KPlot!$EP$32</c:f>
              <c:strCache>
                <c:ptCount val="1"/>
                <c:pt idx="0">
                  <c:v>0y 326d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KPlot!$AT$32:$EO$32</c:f>
              <c:numCache>
                <c:formatCode>0</c:formatCode>
                <c:ptCount val="100"/>
                <c:pt idx="0">
                  <c:v>3409.7028968740506</c:v>
                </c:pt>
                <c:pt idx="1">
                  <c:v>3290.3108846739133</c:v>
                </c:pt>
                <c:pt idx="2">
                  <c:v>3178.1868022860058</c:v>
                </c:pt>
                <c:pt idx="3">
                  <c:v>3072.447915419134</c:v>
                </c:pt>
                <c:pt idx="4">
                  <c:v>2972.3857440792694</c:v>
                </c:pt>
                <c:pt idx="5">
                  <c:v>2877.4364884354318</c:v>
                </c:pt>
                <c:pt idx="6">
                  <c:v>2787.1559412066363</c:v>
                </c:pt>
                <c:pt idx="7">
                  <c:v>2701.1983730825068</c:v>
                </c:pt>
                <c:pt idx="8">
                  <c:v>2619.298938031744</c:v>
                </c:pt>
                <c:pt idx="9">
                  <c:v>2541.2592079288715</c:v>
                </c:pt>
                <c:pt idx="10">
                  <c:v>2466.9355051008333</c:v>
                </c:pt>
                <c:pt idx="11">
                  <c:v>2396.2297532532284</c:v>
                </c:pt>
                <c:pt idx="12">
                  <c:v>2329.0826095903226</c:v>
                </c:pt>
                <c:pt idx="13">
                  <c:v>2265.4686731295624</c:v>
                </c:pt>
                <c:pt idx="14">
                  <c:v>2205.3935869465431</c:v>
                </c:pt>
                <c:pt idx="15">
                  <c:v>2148.8928673431392</c:v>
                </c:pt>
                <c:pt idx="16">
                  <c:v>2096.0323039867935</c:v>
                </c:pt>
                <c:pt idx="17">
                  <c:v>2046.9097867531491</c:v>
                </c:pt>
                <c:pt idx="18">
                  <c:v>2001.6584343879902</c:v>
                </c:pt>
                <c:pt idx="19">
                  <c:v>1960.4509379170834</c:v>
                </c:pt>
                <c:pt idx="20">
                  <c:v>1923.5051051871521</c:v>
                </c:pt>
                <c:pt idx="21">
                  <c:v>1891.0907313733437</c:v>
                </c:pt>
                <c:pt idx="22">
                  <c:v>1863.5381783643288</c:v>
                </c:pt>
                <c:pt idx="23">
                  <c:v>1841.2495422930767</c:v>
                </c:pt>
                <c:pt idx="24">
                  <c:v>1824.7143456871734</c:v>
                </c:pt>
                <c:pt idx="25">
                  <c:v>1814.5343859794498</c:v>
                </c:pt>
                <c:pt idx="26">
                  <c:v>1811.4707423186685</c:v>
                </c:pt>
                <c:pt idx="27">
                  <c:v>1816.5561146567043</c:v>
                </c:pt>
                <c:pt idx="28">
                  <c:v>1831.439599184635</c:v>
                </c:pt>
                <c:pt idx="29">
                  <c:v>1859.762617135259</c:v>
                </c:pt>
                <c:pt idx="30">
                  <c:v>1915.2734327968819</c:v>
                </c:pt>
                <c:pt idx="31">
                  <c:v>1906.3932906923101</c:v>
                </c:pt>
                <c:pt idx="32">
                  <c:v>1955.8083688663273</c:v>
                </c:pt>
                <c:pt idx="33">
                  <c:v>2017.0283692736937</c:v>
                </c:pt>
                <c:pt idx="34">
                  <c:v>2103.7229467301304</c:v>
                </c:pt>
                <c:pt idx="35">
                  <c:v>2183.2126266888099</c:v>
                </c:pt>
                <c:pt idx="36">
                  <c:v>2282.1276761118747</c:v>
                </c:pt>
                <c:pt idx="37">
                  <c:v>2397.5697878640908</c:v>
                </c:pt>
                <c:pt idx="38">
                  <c:v>2529.2284761950868</c:v>
                </c:pt>
                <c:pt idx="39">
                  <c:v>2677.3365652444991</c:v>
                </c:pt>
                <c:pt idx="40">
                  <c:v>2842.2267482711486</c:v>
                </c:pt>
                <c:pt idx="41">
                  <c:v>3024.2012489429021</c:v>
                </c:pt>
                <c:pt idx="42">
                  <c:v>3223.4860292453805</c:v>
                </c:pt>
                <c:pt idx="43">
                  <c:v>3440.2140253565167</c:v>
                </c:pt>
                <c:pt idx="44">
                  <c:v>3674.4214190717921</c:v>
                </c:pt>
                <c:pt idx="45">
                  <c:v>3926.0457947709338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293-41DD-A637-A280AECB4BFA}"/>
            </c:ext>
          </c:extLst>
        </c:ser>
        <c:ser>
          <c:idx val="30"/>
          <c:order val="30"/>
          <c:tx>
            <c:strRef>
              <c:f>KPlot!$EP$33</c:f>
              <c:strCache>
                <c:ptCount val="1"/>
                <c:pt idx="0">
                  <c:v>0y 335d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KPlot!$AT$33:$EO$33</c:f>
              <c:numCache>
                <c:formatCode>0</c:formatCode>
                <c:ptCount val="100"/>
                <c:pt idx="0">
                  <c:v>3448.681746125606</c:v>
                </c:pt>
                <c:pt idx="1">
                  <c:v>3322.1759711059767</c:v>
                </c:pt>
                <c:pt idx="2">
                  <c:v>3204.6211167102674</c:v>
                </c:pt>
                <c:pt idx="3">
                  <c:v>3094.9000421424012</c:v>
                </c:pt>
                <c:pt idx="4">
                  <c:v>2992.0968322987151</c:v>
                </c:pt>
                <c:pt idx="5">
                  <c:v>2895.4630655638139</c:v>
                </c:pt>
                <c:pt idx="6">
                  <c:v>2804.3892112752401</c:v>
                </c:pt>
                <c:pt idx="7">
                  <c:v>2718.3805936372123</c:v>
                </c:pt>
                <c:pt idx="8">
                  <c:v>2637.0374165639896</c:v>
                </c:pt>
                <c:pt idx="9">
                  <c:v>2560.0384021294244</c:v>
                </c:pt>
                <c:pt idx="10">
                  <c:v>2487.1276499043579</c:v>
                </c:pt>
                <c:pt idx="11">
                  <c:v>2418.104372361061</c:v>
                </c:pt>
                <c:pt idx="12">
                  <c:v>2352.8152009943688</c:v>
                </c:pt>
                <c:pt idx="13">
                  <c:v>2291.1487885331435</c:v>
                </c:pt>
                <c:pt idx="14">
                  <c:v>2233.0324555114162</c:v>
                </c:pt>
                <c:pt idx="15">
                  <c:v>2178.4306464148854</c:v>
                </c:pt>
                <c:pt idx="16">
                  <c:v>2127.3449742167877</c:v>
                </c:pt>
                <c:pt idx="17">
                  <c:v>2079.8156455346907</c:v>
                </c:pt>
                <c:pt idx="18">
                  <c:v>2035.9240756219285</c:v>
                </c:pt>
                <c:pt idx="19">
                  <c:v>1995.7965275327194</c:v>
                </c:pt>
                <c:pt idx="20">
                  <c:v>1959.6086489921345</c:v>
                </c:pt>
                <c:pt idx="21">
                  <c:v>1927.590841765641</c:v>
                </c:pt>
                <c:pt idx="22">
                  <c:v>1900.0344930902916</c:v>
                </c:pt>
                <c:pt idx="23">
                  <c:v>1877.2992473497177</c:v>
                </c:pt>
                <c:pt idx="24">
                  <c:v>1859.821757109738</c:v>
                </c:pt>
                <c:pt idx="25">
                  <c:v>1848.1269592001768</c:v>
                </c:pt>
                <c:pt idx="26">
                  <c:v>1842.8448311234074</c:v>
                </c:pt>
                <c:pt idx="27">
                  <c:v>1844.7424440684215</c:v>
                </c:pt>
                <c:pt idx="28">
                  <c:v>1854.8063052326845</c:v>
                </c:pt>
                <c:pt idx="29">
                  <c:v>1874.5079216529127</c:v>
                </c:pt>
                <c:pt idx="30">
                  <c:v>1906.8586492024895</c:v>
                </c:pt>
                <c:pt idx="31">
                  <c:v>1962.399635326798</c:v>
                </c:pt>
                <c:pt idx="32">
                  <c:v>1968.349002539893</c:v>
                </c:pt>
                <c:pt idx="33">
                  <c:v>2024.5208002814272</c:v>
                </c:pt>
                <c:pt idx="34">
                  <c:v>2092.8710746779761</c:v>
                </c:pt>
                <c:pt idx="35">
                  <c:v>2184.8851759663248</c:v>
                </c:pt>
                <c:pt idx="36">
                  <c:v>2273.3997008250217</c:v>
                </c:pt>
                <c:pt idx="37">
                  <c:v>2380.9577589880309</c:v>
                </c:pt>
                <c:pt idx="38">
                  <c:v>2505.0529606334758</c:v>
                </c:pt>
                <c:pt idx="39">
                  <c:v>2645.4653571373669</c:v>
                </c:pt>
                <c:pt idx="40">
                  <c:v>2802.4207858944619</c:v>
                </c:pt>
                <c:pt idx="41">
                  <c:v>2976.2070222249677</c:v>
                </c:pt>
                <c:pt idx="42">
                  <c:v>3167.0650070315551</c:v>
                </c:pt>
                <c:pt idx="43">
                  <c:v>3375.1527041450236</c:v>
                </c:pt>
                <c:pt idx="44">
                  <c:v>3600.5346108165122</c:v>
                </c:pt>
                <c:pt idx="45">
                  <c:v>3843.1762258737472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293-41DD-A637-A280AECB4BFA}"/>
            </c:ext>
          </c:extLst>
        </c:ser>
        <c:ser>
          <c:idx val="31"/>
          <c:order val="31"/>
          <c:tx>
            <c:strRef>
              <c:f>KPlot!$EP$34</c:f>
              <c:strCache>
                <c:ptCount val="1"/>
                <c:pt idx="0">
                  <c:v>0y 343d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KPlot!$AT$34:$EO$34</c:f>
              <c:numCache>
                <c:formatCode>0</c:formatCode>
                <c:ptCount val="100"/>
                <c:pt idx="0">
                  <c:v>3527.5636481545735</c:v>
                </c:pt>
                <c:pt idx="1">
                  <c:v>3391.562734967833</c:v>
                </c:pt>
                <c:pt idx="2">
                  <c:v>3266.390585636218</c:v>
                </c:pt>
                <c:pt idx="3">
                  <c:v>3150.6603759919271</c:v>
                </c:pt>
                <c:pt idx="4">
                  <c:v>3043.2187699103688</c:v>
                </c:pt>
                <c:pt idx="5">
                  <c:v>2943.1074132805479</c:v>
                </c:pt>
                <c:pt idx="6">
                  <c:v>2849.5303518259952</c:v>
                </c:pt>
                <c:pt idx="7">
                  <c:v>2761.8267101003485</c:v>
                </c:pt>
                <c:pt idx="8">
                  <c:v>2679.4480369694838</c:v>
                </c:pt>
                <c:pt idx="9">
                  <c:v>2601.9397852551565</c:v>
                </c:pt>
                <c:pt idx="10">
                  <c:v>2528.9264493258588</c:v>
                </c:pt>
                <c:pt idx="11">
                  <c:v>2460.0999334234211</c:v>
                </c:pt>
                <c:pt idx="12">
                  <c:v>2395.2107650769231</c:v>
                </c:pt>
                <c:pt idx="13">
                  <c:v>2334.0618025495546</c:v>
                </c:pt>
                <c:pt idx="14">
                  <c:v>2276.5041140712924</c:v>
                </c:pt>
                <c:pt idx="15">
                  <c:v>2222.434731284693</c:v>
                </c:pt>
                <c:pt idx="16">
                  <c:v>2171.7960017063974</c:v>
                </c:pt>
                <c:pt idx="17">
                  <c:v>2124.5762868655202</c:v>
                </c:pt>
                <c:pt idx="18">
                  <c:v>2080.8117757119971</c:v>
                </c:pt>
                <c:pt idx="19">
                  <c:v>2040.589208270314</c:v>
                </c:pt>
                <c:pt idx="20">
                  <c:v>2004.0493334534142</c:v>
                </c:pt>
                <c:pt idx="21">
                  <c:v>1971.3909579696003</c:v>
                </c:pt>
                <c:pt idx="22">
                  <c:v>1942.8754792475756</c:v>
                </c:pt>
                <c:pt idx="23">
                  <c:v>1918.8318302596931</c:v>
                </c:pt>
                <c:pt idx="24">
                  <c:v>1899.6617953017462</c:v>
                </c:pt>
                <c:pt idx="25">
                  <c:v>1885.8457197091207</c:v>
                </c:pt>
                <c:pt idx="26">
                  <c:v>1877.9489793905616</c:v>
                </c:pt>
                <c:pt idx="27">
                  <c:v>1876.6312256359392</c:v>
                </c:pt>
                <c:pt idx="28">
                  <c:v>1882.6667828898505</c:v>
                </c:pt>
                <c:pt idx="29">
                  <c:v>1897.0061603070135</c:v>
                </c:pt>
                <c:pt idx="30">
                  <c:v>1920.9850918987477</c:v>
                </c:pt>
                <c:pt idx="31">
                  <c:v>1957.1440688585105</c:v>
                </c:pt>
                <c:pt idx="32">
                  <c:v>2013.7659297467305</c:v>
                </c:pt>
                <c:pt idx="33">
                  <c:v>2033.106936739325</c:v>
                </c:pt>
                <c:pt idx="34">
                  <c:v>2095.9175429100342</c:v>
                </c:pt>
                <c:pt idx="35">
                  <c:v>2171.3448207812789</c:v>
                </c:pt>
                <c:pt idx="36">
                  <c:v>2268.5548559669278</c:v>
                </c:pt>
                <c:pt idx="37">
                  <c:v>2366.2847070578391</c:v>
                </c:pt>
                <c:pt idx="38">
                  <c:v>2482.5344706324413</c:v>
                </c:pt>
                <c:pt idx="39">
                  <c:v>2615.3174693216438</c:v>
                </c:pt>
                <c:pt idx="40">
                  <c:v>2764.5098142304282</c:v>
                </c:pt>
                <c:pt idx="41">
                  <c:v>2930.3215874281323</c:v>
                </c:pt>
                <c:pt idx="42">
                  <c:v>3112.9867662997622</c:v>
                </c:pt>
                <c:pt idx="43">
                  <c:v>3312.6790891033324</c:v>
                </c:pt>
                <c:pt idx="44">
                  <c:v>3529.4828917055838</c:v>
                </c:pt>
                <c:pt idx="45">
                  <c:v>3763.3898995343407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293-41DD-A637-A280AECB4BFA}"/>
            </c:ext>
          </c:extLst>
        </c:ser>
        <c:ser>
          <c:idx val="32"/>
          <c:order val="32"/>
          <c:tx>
            <c:strRef>
              <c:f>KPlot!$EP$35</c:f>
              <c:strCache>
                <c:ptCount val="1"/>
                <c:pt idx="0">
                  <c:v>0y 351d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KPlot!$AT$35:$EO$35</c:f>
              <c:numCache>
                <c:formatCode>0</c:formatCode>
                <c:ptCount val="100"/>
                <c:pt idx="0">
                  <c:v>3648.335044580137</c:v>
                </c:pt>
                <c:pt idx="1">
                  <c:v>3500.0662030859676</c:v>
                </c:pt>
                <c:pt idx="2">
                  <c:v>3364.745301637744</c:v>
                </c:pt>
                <c:pt idx="3">
                  <c:v>3240.6732888490287</c:v>
                </c:pt>
                <c:pt idx="4">
                  <c:v>3126.4241293283008</c:v>
                </c:pt>
                <c:pt idx="5">
                  <c:v>3020.8004449819387</c:v>
                </c:pt>
                <c:pt idx="6">
                  <c:v>2922.7961239725137</c:v>
                </c:pt>
                <c:pt idx="7">
                  <c:v>2831.5650576495827</c:v>
                </c:pt>
                <c:pt idx="8">
                  <c:v>2746.395263474169</c:v>
                </c:pt>
                <c:pt idx="9">
                  <c:v>2666.6877339898874</c:v>
                </c:pt>
                <c:pt idx="10">
                  <c:v>2591.9394218582984</c:v>
                </c:pt>
                <c:pt idx="11">
                  <c:v>2521.7298311548102</c:v>
                </c:pt>
                <c:pt idx="12">
                  <c:v>2455.7107372609435</c:v>
                </c:pt>
                <c:pt idx="13">
                  <c:v>2393.5986033753538</c:v>
                </c:pt>
                <c:pt idx="14">
                  <c:v>2335.1693024507249</c:v>
                </c:pt>
                <c:pt idx="15">
                  <c:v>2280.2547906590767</c:v>
                </c:pt>
                <c:pt idx="16">
                  <c:v>2228.7414134301835</c:v>
                </c:pt>
                <c:pt idx="17">
                  <c:v>2180.5695584185278</c:v>
                </c:pt>
                <c:pt idx="18">
                  <c:v>2135.7344016831266</c:v>
                </c:pt>
                <c:pt idx="19">
                  <c:v>2094.2875236735872</c:v>
                </c:pt>
                <c:pt idx="20">
                  <c:v>2056.3391994748254</c:v>
                </c:pt>
                <c:pt idx="21">
                  <c:v>2022.0611913772191</c:v>
                </c:pt>
                <c:pt idx="22">
                  <c:v>1991.6898873015173</c:v>
                </c:pt>
                <c:pt idx="23">
                  <c:v>1965.5296279278496</c:v>
                </c:pt>
                <c:pt idx="24">
                  <c:v>1943.9560354349571</c:v>
                </c:pt>
                <c:pt idx="25">
                  <c:v>1927.419090548171</c:v>
                </c:pt>
                <c:pt idx="26">
                  <c:v>1916.4456639694847</c:v>
                </c:pt>
                <c:pt idx="27">
                  <c:v>1911.6415358490385</c:v>
                </c:pt>
                <c:pt idx="28">
                  <c:v>1913.6947672062579</c:v>
                </c:pt>
                <c:pt idx="29">
                  <c:v>1923.3884951937484</c:v>
                </c:pt>
                <c:pt idx="30">
                  <c:v>1941.6490003959602</c:v>
                </c:pt>
                <c:pt idx="31">
                  <c:v>1969.7123212393587</c:v>
                </c:pt>
                <c:pt idx="32">
                  <c:v>2009.7635717349974</c:v>
                </c:pt>
                <c:pt idx="33">
                  <c:v>2068.4428435458212</c:v>
                </c:pt>
                <c:pt idx="34">
                  <c:v>2100.1212571273863</c:v>
                </c:pt>
                <c:pt idx="35">
                  <c:v>2169.6407685758313</c:v>
                </c:pt>
                <c:pt idx="36">
                  <c:v>2252.2503224852044</c:v>
                </c:pt>
                <c:pt idx="37">
                  <c:v>2354.9017458830349</c:v>
                </c:pt>
                <c:pt idx="38">
                  <c:v>2461.9618910673371</c:v>
                </c:pt>
                <c:pt idx="39">
                  <c:v>2586.9832345383038</c:v>
                </c:pt>
                <c:pt idx="40">
                  <c:v>2728.5257432625008</c:v>
                </c:pt>
                <c:pt idx="41">
                  <c:v>2886.5483515205788</c:v>
                </c:pt>
                <c:pt idx="42">
                  <c:v>3061.2337500922649</c:v>
                </c:pt>
                <c:pt idx="43">
                  <c:v>3252.7554108593986</c:v>
                </c:pt>
                <c:pt idx="44">
                  <c:v>3461.2123052171546</c:v>
                </c:pt>
                <c:pt idx="45">
                  <c:v>3686.615908480886</c:v>
                </c:pt>
                <c:pt idx="46">
                  <c:v>3928.8850816501181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293-41DD-A637-A280AECB4BFA}"/>
            </c:ext>
          </c:extLst>
        </c:ser>
        <c:ser>
          <c:idx val="33"/>
          <c:order val="33"/>
          <c:tx>
            <c:strRef>
              <c:f>KPlot!$EP$36</c:f>
              <c:strCache>
                <c:ptCount val="1"/>
                <c:pt idx="0">
                  <c:v>0y 360d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KPlot!$AT$36:$EO$36</c:f>
              <c:numCache>
                <c:formatCode>0</c:formatCode>
                <c:ptCount val="100"/>
                <c:pt idx="0">
                  <c:v>3813.5290194787976</c:v>
                </c:pt>
                <c:pt idx="1">
                  <c:v>3649.7239239180253</c:v>
                </c:pt>
                <c:pt idx="2">
                  <c:v>3501.2965104312243</c:v>
                </c:pt>
                <c:pt idx="3">
                  <c:v>3366.1814918033269</c:v>
                </c:pt>
                <c:pt idx="4">
                  <c:v>3242.6361944916989</c:v>
                </c:pt>
                <c:pt idx="5">
                  <c:v>3129.1886193247742</c:v>
                </c:pt>
                <c:pt idx="6">
                  <c:v>3024.5938841820298</c:v>
                </c:pt>
                <c:pt idx="7">
                  <c:v>2927.7979337703964</c:v>
                </c:pt>
                <c:pt idx="8">
                  <c:v>2837.9075498568718</c:v>
                </c:pt>
                <c:pt idx="9">
                  <c:v>2754.165816548883</c:v>
                </c:pt>
                <c:pt idx="10">
                  <c:v>2675.9322958108842</c:v>
                </c:pt>
                <c:pt idx="11">
                  <c:v>2602.6672535673606</c:v>
                </c:pt>
                <c:pt idx="12">
                  <c:v>2533.919350432443</c:v>
                </c:pt>
                <c:pt idx="13">
                  <c:v>2469.3162762907145</c:v>
                </c:pt>
                <c:pt idx="14">
                  <c:v>2408.5578667969748</c:v>
                </c:pt>
                <c:pt idx="15">
                  <c:v>2351.4112938148692</c:v>
                </c:pt>
                <c:pt idx="16">
                  <c:v>2297.7079716758017</c:v>
                </c:pt>
                <c:pt idx="17">
                  <c:v>2247.3418671029167</c:v>
                </c:pt>
                <c:pt idx="18">
                  <c:v>2200.2689423461597</c:v>
                </c:pt>
                <c:pt idx="19">
                  <c:v>2156.5074976799206</c:v>
                </c:pt>
                <c:pt idx="20">
                  <c:v>2116.1392095615743</c:v>
                </c:pt>
                <c:pt idx="21">
                  <c:v>2079.3106823153512</c:v>
                </c:pt>
                <c:pt idx="22">
                  <c:v>2046.235340480865</c:v>
                </c:pt>
                <c:pt idx="23">
                  <c:v>2017.195479156941</c:v>
                </c:pt>
                <c:pt idx="24">
                  <c:v>1992.5442492885343</c:v>
                </c:pt>
                <c:pt idx="25">
                  <c:v>1972.7072709629078</c:v>
                </c:pt>
                <c:pt idx="26">
                  <c:v>1958.1834518462865</c:v>
                </c:pt>
                <c:pt idx="27">
                  <c:v>1949.5445678705562</c:v>
                </c:pt>
                <c:pt idx="28">
                  <c:v>1947.433699084072</c:v>
                </c:pt>
                <c:pt idx="29">
                  <c:v>1952.5647865838694</c:v>
                </c:pt>
                <c:pt idx="30">
                  <c:v>1965.7312380315002</c:v>
                </c:pt>
                <c:pt idx="31">
                  <c:v>1987.844640619089</c:v>
                </c:pt>
                <c:pt idx="32">
                  <c:v>2020.0660430738455</c:v>
                </c:pt>
                <c:pt idx="33">
                  <c:v>2064.3016406359429</c:v>
                </c:pt>
                <c:pt idx="34">
                  <c:v>2125.9488911839735</c:v>
                </c:pt>
                <c:pt idx="35">
                  <c:v>2169.2134405225479</c:v>
                </c:pt>
                <c:pt idx="36">
                  <c:v>2245.6399836552546</c:v>
                </c:pt>
                <c:pt idx="37">
                  <c:v>2335.6383645207543</c:v>
                </c:pt>
                <c:pt idx="38">
                  <c:v>2444.2206676107776</c:v>
                </c:pt>
                <c:pt idx="39">
                  <c:v>2560.6457638762886</c:v>
                </c:pt>
                <c:pt idx="40">
                  <c:v>2694.5209150470146</c:v>
                </c:pt>
                <c:pt idx="41">
                  <c:v>2844.8982007611185</c:v>
                </c:pt>
                <c:pt idx="42">
                  <c:v>3011.7937791747654</c:v>
                </c:pt>
                <c:pt idx="43">
                  <c:v>3195.3517139287537</c:v>
                </c:pt>
                <c:pt idx="44">
                  <c:v>3395.6752908878934</c:v>
                </c:pt>
                <c:pt idx="45">
                  <c:v>3612.7906592658373</c:v>
                </c:pt>
                <c:pt idx="46">
                  <c:v>3846.6341698916149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293-41DD-A637-A280AECB4BFA}"/>
            </c:ext>
          </c:extLst>
        </c:ser>
        <c:ser>
          <c:idx val="34"/>
          <c:order val="34"/>
          <c:tx>
            <c:strRef>
              <c:f>KPlot!$EP$37</c:f>
              <c:strCache>
                <c:ptCount val="1"/>
                <c:pt idx="0">
                  <c:v>0y 368d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KPlot!$AT$37:$EO$37</c:f>
              <c:numCache>
                <c:formatCode>0</c:formatCode>
                <c:ptCount val="100"/>
                <c:pt idx="0">
                  <c:v>4000</c:v>
                </c:pt>
                <c:pt idx="1">
                  <c:v>3843.2898299679346</c:v>
                </c:pt>
                <c:pt idx="2">
                  <c:v>3678.252850034467</c:v>
                </c:pt>
                <c:pt idx="3">
                  <c:v>3528.9311726482592</c:v>
                </c:pt>
                <c:pt idx="4">
                  <c:v>3393.2082327220205</c:v>
                </c:pt>
                <c:pt idx="5">
                  <c:v>3269.2914506145416</c:v>
                </c:pt>
                <c:pt idx="6">
                  <c:v>3155.660468195164</c:v>
                </c:pt>
                <c:pt idx="7">
                  <c:v>3051.0241858852132</c:v>
                </c:pt>
                <c:pt idx="8">
                  <c:v>2954.2853179235872</c:v>
                </c:pt>
                <c:pt idx="9">
                  <c:v>2864.511362107356</c:v>
                </c:pt>
                <c:pt idx="10">
                  <c:v>2780.9110296996669</c:v>
                </c:pt>
                <c:pt idx="11">
                  <c:v>2702.8153071035204</c:v>
                </c:pt>
                <c:pt idx="12">
                  <c:v>2629.6624287626391</c:v>
                </c:pt>
                <c:pt idx="13">
                  <c:v>2560.9861348804561</c:v>
                </c:pt>
                <c:pt idx="14">
                  <c:v>2496.406671020517</c:v>
                </c:pt>
                <c:pt idx="15">
                  <c:v>2435.6240614226172</c:v>
                </c:pt>
                <c:pt idx="16">
                  <c:v>2378.4132549713722</c:v>
                </c:pt>
                <c:pt idx="17">
                  <c:v>2324.6208024711905</c:v>
                </c:pt>
                <c:pt idx="18">
                  <c:v>2274.1627759223384</c:v>
                </c:pt>
                <c:pt idx="19">
                  <c:v>2227.0236841198684</c:v>
                </c:pt>
                <c:pt idx="20">
                  <c:v>2183.2561729699119</c:v>
                </c:pt>
                <c:pt idx="21">
                  <c:v>2142.9813217534675</c:v>
                </c:pt>
                <c:pt idx="22">
                  <c:v>2106.3893554550123</c:v>
                </c:pt>
                <c:pt idx="23">
                  <c:v>2073.7405834960723</c:v>
                </c:pt>
                <c:pt idx="24">
                  <c:v>2045.3663388334116</c:v>
                </c:pt>
                <c:pt idx="25">
                  <c:v>2021.6696180213696</c:v>
                </c:pt>
                <c:pt idx="26">
                  <c:v>2003.1250109996179</c:v>
                </c:pt>
                <c:pt idx="27">
                  <c:v>1990.2774100512663</c:v>
                </c:pt>
                <c:pt idx="28">
                  <c:v>1983.7391104397111</c:v>
                </c:pt>
                <c:pt idx="29">
                  <c:v>1984.1857678846554</c:v>
                </c:pt>
                <c:pt idx="30">
                  <c:v>1992.3539934987871</c:v>
                </c:pt>
                <c:pt idx="31">
                  <c:v>2009.0476816048811</c:v>
                </c:pt>
                <c:pt idx="32">
                  <c:v>2035.1683797510723</c:v>
                </c:pt>
                <c:pt idx="33">
                  <c:v>2071.8146554314872</c:v>
                </c:pt>
                <c:pt idx="34">
                  <c:v>2120.6607898615334</c:v>
                </c:pt>
                <c:pt idx="35">
                  <c:v>2186.1228306686894</c:v>
                </c:pt>
                <c:pt idx="36">
                  <c:v>2240.4564541794089</c:v>
                </c:pt>
                <c:pt idx="37">
                  <c:v>2324.0660867956694</c:v>
                </c:pt>
                <c:pt idx="38">
                  <c:v>2421.7142742001352</c:v>
                </c:pt>
                <c:pt idx="39">
                  <c:v>2536.8350498818572</c:v>
                </c:pt>
                <c:pt idx="40">
                  <c:v>2662.5990731385837</c:v>
                </c:pt>
                <c:pt idx="41">
                  <c:v>2805.3939181751698</c:v>
                </c:pt>
                <c:pt idx="42">
                  <c:v>2964.6604897793864</c:v>
                </c:pt>
                <c:pt idx="43">
                  <c:v>3140.4427250168246</c:v>
                </c:pt>
                <c:pt idx="44">
                  <c:v>3332.8302750596881</c:v>
                </c:pt>
                <c:pt idx="45">
                  <c:v>3541.8573572139471</c:v>
                </c:pt>
                <c:pt idx="46">
                  <c:v>3767.4742579610411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293-41DD-A637-A280AECB4BFA}"/>
            </c:ext>
          </c:extLst>
        </c:ser>
        <c:ser>
          <c:idx val="35"/>
          <c:order val="35"/>
          <c:tx>
            <c:strRef>
              <c:f>KPlot!$EP$38</c:f>
              <c:strCache>
                <c:ptCount val="1"/>
                <c:pt idx="0">
                  <c:v>0y 376d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KPlot!$AT$38:$EO$38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3898.7024490262147</c:v>
                </c:pt>
                <c:pt idx="3">
                  <c:v>3731.4135934567303</c:v>
                </c:pt>
                <c:pt idx="4">
                  <c:v>3580.1308374144246</c:v>
                </c:pt>
                <c:pt idx="5">
                  <c:v>3442.6796392772676</c:v>
                </c:pt>
                <c:pt idx="6">
                  <c:v>3317.2151411535824</c:v>
                </c:pt>
                <c:pt idx="7">
                  <c:v>3202.1701898228293</c:v>
                </c:pt>
                <c:pt idx="8">
                  <c:v>3096.2125259720665</c:v>
                </c:pt>
                <c:pt idx="9">
                  <c:v>2998.2096940258753</c:v>
                </c:pt>
                <c:pt idx="10">
                  <c:v>2907.2004386764893</c:v>
                </c:pt>
                <c:pt idx="11">
                  <c:v>2822.3715365404605</c:v>
                </c:pt>
                <c:pt idx="12">
                  <c:v>2743.0391669391347</c:v>
                </c:pt>
                <c:pt idx="13">
                  <c:v>2668.6340595218217</c:v>
                </c:pt>
                <c:pt idx="14">
                  <c:v>2598.6897723416596</c:v>
                </c:pt>
                <c:pt idx="15">
                  <c:v>2532.833554930884</c:v>
                </c:pt>
                <c:pt idx="16">
                  <c:v>2470.7793387455686</c:v>
                </c:pt>
                <c:pt idx="17">
                  <c:v>2412.3224730475872</c:v>
                </c:pt>
                <c:pt idx="18">
                  <c:v>2357.3358882209932</c:v>
                </c:pt>
                <c:pt idx="19">
                  <c:v>2305.7674205690701</c:v>
                </c:pt>
                <c:pt idx="20">
                  <c:v>2257.6380723107468</c:v>
                </c:pt>
                <c:pt idx="21">
                  <c:v>2213.0410068813994</c:v>
                </c:pt>
                <c:pt idx="22">
                  <c:v>2172.1410911342618</c:v>
                </c:pt>
                <c:pt idx="23">
                  <c:v>2135.1747898003614</c:v>
                </c:pt>
                <c:pt idx="24">
                  <c:v>2102.4501887320562</c:v>
                </c:pt>
                <c:pt idx="25">
                  <c:v>2074.3468652507363</c:v>
                </c:pt>
                <c:pt idx="26">
                  <c:v>2051.3152327924481</c:v>
                </c:pt>
                <c:pt idx="27">
                  <c:v>2033.8748841660017</c:v>
                </c:pt>
                <c:pt idx="28">
                  <c:v>2022.6114450618347</c:v>
                </c:pt>
                <c:pt idx="29">
                  <c:v>2018.171792630518</c:v>
                </c:pt>
                <c:pt idx="30">
                  <c:v>2021.2585938041702</c:v>
                </c:pt>
                <c:pt idx="31">
                  <c:v>2032.6270935508899</c:v>
                </c:pt>
                <c:pt idx="32">
                  <c:v>2053.0894071348994</c:v>
                </c:pt>
                <c:pt idx="33">
                  <c:v>2083.5358004630161</c:v>
                </c:pt>
                <c:pt idx="34">
                  <c:v>2125.0048264195621</c:v>
                </c:pt>
                <c:pt idx="35">
                  <c:v>2178.9661483530081</c:v>
                </c:pt>
                <c:pt idx="36">
                  <c:v>2249.025755513544</c:v>
                </c:pt>
                <c:pt idx="37">
                  <c:v>2314.0843478958022</c:v>
                </c:pt>
                <c:pt idx="38">
                  <c:v>2405.189873946535</c:v>
                </c:pt>
                <c:pt idx="39">
                  <c:v>2510.7654995983362</c:v>
                </c:pt>
                <c:pt idx="40">
                  <c:v>2633.0438330090374</c:v>
                </c:pt>
                <c:pt idx="41">
                  <c:v>2768.0840169633775</c:v>
                </c:pt>
                <c:pt idx="42">
                  <c:v>2919.8348465968375</c:v>
                </c:pt>
                <c:pt idx="43">
                  <c:v>3088.0085022473168</c:v>
                </c:pt>
                <c:pt idx="44">
                  <c:v>3272.6414161654648</c:v>
                </c:pt>
                <c:pt idx="45">
                  <c:v>3473.76567043969</c:v>
                </c:pt>
                <c:pt idx="46">
                  <c:v>3691.3413508576405</c:v>
                </c:pt>
                <c:pt idx="47">
                  <c:v>3925.2451078167451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293-41DD-A637-A280AECB4BFA}"/>
            </c:ext>
          </c:extLst>
        </c:ser>
        <c:ser>
          <c:idx val="36"/>
          <c:order val="36"/>
          <c:tx>
            <c:strRef>
              <c:f>KPlot!$EP$39</c:f>
              <c:strCache>
                <c:ptCount val="1"/>
                <c:pt idx="0">
                  <c:v>0y 384d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KPlot!$AT$39:$EO$39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3977.1327114667656</c:v>
                </c:pt>
                <c:pt idx="4">
                  <c:v>3806.2570527343678</c:v>
                </c:pt>
                <c:pt idx="5">
                  <c:v>3651.6641812756588</c:v>
                </c:pt>
                <c:pt idx="6">
                  <c:v>3511.1179945723297</c:v>
                </c:pt>
                <c:pt idx="7">
                  <c:v>3382.7218815626807</c:v>
                </c:pt>
                <c:pt idx="8">
                  <c:v>3264.8659262614301</c:v>
                </c:pt>
                <c:pt idx="9">
                  <c:v>3156.1836194847706</c:v>
                </c:pt>
                <c:pt idx="10">
                  <c:v>3055.5164808350264</c:v>
                </c:pt>
                <c:pt idx="11">
                  <c:v>2961.8852441129693</c:v>
                </c:pt>
                <c:pt idx="12">
                  <c:v>2874.4664758516524</c:v>
                </c:pt>
                <c:pt idx="13">
                  <c:v>2792.5736817838606</c:v>
                </c:pt>
                <c:pt idx="14">
                  <c:v>2715.6421139343761</c:v>
                </c:pt>
                <c:pt idx="15">
                  <c:v>2643.2166254758731</c:v>
                </c:pt>
                <c:pt idx="16">
                  <c:v>2574.9420345197286</c:v>
                </c:pt>
                <c:pt idx="17">
                  <c:v>2510.5555538079943</c:v>
                </c:pt>
                <c:pt idx="18">
                  <c:v>2449.8809223038015</c:v>
                </c:pt>
                <c:pt idx="19">
                  <c:v>2392.8239378592461</c:v>
                </c:pt>
                <c:pt idx="20">
                  <c:v>2339.3691379253396</c:v>
                </c:pt>
                <c:pt idx="21">
                  <c:v>2289.5774076800976</c:v>
                </c:pt>
                <c:pt idx="22">
                  <c:v>2243.5843114662575</c:v>
                </c:pt>
                <c:pt idx="23">
                  <c:v>2201.5989427148352</c:v>
                </c:pt>
                <c:pt idx="24">
                  <c:v>2163.9030670175998</c:v>
                </c:pt>
                <c:pt idx="25">
                  <c:v>2130.8502888809144</c:v>
                </c:pt>
                <c:pt idx="26">
                  <c:v>2102.8649023202624</c:v>
                </c:pt>
                <c:pt idx="27">
                  <c:v>2080.4399982197865</c:v>
                </c:pt>
                <c:pt idx="28">
                  <c:v>2064.1343487866061</c:v>
                </c:pt>
                <c:pt idx="29">
                  <c:v>2054.5677167039103</c:v>
                </c:pt>
                <c:pt idx="30">
                  <c:v>2052.4147911228683</c:v>
                </c:pt>
                <c:pt idx="31">
                  <c:v>2058.3990503554191</c:v>
                </c:pt>
                <c:pt idx="32">
                  <c:v>2073.288964914479</c:v>
                </c:pt>
                <c:pt idx="33">
                  <c:v>2097.8992999335869</c:v>
                </c:pt>
                <c:pt idx="34">
                  <c:v>2133.102395134254</c:v>
                </c:pt>
                <c:pt idx="35">
                  <c:v>2179.8725854526965</c:v>
                </c:pt>
                <c:pt idx="36">
                  <c:v>2239.490409128282</c:v>
                </c:pt>
                <c:pt idx="37">
                  <c:v>2314.8647688780593</c:v>
                </c:pt>
                <c:pt idx="38">
                  <c:v>2390.422360501123</c:v>
                </c:pt>
                <c:pt idx="39">
                  <c:v>2489.339866837553</c:v>
                </c:pt>
                <c:pt idx="40">
                  <c:v>2607.1729609468057</c:v>
                </c:pt>
                <c:pt idx="41">
                  <c:v>2733.0972056475111</c:v>
                </c:pt>
                <c:pt idx="42">
                  <c:v>2877.3308147516886</c:v>
                </c:pt>
                <c:pt idx="43">
                  <c:v>3038.0346482083846</c:v>
                </c:pt>
                <c:pt idx="44">
                  <c:v>3215.0784673417647</c:v>
                </c:pt>
                <c:pt idx="45">
                  <c:v>3408.4715525102847</c:v>
                </c:pt>
                <c:pt idx="46">
                  <c:v>3618.1784095902603</c:v>
                </c:pt>
                <c:pt idx="47">
                  <c:v>3844.0861119716719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93-41DD-A637-A280AECB4BFA}"/>
            </c:ext>
          </c:extLst>
        </c:ser>
        <c:ser>
          <c:idx val="37"/>
          <c:order val="37"/>
          <c:tx>
            <c:strRef>
              <c:f>KPlot!$EP$40</c:f>
              <c:strCache>
                <c:ptCount val="1"/>
                <c:pt idx="0">
                  <c:v>0y 393d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KPlot!$AT$40:$EO$40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3899.4955680572393</c:v>
                </c:pt>
                <c:pt idx="6">
                  <c:v>3740.0329545274863</c:v>
                </c:pt>
                <c:pt idx="7">
                  <c:v>3594.8573743510915</c:v>
                </c:pt>
                <c:pt idx="8">
                  <c:v>3462.0220934268227</c:v>
                </c:pt>
                <c:pt idx="9">
                  <c:v>3339.8788776592264</c:v>
                </c:pt>
                <c:pt idx="10">
                  <c:v>3227.0335069044868</c:v>
                </c:pt>
                <c:pt idx="11">
                  <c:v>3122.309427849953</c:v>
                </c:pt>
                <c:pt idx="12">
                  <c:v>3024.7181029469475</c:v>
                </c:pt>
                <c:pt idx="13">
                  <c:v>2933.4348609132285</c:v>
                </c:pt>
                <c:pt idx="14">
                  <c:v>2847.7792655153289</c:v>
                </c:pt>
                <c:pt idx="15">
                  <c:v>2767.1991970673403</c:v>
                </c:pt>
                <c:pt idx="16">
                  <c:v>2691.2579893690167</c:v>
                </c:pt>
                <c:pt idx="17">
                  <c:v>2619.6240872233939</c:v>
                </c:pt>
                <c:pt idx="18">
                  <c:v>2552.0627891287559</c:v>
                </c:pt>
                <c:pt idx="19">
                  <c:v>2488.4297184845718</c:v>
                </c:pt>
                <c:pt idx="20">
                  <c:v>2428.665726335239</c:v>
                </c:pt>
                <c:pt idx="21">
                  <c:v>2372.7929704000944</c:v>
                </c:pt>
                <c:pt idx="22">
                  <c:v>2320.9119394569088</c:v>
                </c:pt>
                <c:pt idx="23">
                  <c:v>2273.1991989632465</c:v>
                </c:pt>
                <c:pt idx="24">
                  <c:v>2229.90562223079</c:v>
                </c:pt>
                <c:pt idx="25">
                  <c:v>2191.3548398618423</c:v>
                </c:pt>
                <c:pt idx="26">
                  <c:v>2157.9415873646321</c:v>
                </c:pt>
                <c:pt idx="27">
                  <c:v>2130.129561816947</c:v>
                </c:pt>
                <c:pt idx="28">
                  <c:v>2108.4483403349004</c:v>
                </c:pt>
                <c:pt idx="29">
                  <c:v>2093.4889467808925</c:v>
                </c:pt>
                <c:pt idx="30">
                  <c:v>2085.8979334893738</c:v>
                </c:pt>
                <c:pt idx="31">
                  <c:v>2086.370495848093</c:v>
                </c:pt>
                <c:pt idx="32">
                  <c:v>2095.6438925432794</c:v>
                </c:pt>
                <c:pt idx="33">
                  <c:v>2114.4924516741335</c:v>
                </c:pt>
                <c:pt idx="34">
                  <c:v>2143.7246007885888</c:v>
                </c:pt>
                <c:pt idx="35">
                  <c:v>2184.1842307931774</c:v>
                </c:pt>
                <c:pt idx="36">
                  <c:v>2236.7739345893838</c:v>
                </c:pt>
                <c:pt idx="37">
                  <c:v>2302.5945640163045</c:v>
                </c:pt>
                <c:pt idx="38">
                  <c:v>2383.9337831566845</c:v>
                </c:pt>
                <c:pt idx="39">
                  <c:v>2469.8331982436662</c:v>
                </c:pt>
                <c:pt idx="40">
                  <c:v>2576.8552218514387</c:v>
                </c:pt>
                <c:pt idx="41">
                  <c:v>2700.9746674394355</c:v>
                </c:pt>
                <c:pt idx="42">
                  <c:v>2837.1880983473484</c:v>
                </c:pt>
                <c:pt idx="43">
                  <c:v>2990.512991927043</c:v>
                </c:pt>
                <c:pt idx="44">
                  <c:v>3160.1167176651779</c:v>
                </c:pt>
                <c:pt idx="45">
                  <c:v>3345.9372330018696</c:v>
                </c:pt>
                <c:pt idx="46">
                  <c:v>3547.9353014933699</c:v>
                </c:pt>
                <c:pt idx="47">
                  <c:v>3766.0057432426729</c:v>
                </c:pt>
                <c:pt idx="48">
                  <c:v>3999.9648179777714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93-41DD-A637-A280AECB4BFA}"/>
            </c:ext>
          </c:extLst>
        </c:ser>
        <c:ser>
          <c:idx val="38"/>
          <c:order val="38"/>
          <c:tx>
            <c:strRef>
              <c:f>KPlot!$EP$41</c:f>
              <c:strCache>
                <c:ptCount val="1"/>
                <c:pt idx="0">
                  <c:v>0y 401d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KPlot!$AT$41:$EO$41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3841.5853369554452</c:v>
                </c:pt>
                <c:pt idx="8">
                  <c:v>3690.1669266100189</c:v>
                </c:pt>
                <c:pt idx="9">
                  <c:v>3551.3499248855533</c:v>
                </c:pt>
                <c:pt idx="10">
                  <c:v>3423.4505968362373</c:v>
                </c:pt>
                <c:pt idx="11">
                  <c:v>3305.051220737017</c:v>
                </c:pt>
                <c:pt idx="12">
                  <c:v>3194.9621451273697</c:v>
                </c:pt>
                <c:pt idx="13">
                  <c:v>3092.1907681515331</c:v>
                </c:pt>
                <c:pt idx="14">
                  <c:v>2995.9161850344617</c:v>
                </c:pt>
                <c:pt idx="15">
                  <c:v>2905.4684824021128</c:v>
                </c:pt>
                <c:pt idx="16">
                  <c:v>2820.311851484601</c:v>
                </c:pt>
                <c:pt idx="17">
                  <c:v>2740.0308505713988</c:v>
                </c:pt>
                <c:pt idx="18">
                  <c:v>2664.3192747866142</c:v>
                </c:pt>
                <c:pt idx="19">
                  <c:v>2592.9711920873469</c:v>
                </c:pt>
                <c:pt idx="20">
                  <c:v>2525.8737814084761</c:v>
                </c:pt>
                <c:pt idx="21">
                  <c:v>2463.0016644393536</c:v>
                </c:pt>
                <c:pt idx="22">
                  <c:v>2404.4124582955446</c:v>
                </c:pt>
                <c:pt idx="23">
                  <c:v>2350.243293389964</c:v>
                </c:pt>
                <c:pt idx="24">
                  <c:v>2300.7080395322891</c:v>
                </c:pt>
                <c:pt idx="25">
                  <c:v>2256.0949636317455</c:v>
                </c:pt>
                <c:pt idx="26">
                  <c:v>2216.7645045583727</c:v>
                </c:pt>
                <c:pt idx="27">
                  <c:v>2183.1467982257373</c:v>
                </c:pt>
                <c:pt idx="28">
                  <c:v>2155.7385342899752</c:v>
                </c:pt>
                <c:pt idx="29">
                  <c:v>2135.0987209876434</c:v>
                </c:pt>
                <c:pt idx="30">
                  <c:v>2121.8430722139683</c:v>
                </c:pt>
                <c:pt idx="31">
                  <c:v>2116.6371182792409</c:v>
                </c:pt>
                <c:pt idx="32">
                  <c:v>2120.1886912758237</c:v>
                </c:pt>
                <c:pt idx="33">
                  <c:v>2133.2405872827167</c:v>
                </c:pt>
                <c:pt idx="34">
                  <c:v>2156.5633562597195</c:v>
                </c:pt>
                <c:pt idx="35">
                  <c:v>2190.9473239624799</c:v>
                </c:pt>
                <c:pt idx="36">
                  <c:v>2237.1954827554973</c:v>
                </c:pt>
                <c:pt idx="37">
                  <c:v>2296.1305165441549</c:v>
                </c:pt>
                <c:pt idx="38">
                  <c:v>2368.681045159321</c:v>
                </c:pt>
                <c:pt idx="39">
                  <c:v>2456.5686756254145</c:v>
                </c:pt>
                <c:pt idx="40">
                  <c:v>2552.6760072196339</c:v>
                </c:pt>
                <c:pt idx="41">
                  <c:v>2668.050421681417</c:v>
                </c:pt>
                <c:pt idx="42">
                  <c:v>2799.570812791696</c:v>
                </c:pt>
                <c:pt idx="43">
                  <c:v>2945.4436993777499</c:v>
                </c:pt>
                <c:pt idx="44">
                  <c:v>3107.7369661324415</c:v>
                </c:pt>
                <c:pt idx="45">
                  <c:v>3286.1314716208581</c:v>
                </c:pt>
                <c:pt idx="46">
                  <c:v>3480.5690368494452</c:v>
                </c:pt>
                <c:pt idx="47">
                  <c:v>3690.9496396446775</c:v>
                </c:pt>
                <c:pt idx="48">
                  <c:v>3917.0982560494704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93-41DD-A637-A280AECB4BFA}"/>
            </c:ext>
          </c:extLst>
        </c:ser>
        <c:ser>
          <c:idx val="39"/>
          <c:order val="39"/>
          <c:tx>
            <c:strRef>
              <c:f>KPlot!$EP$42</c:f>
              <c:strCache>
                <c:ptCount val="1"/>
                <c:pt idx="0">
                  <c:v>0y 409d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KPlot!$AT$42:$EO$42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3952.6149703343617</c:v>
                </c:pt>
                <c:pt idx="9">
                  <c:v>3793.3523912214214</c:v>
                </c:pt>
                <c:pt idx="10">
                  <c:v>3647.0624635281893</c:v>
                </c:pt>
                <c:pt idx="11">
                  <c:v>3512.0255667146366</c:v>
                </c:pt>
                <c:pt idx="12">
                  <c:v>3386.8010234304302</c:v>
                </c:pt>
                <c:pt idx="13">
                  <c:v>3270.1870391368602</c:v>
                </c:pt>
                <c:pt idx="14">
                  <c:v>3161.1879009109534</c:v>
                </c:pt>
                <c:pt idx="15">
                  <c:v>3058.9871154690554</c:v>
                </c:pt>
                <c:pt idx="16">
                  <c:v>2962.9254176522982</c:v>
                </c:pt>
                <c:pt idx="17">
                  <c:v>2872.4827869337068</c:v>
                </c:pt>
                <c:pt idx="18">
                  <c:v>2787.2637760654288</c:v>
                </c:pt>
                <c:pt idx="19">
                  <c:v>2706.9855879254847</c:v>
                </c:pt>
                <c:pt idx="20">
                  <c:v>2631.4684385040828</c:v>
                </c:pt>
                <c:pt idx="21">
                  <c:v>2560.6278195372302</c:v>
                </c:pt>
                <c:pt idx="22">
                  <c:v>2494.4683264964824</c:v>
                </c:pt>
                <c:pt idx="23">
                  <c:v>2433.0787486755694</c:v>
                </c:pt>
                <c:pt idx="24">
                  <c:v>2376.628129567297</c:v>
                </c:pt>
                <c:pt idx="25">
                  <c:v>2325.3624987819167</c:v>
                </c:pt>
                <c:pt idx="26">
                  <c:v>2279.6019527913522</c:v>
                </c:pt>
                <c:pt idx="27">
                  <c:v>2239.7377240693913</c:v>
                </c:pt>
                <c:pt idx="28">
                  <c:v>2206.2288367334913</c:v>
                </c:pt>
                <c:pt idx="29">
                  <c:v>2179.5979288702538</c:v>
                </c:pt>
                <c:pt idx="30">
                  <c:v>2160.4258860271766</c:v>
                </c:pt>
                <c:pt idx="31">
                  <c:v>2149.3451576346924</c:v>
                </c:pt>
                <c:pt idx="32">
                  <c:v>2147.0320165067915</c:v>
                </c:pt>
                <c:pt idx="33">
                  <c:v>2154.1982687727141</c:v>
                </c:pt>
                <c:pt idx="34">
                  <c:v>2171.5824698353135</c:v>
                </c:pt>
                <c:pt idx="35">
                  <c:v>2199.9396665627664</c:v>
                </c:pt>
                <c:pt idx="36">
                  <c:v>2240.0287266028431</c:v>
                </c:pt>
                <c:pt idx="37">
                  <c:v>2292.5992017607277</c:v>
                </c:pt>
                <c:pt idx="38">
                  <c:v>2358.386896270144</c:v>
                </c:pt>
                <c:pt idx="39">
                  <c:v>2438.156766514825</c:v>
                </c:pt>
                <c:pt idx="40">
                  <c:v>2533.1151281998054</c:v>
                </c:pt>
                <c:pt idx="41">
                  <c:v>2639.2753823111261</c:v>
                </c:pt>
                <c:pt idx="42">
                  <c:v>2763.1908445563022</c:v>
                </c:pt>
                <c:pt idx="43">
                  <c:v>2902.8446042173045</c:v>
                </c:pt>
                <c:pt idx="44">
                  <c:v>3057.9255263086134</c:v>
                </c:pt>
                <c:pt idx="45">
                  <c:v>3229.0305156422551</c:v>
                </c:pt>
                <c:pt idx="46">
                  <c:v>3416.0446141194116</c:v>
                </c:pt>
                <c:pt idx="47">
                  <c:v>3618.8714840300481</c:v>
                </c:pt>
                <c:pt idx="48">
                  <c:v>3837.3440989567471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93-41DD-A637-A280AECB4BFA}"/>
            </c:ext>
          </c:extLst>
        </c:ser>
        <c:ser>
          <c:idx val="40"/>
          <c:order val="40"/>
          <c:tx>
            <c:strRef>
              <c:f>KPlot!$EP$43</c:f>
              <c:strCache>
                <c:ptCount val="1"/>
                <c:pt idx="0">
                  <c:v>0y 418d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KPlot!$AT$43:$EO$43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3900.8407139178898</c:v>
                </c:pt>
                <c:pt idx="11">
                  <c:v>3745.7169446997032</c:v>
                </c:pt>
                <c:pt idx="12">
                  <c:v>3602.3178866401654</c:v>
                </c:pt>
                <c:pt idx="13">
                  <c:v>3469.1762321292163</c:v>
                </c:pt>
                <c:pt idx="14">
                  <c:v>3345.0747222763625</c:v>
                </c:pt>
                <c:pt idx="15">
                  <c:v>3229.0112659481847</c:v>
                </c:pt>
                <c:pt idx="16">
                  <c:v>3120.1703646161477</c:v>
                </c:pt>
                <c:pt idx="17">
                  <c:v>3017.8997115122643</c:v>
                </c:pt>
                <c:pt idx="18">
                  <c:v>2921.6910522528378</c:v>
                </c:pt>
                <c:pt idx="19">
                  <c:v>2831.1645689194211</c:v>
                </c:pt>
                <c:pt idx="20">
                  <c:v>2746.0561863420471</c:v>
                </c:pt>
                <c:pt idx="21">
                  <c:v>2666.2073032035119</c:v>
                </c:pt>
                <c:pt idx="22">
                  <c:v>2591.5565259080959</c:v>
                </c:pt>
                <c:pt idx="23">
                  <c:v>2522.133033414751</c:v>
                </c:pt>
                <c:pt idx="24">
                  <c:v>2458.051229192446</c:v>
                </c:pt>
                <c:pt idx="25">
                  <c:v>2399.5063444409243</c:v>
                </c:pt>
                <c:pt idx="26">
                  <c:v>2346.770647123682</c:v>
                </c:pt>
                <c:pt idx="27">
                  <c:v>2300.1898877687181</c:v>
                </c:pt>
                <c:pt idx="28">
                  <c:v>2260.1795829422704</c:v>
                </c:pt>
                <c:pt idx="29">
                  <c:v>2227.2207183050436</c:v>
                </c:pt>
                <c:pt idx="30">
                  <c:v>2201.8544818254622</c:v>
                </c:pt>
                <c:pt idx="31">
                  <c:v>2184.6757703740759</c:v>
                </c:pt>
                <c:pt idx="32">
                  <c:v>2176.3254772121991</c:v>
                </c:pt>
                <c:pt idx="33">
                  <c:v>2177.4818244739422</c:v>
                </c:pt>
                <c:pt idx="34">
                  <c:v>2188.8508664864485</c:v>
                </c:pt>
                <c:pt idx="35">
                  <c:v>2211.1555630749785</c:v>
                </c:pt>
                <c:pt idx="36">
                  <c:v>2245.1223300031679</c:v>
                </c:pt>
                <c:pt idx="37">
                  <c:v>2291.4649997123533</c:v>
                </c:pt>
                <c:pt idx="38">
                  <c:v>2350.8684267564031</c:v>
                </c:pt>
                <c:pt idx="39">
                  <c:v>2423.9768986830045</c:v>
                </c:pt>
                <c:pt idx="40">
                  <c:v>2511.4041644707559</c:v>
                </c:pt>
                <c:pt idx="41">
                  <c:v>2612.7494324992567</c:v>
                </c:pt>
                <c:pt idx="42">
                  <c:v>2729.8984142418376</c:v>
                </c:pt>
                <c:pt idx="43">
                  <c:v>2862.4694788917059</c:v>
                </c:pt>
                <c:pt idx="44">
                  <c:v>3010.6753141516929</c:v>
                </c:pt>
                <c:pt idx="45">
                  <c:v>3174.6219887648426</c:v>
                </c:pt>
                <c:pt idx="46">
                  <c:v>3354.3376757169731</c:v>
                </c:pt>
                <c:pt idx="47">
                  <c:v>3549.7345273488772</c:v>
                </c:pt>
                <c:pt idx="48">
                  <c:v>3760.6542605468285</c:v>
                </c:pt>
                <c:pt idx="49">
                  <c:v>3986.8614594860619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93-41DD-A637-A280AECB4BFA}"/>
            </c:ext>
          </c:extLst>
        </c:ser>
        <c:ser>
          <c:idx val="41"/>
          <c:order val="41"/>
          <c:tx>
            <c:strRef>
              <c:f>KPlot!$EP$44</c:f>
              <c:strCache>
                <c:ptCount val="1"/>
                <c:pt idx="0">
                  <c:v>0y 426d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KPlot!$AT$44:$EO$44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3844.1330848327752</c:v>
                </c:pt>
                <c:pt idx="13">
                  <c:v>3691.3605029409773</c:v>
                </c:pt>
                <c:pt idx="14">
                  <c:v>3549.4342722782667</c:v>
                </c:pt>
                <c:pt idx="15">
                  <c:v>3417.1145160867886</c:v>
                </c:pt>
                <c:pt idx="16">
                  <c:v>3293.3859199274943</c:v>
                </c:pt>
                <c:pt idx="17">
                  <c:v>3177.4273019350458</c:v>
                </c:pt>
                <c:pt idx="18">
                  <c:v>3068.5867228966317</c:v>
                </c:pt>
                <c:pt idx="19">
                  <c:v>2966.3611565584547</c:v>
                </c:pt>
                <c:pt idx="20">
                  <c:v>2870.3799248962064</c:v>
                </c:pt>
                <c:pt idx="21">
                  <c:v>2780.3912460918023</c:v>
                </c:pt>
                <c:pt idx="22">
                  <c:v>2696.2513503268938</c:v>
                </c:pt>
                <c:pt idx="23">
                  <c:v>2617.915695108496</c:v>
                </c:pt>
                <c:pt idx="24">
                  <c:v>2545.4318617534177</c:v>
                </c:pt>
                <c:pt idx="25">
                  <c:v>2478.9337413923631</c:v>
                </c:pt>
                <c:pt idx="26">
                  <c:v>2418.6366258263201</c:v>
                </c:pt>
                <c:pt idx="27">
                  <c:v>2364.8328099438186</c:v>
                </c:pt>
                <c:pt idx="28">
                  <c:v>2317.8872947991117</c:v>
                </c:pt>
                <c:pt idx="29">
                  <c:v>2278.2331664043713</c:v>
                </c:pt>
                <c:pt idx="30">
                  <c:v>2246.3662388289131</c:v>
                </c:pt>
                <c:pt idx="31">
                  <c:v>2222.838629567334</c:v>
                </c:pt>
                <c:pt idx="32">
                  <c:v>2208.2511119718747</c:v>
                </c:pt>
                <c:pt idx="33">
                  <c:v>2203.2443106142168</c:v>
                </c:pt>
                <c:pt idx="34">
                  <c:v>2208.4888395410262</c:v>
                </c:pt>
                <c:pt idx="35">
                  <c:v>2224.6740862131001</c:v>
                </c:pt>
                <c:pt idx="36">
                  <c:v>2252.4948473964969</c:v>
                </c:pt>
                <c:pt idx="37">
                  <c:v>2292.6340424796763</c:v>
                </c:pt>
                <c:pt idx="38">
                  <c:v>2345.7505747021437</c:v>
                </c:pt>
                <c:pt idx="39">
                  <c:v>2412.4541367622014</c:v>
                </c:pt>
                <c:pt idx="40">
                  <c:v>2493.2971282200233</c:v>
                </c:pt>
                <c:pt idx="41">
                  <c:v>2588.758737705215</c:v>
                </c:pt>
                <c:pt idx="42">
                  <c:v>2698.9790483138804</c:v>
                </c:pt>
                <c:pt idx="43">
                  <c:v>2824.738260245249</c:v>
                </c:pt>
                <c:pt idx="44">
                  <c:v>2966.0002357815001</c:v>
                </c:pt>
                <c:pt idx="45">
                  <c:v>3122.9272817472156</c:v>
                </c:pt>
                <c:pt idx="46">
                  <c:v>3295.4443800420686</c:v>
                </c:pt>
                <c:pt idx="47">
                  <c:v>3483.51609495309</c:v>
                </c:pt>
                <c:pt idx="48">
                  <c:v>3686.9917305469571</c:v>
                </c:pt>
                <c:pt idx="49">
                  <c:v>3905.6404282341327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93-41DD-A637-A280AECB4BFA}"/>
            </c:ext>
          </c:extLst>
        </c:ser>
        <c:ser>
          <c:idx val="42"/>
          <c:order val="42"/>
          <c:tx>
            <c:strRef>
              <c:f>KPlot!$EP$45</c:f>
              <c:strCache>
                <c:ptCount val="1"/>
                <c:pt idx="0">
                  <c:v>1y 8d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KPlot!$AT$45:$EO$45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3939.4451071733065</c:v>
                </c:pt>
                <c:pt idx="14">
                  <c:v>3776.5423991807902</c:v>
                </c:pt>
                <c:pt idx="15">
                  <c:v>3625.2190902646175</c:v>
                </c:pt>
                <c:pt idx="16">
                  <c:v>3484.2026813979501</c:v>
                </c:pt>
                <c:pt idx="17">
                  <c:v>3352.455274121714</c:v>
                </c:pt>
                <c:pt idx="18">
                  <c:v>3229.1411688891344</c:v>
                </c:pt>
                <c:pt idx="19">
                  <c:v>3113.6004133851898</c:v>
                </c:pt>
                <c:pt idx="20">
                  <c:v>3005.3272397669716</c:v>
                </c:pt>
                <c:pt idx="21">
                  <c:v>2903.9525252655912</c:v>
                </c:pt>
                <c:pt idx="22">
                  <c:v>2809.2295614756476</c:v>
                </c:pt>
                <c:pt idx="23">
                  <c:v>2721.0225300598158</c:v>
                </c:pt>
                <c:pt idx="24">
                  <c:v>2639.2971619691652</c:v>
                </c:pt>
                <c:pt idx="25">
                  <c:v>2564.1131084556891</c:v>
                </c:pt>
                <c:pt idx="26">
                  <c:v>2495.6175796893522</c:v>
                </c:pt>
                <c:pt idx="27">
                  <c:v>2434.039815650031</c:v>
                </c:pt>
                <c:pt idx="28">
                  <c:v>2379.6859506667433</c:v>
                </c:pt>
                <c:pt idx="29">
                  <c:v>2332.9338277299494</c:v>
                </c:pt>
                <c:pt idx="30">
                  <c:v>2294.2273286417417</c:v>
                </c:pt>
                <c:pt idx="31">
                  <c:v>2264.0698377120625</c:v>
                </c:pt>
                <c:pt idx="32">
                  <c:v>2243.0165771521756</c:v>
                </c:pt>
                <c:pt idx="33">
                  <c:v>2231.6657278783778</c:v>
                </c:pt>
                <c:pt idx="34">
                  <c:v>2230.6483556638286</c:v>
                </c:pt>
                <c:pt idx="35">
                  <c:v>2240.6155943480953</c:v>
                </c:pt>
                <c:pt idx="36">
                  <c:v>2262.2309906643372</c:v>
                </c:pt>
                <c:pt idx="37">
                  <c:v>2296.1467986844623</c:v>
                </c:pt>
                <c:pt idx="38">
                  <c:v>2342.9922998128295</c:v>
                </c:pt>
                <c:pt idx="39">
                  <c:v>2403.3552620948149</c:v>
                </c:pt>
                <c:pt idx="40">
                  <c:v>2477.7662061592046</c:v>
                </c:pt>
                <c:pt idx="41">
                  <c:v>2566.686294103105</c:v>
                </c:pt>
                <c:pt idx="42">
                  <c:v>2670.4918114179541</c:v>
                </c:pt>
                <c:pt idx="43">
                  <c:v>2789.4931838899074</c:v>
                </c:pt>
                <c:pt idx="44">
                  <c:v>2923.9030596785424</c:v>
                </c:pt>
                <c:pt idx="45">
                  <c:v>3073.8068405105596</c:v>
                </c:pt>
                <c:pt idx="46">
                  <c:v>3239.432142305277</c:v>
                </c:pt>
                <c:pt idx="47">
                  <c:v>3420.2235450958187</c:v>
                </c:pt>
                <c:pt idx="48">
                  <c:v>3616.3368022372269</c:v>
                </c:pt>
                <c:pt idx="49">
                  <c:v>3827.5205889474837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93-41DD-A637-A280AECB4BFA}"/>
            </c:ext>
          </c:extLst>
        </c:ser>
        <c:ser>
          <c:idx val="43"/>
          <c:order val="43"/>
          <c:tx>
            <c:strRef>
              <c:f>KPlot!$EP$46</c:f>
              <c:strCache>
                <c:ptCount val="1"/>
                <c:pt idx="0">
                  <c:v>1y 16d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KPlot!$AT$46:$EO$46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3855.6359329818579</c:v>
                </c:pt>
                <c:pt idx="16">
                  <c:v>3694.5737434065704</c:v>
                </c:pt>
                <c:pt idx="17">
                  <c:v>3544.6416250499856</c:v>
                </c:pt>
                <c:pt idx="18">
                  <c:v>3404.7684961948839</c:v>
                </c:pt>
                <c:pt idx="19">
                  <c:v>3274.0943678398621</c:v>
                </c:pt>
                <c:pt idx="20">
                  <c:v>3151.9422430164759</c:v>
                </c:pt>
                <c:pt idx="21">
                  <c:v>3037.7952527630518</c:v>
                </c:pt>
                <c:pt idx="22">
                  <c:v>2931.2780822232926</c:v>
                </c:pt>
                <c:pt idx="23">
                  <c:v>2832.141900507082</c:v>
                </c:pt>
                <c:pt idx="24">
                  <c:v>2740.2521267043694</c:v>
                </c:pt>
                <c:pt idx="25">
                  <c:v>2655.5784479590511</c:v>
                </c:pt>
                <c:pt idx="26">
                  <c:v>2578.1865596300495</c:v>
                </c:pt>
                <c:pt idx="27">
                  <c:v>2508.2311282755941</c:v>
                </c:pt>
                <c:pt idx="28">
                  <c:v>2445.9494924588789</c:v>
                </c:pt>
                <c:pt idx="29">
                  <c:v>2391.6556235116263</c:v>
                </c:pt>
                <c:pt idx="30">
                  <c:v>2345.7338820292625</c:v>
                </c:pt>
                <c:pt idx="31">
                  <c:v>2308.632145548419</c:v>
                </c:pt>
                <c:pt idx="32">
                  <c:v>2280.8539701638283</c:v>
                </c:pt>
                <c:pt idx="33">
                  <c:v>2262.9495859919534</c:v>
                </c:pt>
                <c:pt idx="34">
                  <c:v>2255.5056516021191</c:v>
                </c:pt>
                <c:pt idx="35">
                  <c:v>2259.1321313966619</c:v>
                </c:pt>
                <c:pt idx="36">
                  <c:v>2274.4552061304671</c:v>
                </c:pt>
                <c:pt idx="37">
                  <c:v>2302.093163689251</c:v>
                </c:pt>
                <c:pt idx="38">
                  <c:v>2342.6457469083202</c:v>
                </c:pt>
                <c:pt idx="39">
                  <c:v>2396.6758899065981</c:v>
                </c:pt>
                <c:pt idx="40">
                  <c:v>2464.6943114809801</c:v>
                </c:pt>
                <c:pt idx="41">
                  <c:v>2547.1469545614773</c:v>
                </c:pt>
                <c:pt idx="42">
                  <c:v>2644.4093129999851</c:v>
                </c:pt>
                <c:pt idx="43">
                  <c:v>2756.7973141662578</c:v>
                </c:pt>
                <c:pt idx="44">
                  <c:v>2884.3954089561448</c:v>
                </c:pt>
                <c:pt idx="45">
                  <c:v>3027.4085368135284</c:v>
                </c:pt>
                <c:pt idx="46">
                  <c:v>3185.8197193673759</c:v>
                </c:pt>
                <c:pt idx="47">
                  <c:v>3359.9710062720151</c:v>
                </c:pt>
                <c:pt idx="48">
                  <c:v>3548.7083768664229</c:v>
                </c:pt>
                <c:pt idx="49">
                  <c:v>3752.4859358305007</c:v>
                </c:pt>
                <c:pt idx="50">
                  <c:v>3970.9426842495741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93-41DD-A637-A280AECB4BFA}"/>
            </c:ext>
          </c:extLst>
        </c:ser>
        <c:ser>
          <c:idx val="44"/>
          <c:order val="44"/>
          <c:tx>
            <c:strRef>
              <c:f>KPlot!$EP$47</c:f>
              <c:strCache>
                <c:ptCount val="1"/>
                <c:pt idx="0">
                  <c:v>1y 25d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KPlot!$AT$47:$EO$47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3926.8143065906188</c:v>
                </c:pt>
                <c:pt idx="17">
                  <c:v>3755.9438703090536</c:v>
                </c:pt>
                <c:pt idx="18">
                  <c:v>3597.1312819910709</c:v>
                </c:pt>
                <c:pt idx="19">
                  <c:v>3449.2617324871253</c:v>
                </c:pt>
                <c:pt idx="20">
                  <c:v>3311.4413978100902</c:v>
                </c:pt>
                <c:pt idx="21">
                  <c:v>3182.9675827059309</c:v>
                </c:pt>
                <c:pt idx="22">
                  <c:v>3063.3044600113499</c:v>
                </c:pt>
                <c:pt idx="23">
                  <c:v>2952.0633697761655</c:v>
                </c:pt>
                <c:pt idx="24">
                  <c:v>2848.9868125728294</c:v>
                </c:pt>
                <c:pt idx="25">
                  <c:v>2753.9353976003067</c:v>
                </c:pt>
                <c:pt idx="26">
                  <c:v>2666.877095204467</c:v>
                </c:pt>
                <c:pt idx="27">
                  <c:v>2587.8782024487991</c:v>
                </c:pt>
                <c:pt idx="28">
                  <c:v>2517.0954671703244</c:v>
                </c:pt>
                <c:pt idx="29">
                  <c:v>2454.768839869088</c:v>
                </c:pt>
                <c:pt idx="30">
                  <c:v>2401.2143458791988</c:v>
                </c:pt>
                <c:pt idx="31">
                  <c:v>2356.8166083199731</c:v>
                </c:pt>
                <c:pt idx="32">
                  <c:v>2322.0206228441684</c:v>
                </c:pt>
                <c:pt idx="33">
                  <c:v>2297.3224960276902</c:v>
                </c:pt>
                <c:pt idx="34">
                  <c:v>2283.2573940915258</c:v>
                </c:pt>
                <c:pt idx="35">
                  <c:v>2280.3940265912524</c:v>
                </c:pt>
                <c:pt idx="36">
                  <c:v>2289.3121625156577</c:v>
                </c:pt>
                <c:pt idx="37">
                  <c:v>2310.5937876389266</c:v>
                </c:pt>
                <c:pt idx="38">
                  <c:v>2344.8053958804521</c:v>
                </c:pt>
                <c:pt idx="39">
                  <c:v>2392.4814819181643</c:v>
                </c:pt>
                <c:pt idx="40">
                  <c:v>2454.1092573925371</c:v>
                </c:pt>
                <c:pt idx="41">
                  <c:v>2530.1160690854922</c:v>
                </c:pt>
                <c:pt idx="42">
                  <c:v>2620.8617119703272</c:v>
                </c:pt>
                <c:pt idx="43">
                  <c:v>2726.645396018459</c:v>
                </c:pt>
                <c:pt idx="44">
                  <c:v>2847.7812851530125</c:v>
                </c:pt>
                <c:pt idx="45">
                  <c:v>2983.6955847018553</c:v>
                </c:pt>
                <c:pt idx="46">
                  <c:v>3135.177789568389</c:v>
                </c:pt>
                <c:pt idx="47">
                  <c:v>3301.8752385781272</c:v>
                </c:pt>
                <c:pt idx="48">
                  <c:v>3484.2615621241939</c:v>
                </c:pt>
                <c:pt idx="49">
                  <c:v>3680.5662880898672</c:v>
                </c:pt>
                <c:pt idx="50">
                  <c:v>3891.5680266762065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93-41DD-A637-A280AECB4BFA}"/>
            </c:ext>
          </c:extLst>
        </c:ser>
        <c:ser>
          <c:idx val="45"/>
          <c:order val="45"/>
          <c:tx>
            <c:strRef>
              <c:f>KPlot!$EP$48</c:f>
              <c:strCache>
                <c:ptCount val="1"/>
                <c:pt idx="0">
                  <c:v>1y 33d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KPlot!$AT$48:$EO$48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3988.6582899650339</c:v>
                </c:pt>
                <c:pt idx="18">
                  <c:v>3808.1719241620094</c:v>
                </c:pt>
                <c:pt idx="19">
                  <c:v>3640.7530695138917</c:v>
                </c:pt>
                <c:pt idx="20">
                  <c:v>3485.2338419855278</c:v>
                </c:pt>
                <c:pt idx="21">
                  <c:v>3340.6782399220665</c:v>
                </c:pt>
                <c:pt idx="22">
                  <c:v>3206.3504143023742</c:v>
                </c:pt>
                <c:pt idx="23">
                  <c:v>3081.6888987595794</c:v>
                </c:pt>
                <c:pt idx="24">
                  <c:v>2966.2856672434073</c:v>
                </c:pt>
                <c:pt idx="25">
                  <c:v>2859.8690685022975</c:v>
                </c:pt>
                <c:pt idx="26">
                  <c:v>2762.2898211300098</c:v>
                </c:pt>
                <c:pt idx="27">
                  <c:v>2673.5093489626215</c:v>
                </c:pt>
                <c:pt idx="28">
                  <c:v>2593.5898029387026</c:v>
                </c:pt>
                <c:pt idx="29">
                  <c:v>2522.6851620370635</c:v>
                </c:pt>
                <c:pt idx="30">
                  <c:v>2461.0328442775717</c:v>
                </c:pt>
                <c:pt idx="31">
                  <c:v>2408.9453030483128</c:v>
                </c:pt>
                <c:pt idx="32">
                  <c:v>2366.8011493566073</c:v>
                </c:pt>
                <c:pt idx="33">
                  <c:v>2335.0338329265264</c:v>
                </c:pt>
                <c:pt idx="34">
                  <c:v>2314.1271410957297</c:v>
                </c:pt>
                <c:pt idx="35">
                  <c:v>2304.5938977474534</c:v>
                </c:pt>
                <c:pt idx="36">
                  <c:v>2306.9685987841567</c:v>
                </c:pt>
                <c:pt idx="37">
                  <c:v>2321.7910733692679</c:v>
                </c:pt>
                <c:pt idx="38">
                  <c:v>2349.5904353121628</c:v>
                </c:pt>
                <c:pt idx="39">
                  <c:v>2390.8687241338807</c:v>
                </c:pt>
                <c:pt idx="40">
                  <c:v>2446.0855730477551</c:v>
                </c:pt>
                <c:pt idx="41">
                  <c:v>2515.6452491263954</c:v>
                </c:pt>
                <c:pt idx="42">
                  <c:v>2599.8876253250519</c:v>
                </c:pt>
                <c:pt idx="43">
                  <c:v>2699.0871098477774</c:v>
                </c:pt>
                <c:pt idx="44">
                  <c:v>2813.4794929539285</c:v>
                </c:pt>
                <c:pt idx="45">
                  <c:v>2943.4527123609523</c:v>
                </c:pt>
                <c:pt idx="46">
                  <c:v>3087.3073799053745</c:v>
                </c:pt>
                <c:pt idx="47">
                  <c:v>3247.0365757752088</c:v>
                </c:pt>
                <c:pt idx="48">
                  <c:v>3421.7173566771526</c:v>
                </c:pt>
                <c:pt idx="49">
                  <c:v>3611.9507722347994</c:v>
                </c:pt>
                <c:pt idx="50">
                  <c:v>3815.3854936066618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93-41DD-A637-A280AECB4BFA}"/>
            </c:ext>
          </c:extLst>
        </c:ser>
        <c:ser>
          <c:idx val="46"/>
          <c:order val="46"/>
          <c:tx>
            <c:strRef>
              <c:f>KPlot!$EP$49</c:f>
              <c:strCache>
                <c:ptCount val="1"/>
                <c:pt idx="0">
                  <c:v>1y 41d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KPlot!$AT$49:$EO$49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3850.4821851248998</c:v>
                </c:pt>
                <c:pt idx="20">
                  <c:v>3674.9468477204591</c:v>
                </c:pt>
                <c:pt idx="21">
                  <c:v>3512.317283874334</c:v>
                </c:pt>
                <c:pt idx="22">
                  <c:v>3361.6088798030964</c:v>
                </c:pt>
                <c:pt idx="23">
                  <c:v>3222.0469325014756</c:v>
                </c:pt>
                <c:pt idx="24">
                  <c:v>3093.0392559794345</c:v>
                </c:pt>
                <c:pt idx="25">
                  <c:v>2974.1538757329695</c:v>
                </c:pt>
                <c:pt idx="26">
                  <c:v>2865.1007709267137</c:v>
                </c:pt>
                <c:pt idx="27">
                  <c:v>2765.7167677022644</c:v>
                </c:pt>
                <c:pt idx="28">
                  <c:v>2675.9527919976967</c:v>
                </c:pt>
                <c:pt idx="29">
                  <c:v>2595.8627669517359</c:v>
                </c:pt>
                <c:pt idx="30">
                  <c:v>2525.5935003862633</c:v>
                </c:pt>
                <c:pt idx="31">
                  <c:v>2465.3749655810038</c:v>
                </c:pt>
                <c:pt idx="32">
                  <c:v>2415.5104477443974</c:v>
                </c:pt>
                <c:pt idx="33">
                  <c:v>2376.3643913385081</c:v>
                </c:pt>
                <c:pt idx="34">
                  <c:v>2348.3578667798915</c:v>
                </c:pt>
                <c:pt idx="35">
                  <c:v>2331.9461666200777</c:v>
                </c:pt>
                <c:pt idx="36">
                  <c:v>2327.6116350677594</c:v>
                </c:pt>
                <c:pt idx="37">
                  <c:v>2335.8470983736624</c:v>
                </c:pt>
                <c:pt idx="38">
                  <c:v>2357.1398289623758</c:v>
                </c:pt>
                <c:pt idx="39">
                  <c:v>2391.9551988386161</c:v>
                </c:pt>
                <c:pt idx="40">
                  <c:v>2440.7212013592898</c:v>
                </c:pt>
                <c:pt idx="41">
                  <c:v>2503.815043958698</c:v>
                </c:pt>
                <c:pt idx="42">
                  <c:v>2581.552966400287</c:v>
                </c:pt>
                <c:pt idx="43">
                  <c:v>2674.1853454650313</c:v>
                </c:pt>
                <c:pt idx="44">
                  <c:v>2781.9053591752895</c:v>
                </c:pt>
                <c:pt idx="45">
                  <c:v>2904.8966142721147</c:v>
                </c:pt>
                <c:pt idx="46">
                  <c:v>3043.7143486189161</c:v>
                </c:pt>
                <c:pt idx="47">
                  <c:v>3195.0485080200206</c:v>
                </c:pt>
                <c:pt idx="48">
                  <c:v>3362.7184350311009</c:v>
                </c:pt>
                <c:pt idx="49">
                  <c:v>3547.8069929552648</c:v>
                </c:pt>
                <c:pt idx="50">
                  <c:v>3742.6123239186477</c:v>
                </c:pt>
                <c:pt idx="51">
                  <c:v>3952.6787901901062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93-41DD-A637-A280AECB4BFA}"/>
            </c:ext>
          </c:extLst>
        </c:ser>
        <c:ser>
          <c:idx val="47"/>
          <c:order val="47"/>
          <c:tx>
            <c:strRef>
              <c:f>KPlot!$EP$50</c:f>
              <c:strCache>
                <c:ptCount val="1"/>
                <c:pt idx="0">
                  <c:v>1y 49d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KPlot!$AT$50:$EO$50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3882.4571941054883</c:v>
                </c:pt>
                <c:pt idx="21">
                  <c:v>3699.4817514109941</c:v>
                </c:pt>
                <c:pt idx="22">
                  <c:v>3530.4450724797589</c:v>
                </c:pt>
                <c:pt idx="23">
                  <c:v>3374.3098057158418</c:v>
                </c:pt>
                <c:pt idx="24">
                  <c:v>3230.2587309571472</c:v>
                </c:pt>
                <c:pt idx="25">
                  <c:v>3097.665641793531</c:v>
                </c:pt>
                <c:pt idx="26">
                  <c:v>2976.0715622376829</c:v>
                </c:pt>
                <c:pt idx="27">
                  <c:v>2865.1651650327904</c:v>
                </c:pt>
                <c:pt idx="28">
                  <c:v>2764.766413406473</c:v>
                </c:pt>
                <c:pt idx="29">
                  <c:v>2674.8125644104839</c:v>
                </c:pt>
                <c:pt idx="30">
                  <c:v>2595.3457626739955</c:v>
                </c:pt>
                <c:pt idx="31">
                  <c:v>2526.5015322578265</c:v>
                </c:pt>
                <c:pt idx="32">
                  <c:v>2468.4958455141364</c:v>
                </c:pt>
                <c:pt idx="33">
                  <c:v>2421.6203656909674</c:v>
                </c:pt>
                <c:pt idx="34">
                  <c:v>2386.2205514573125</c:v>
                </c:pt>
                <c:pt idx="35">
                  <c:v>2362.6890503572231</c:v>
                </c:pt>
                <c:pt idx="36">
                  <c:v>2351.4500420805598</c:v>
                </c:pt>
                <c:pt idx="37">
                  <c:v>2352.9440000593122</c:v>
                </c:pt>
                <c:pt idx="38">
                  <c:v>2367.6115157378313</c:v>
                </c:pt>
                <c:pt idx="39">
                  <c:v>2395.876835496219</c:v>
                </c:pt>
                <c:pt idx="40">
                  <c:v>2438.1321596348189</c:v>
                </c:pt>
                <c:pt idx="41">
                  <c:v>2494.7237894699138</c:v>
                </c:pt>
                <c:pt idx="42">
                  <c:v>2565.9410392397167</c:v>
                </c:pt>
                <c:pt idx="43">
                  <c:v>2652.0090859138236</c:v>
                </c:pt>
                <c:pt idx="44">
                  <c:v>2753.0886775249819</c:v>
                </c:pt>
                <c:pt idx="45">
                  <c:v>2869.2945680708981</c:v>
                </c:pt>
                <c:pt idx="46">
                  <c:v>3000.7787326256766</c:v>
                </c:pt>
                <c:pt idx="47">
                  <c:v>3148.3527643457514</c:v>
                </c:pt>
                <c:pt idx="48">
                  <c:v>3306.6431337931945</c:v>
                </c:pt>
                <c:pt idx="49">
                  <c:v>3481.8677122638528</c:v>
                </c:pt>
                <c:pt idx="50">
                  <c:v>3674.5087759296139</c:v>
                </c:pt>
                <c:pt idx="51">
                  <c:v>3875.7476392284452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93-41DD-A637-A280AECB4BFA}"/>
            </c:ext>
          </c:extLst>
        </c:ser>
        <c:ser>
          <c:idx val="48"/>
          <c:order val="48"/>
          <c:tx>
            <c:strRef>
              <c:f>KPlot!$EP$51</c:f>
              <c:strCache>
                <c:ptCount val="1"/>
                <c:pt idx="0">
                  <c:v>1y 58d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KPlot!$AT$51:$EO$51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3904.0069672931368</c:v>
                </c:pt>
                <c:pt idx="22">
                  <c:v>3714.422238283928</c:v>
                </c:pt>
                <c:pt idx="23">
                  <c:v>3539.8150127101044</c:v>
                </c:pt>
                <c:pt idx="24">
                  <c:v>3379.0934911844888</c:v>
                </c:pt>
                <c:pt idx="25">
                  <c:v>3231.3963391434327</c:v>
                </c:pt>
                <c:pt idx="26">
                  <c:v>3096.0617717928044</c:v>
                </c:pt>
                <c:pt idx="27">
                  <c:v>2972.602196429697</c:v>
                </c:pt>
                <c:pt idx="28">
                  <c:v>2860.6831872997627</c:v>
                </c:pt>
                <c:pt idx="29">
                  <c:v>2760.1057348946297</c:v>
                </c:pt>
                <c:pt idx="30">
                  <c:v>2670.7908422463106</c:v>
                </c:pt>
                <c:pt idx="31">
                  <c:v>2592.7656495102246</c:v>
                </c:pt>
                <c:pt idx="32">
                  <c:v>2526.1485402014573</c:v>
                </c:pt>
                <c:pt idx="33">
                  <c:v>2471.1434355996289</c:v>
                </c:pt>
                <c:pt idx="34">
                  <c:v>2428.0161488839258</c:v>
                </c:pt>
                <c:pt idx="35">
                  <c:v>2397.0874135778377</c:v>
                </c:pt>
                <c:pt idx="36">
                  <c:v>2378.7165210817302</c:v>
                </c:pt>
                <c:pt idx="37">
                  <c:v>2373.2856573792692</c:v>
                </c:pt>
                <c:pt idx="38">
                  <c:v>2381.1834334532514</c:v>
                </c:pt>
                <c:pt idx="39">
                  <c:v>2402.7881743374855</c:v>
                </c:pt>
                <c:pt idx="40">
                  <c:v>2438.4519123795885</c:v>
                </c:pt>
                <c:pt idx="41">
                  <c:v>2488.4860842072076</c:v>
                </c:pt>
                <c:pt idx="42">
                  <c:v>2553.1497069734578</c:v>
                </c:pt>
                <c:pt idx="43">
                  <c:v>2632.6407782368233</c:v>
                </c:pt>
                <c:pt idx="44">
                  <c:v>2727.0923057859272</c:v>
                </c:pt>
                <c:pt idx="45">
                  <c:v>2836.5783643750692</c:v>
                </c:pt>
                <c:pt idx="46">
                  <c:v>2961.136014752984</c:v>
                </c:pt>
                <c:pt idx="47">
                  <c:v>3100.9042138783452</c:v>
                </c:pt>
                <c:pt idx="48">
                  <c:v>3257.0286081125905</c:v>
                </c:pt>
                <c:pt idx="49">
                  <c:v>3421.7259656681035</c:v>
                </c:pt>
                <c:pt idx="50">
                  <c:v>3604.0446743470384</c:v>
                </c:pt>
                <c:pt idx="51">
                  <c:v>3803.6563365719508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93-41DD-A637-A280AECB4BFA}"/>
            </c:ext>
          </c:extLst>
        </c:ser>
        <c:ser>
          <c:idx val="49"/>
          <c:order val="49"/>
          <c:tx>
            <c:strRef>
              <c:f>KPlot!$EP$52</c:f>
              <c:strCache>
                <c:ptCount val="1"/>
                <c:pt idx="0">
                  <c:v>1y 66d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KPlot!$AT$52:$EO$52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3915.3328942286498</c:v>
                </c:pt>
                <c:pt idx="23">
                  <c:v>3720.0910223581886</c:v>
                </c:pt>
                <c:pt idx="24">
                  <c:v>3540.8525985119991</c:v>
                </c:pt>
                <c:pt idx="25">
                  <c:v>3376.471938398673</c:v>
                </c:pt>
                <c:pt idx="26">
                  <c:v>3226.0438834217593</c:v>
                </c:pt>
                <c:pt idx="27">
                  <c:v>3088.8710481410126</c:v>
                </c:pt>
                <c:pt idx="28">
                  <c:v>2964.4368159976725</c:v>
                </c:pt>
                <c:pt idx="29">
                  <c:v>2852.3827696644021</c:v>
                </c:pt>
                <c:pt idx="30">
                  <c:v>2752.4894234520489</c:v>
                </c:pt>
                <c:pt idx="31">
                  <c:v>2664.6574932515882</c:v>
                </c:pt>
                <c:pt idx="32">
                  <c:v>2588.899360796875</c:v>
                </c:pt>
                <c:pt idx="33">
                  <c:v>2525.3141593879745</c:v>
                </c:pt>
                <c:pt idx="34">
                  <c:v>2474.0797839859752</c:v>
                </c:pt>
                <c:pt idx="35">
                  <c:v>2435.4363676949383</c:v>
                </c:pt>
                <c:pt idx="36">
                  <c:v>2409.6707564831686</c:v>
                </c:pt>
                <c:pt idx="37">
                  <c:v>2397.1002280278444</c:v>
                </c:pt>
                <c:pt idx="38">
                  <c:v>2398.0555597840439</c:v>
                </c:pt>
                <c:pt idx="39">
                  <c:v>2412.8639272446608</c:v>
                </c:pt>
                <c:pt idx="40">
                  <c:v>2441.8324898866449</c:v>
                </c:pt>
                <c:pt idx="41">
                  <c:v>2485.2336037026589</c:v>
                </c:pt>
                <c:pt idx="42">
                  <c:v>2543.2923520606719</c:v>
                </c:pt>
                <c:pt idx="43">
                  <c:v>2616.1769089118161</c:v>
                </c:pt>
                <c:pt idx="44">
                  <c:v>2703.9924933798438</c:v>
                </c:pt>
                <c:pt idx="45">
                  <c:v>2806.7806237135892</c:v>
                </c:pt>
                <c:pt idx="46">
                  <c:v>2924.5299311624522</c:v>
                </c:pt>
                <c:pt idx="47">
                  <c:v>3057.2096388752725</c:v>
                </c:pt>
                <c:pt idx="48">
                  <c:v>3204.9500198953319</c:v>
                </c:pt>
                <c:pt idx="49">
                  <c:v>3369.2711023513452</c:v>
                </c:pt>
                <c:pt idx="50">
                  <c:v>3539.8476277453365</c:v>
                </c:pt>
                <c:pt idx="51">
                  <c:v>3728.7315963976525</c:v>
                </c:pt>
                <c:pt idx="52">
                  <c:v>3934.6917832761683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93-41DD-A637-A280AECB4BFA}"/>
            </c:ext>
          </c:extLst>
        </c:ser>
        <c:ser>
          <c:idx val="50"/>
          <c:order val="50"/>
          <c:tx>
            <c:strRef>
              <c:f>KPlot!$EP$53</c:f>
              <c:strCache>
                <c:ptCount val="1"/>
                <c:pt idx="0">
                  <c:v>1y 74d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KPlot!$AT$53:$EO$53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3916.8884733431614</c:v>
                </c:pt>
                <c:pt idx="24">
                  <c:v>3717.0306533283515</c:v>
                </c:pt>
                <c:pt idx="25">
                  <c:v>3534.1739482868875</c:v>
                </c:pt>
                <c:pt idx="26">
                  <c:v>3367.1212941806543</c:v>
                </c:pt>
                <c:pt idx="27">
                  <c:v>3214.9255577597905</c:v>
                </c:pt>
                <c:pt idx="28">
                  <c:v>3076.8549405921531</c:v>
                </c:pt>
                <c:pt idx="29">
                  <c:v>2952.3642821277544</c:v>
                </c:pt>
                <c:pt idx="30">
                  <c:v>2841.0708665402826</c:v>
                </c:pt>
                <c:pt idx="31">
                  <c:v>2742.7316418392038</c:v>
                </c:pt>
                <c:pt idx="32">
                  <c:v>2657.2320048943811</c:v>
                </c:pt>
                <c:pt idx="33">
                  <c:v>2584.5577871426858</c:v>
                </c:pt>
                <c:pt idx="34">
                  <c:v>2524.7857762279891</c:v>
                </c:pt>
                <c:pt idx="35">
                  <c:v>2478.0656198525321</c:v>
                </c:pt>
                <c:pt idx="36">
                  <c:v>2444.6031776497839</c:v>
                </c:pt>
                <c:pt idx="37">
                  <c:v>2424.643388797137</c:v>
                </c:pt>
                <c:pt idx="38">
                  <c:v>2418.4526840502667</c:v>
                </c:pt>
                <c:pt idx="39">
                  <c:v>2426.3013315251519</c:v>
                </c:pt>
                <c:pt idx="40">
                  <c:v>2448.4464893022073</c:v>
                </c:pt>
                <c:pt idx="41">
                  <c:v>2485.116862108116</c:v>
                </c:pt>
                <c:pt idx="42">
                  <c:v>2536.4996105475748</c:v>
                </c:pt>
                <c:pt idx="43">
                  <c:v>2602.7298865591956</c:v>
                </c:pt>
                <c:pt idx="44">
                  <c:v>2683.8834308041364</c:v>
                </c:pt>
                <c:pt idx="45">
                  <c:v>2779.9730873319722</c:v>
                </c:pt>
                <c:pt idx="46">
                  <c:v>2890.9526484505018</c:v>
                </c:pt>
                <c:pt idx="47">
                  <c:v>3016.7246101557012</c:v>
                </c:pt>
                <c:pt idx="48">
                  <c:v>3157.199109783216</c:v>
                </c:pt>
                <c:pt idx="49">
                  <c:v>3312.4971424132837</c:v>
                </c:pt>
                <c:pt idx="50">
                  <c:v>3484.4841653081935</c:v>
                </c:pt>
                <c:pt idx="51">
                  <c:v>3660.4809940411824</c:v>
                </c:pt>
                <c:pt idx="52">
                  <c:v>3855.339579030594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93-41DD-A637-A280AECB4BFA}"/>
            </c:ext>
          </c:extLst>
        </c:ser>
        <c:ser>
          <c:idx val="51"/>
          <c:order val="51"/>
          <c:tx>
            <c:strRef>
              <c:f>KPlot!$EP$54</c:f>
              <c:strCache>
                <c:ptCount val="1"/>
                <c:pt idx="0">
                  <c:v>1y 83d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KPlot!$AT$54:$EO$54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3909.3389943687735</c:v>
                </c:pt>
                <c:pt idx="25">
                  <c:v>3705.9653757316737</c:v>
                </c:pt>
                <c:pt idx="26">
                  <c:v>3520.5499860159207</c:v>
                </c:pt>
                <c:pt idx="27">
                  <c:v>3351.8483773436219</c:v>
                </c:pt>
                <c:pt idx="28">
                  <c:v>3198.8744292320512</c:v>
                </c:pt>
                <c:pt idx="29">
                  <c:v>3060.8639337416325</c:v>
                </c:pt>
                <c:pt idx="30">
                  <c:v>2937.2423636607423</c:v>
                </c:pt>
                <c:pt idx="31">
                  <c:v>2827.606095197154</c:v>
                </c:pt>
                <c:pt idx="32">
                  <c:v>2731.6894656735758</c:v>
                </c:pt>
                <c:pt idx="33">
                  <c:v>2649.3511612447182</c:v>
                </c:pt>
                <c:pt idx="34">
                  <c:v>2580.5536020423456</c:v>
                </c:pt>
                <c:pt idx="35">
                  <c:v>2525.3446454179966</c:v>
                </c:pt>
                <c:pt idx="36">
                  <c:v>2483.8394600974325</c:v>
                </c:pt>
                <c:pt idx="37">
                  <c:v>2456.2022596632987</c:v>
                </c:pt>
                <c:pt idx="38">
                  <c:v>2442.6278306072954</c:v>
                </c:pt>
                <c:pt idx="39">
                  <c:v>2443.3231393089332</c:v>
                </c:pt>
                <c:pt idx="40">
                  <c:v>2458.4896985727046</c:v>
                </c:pt>
                <c:pt idx="41">
                  <c:v>2488.3075575369444</c:v>
                </c:pt>
                <c:pt idx="42">
                  <c:v>2532.9215547614076</c:v>
                </c:pt>
                <c:pt idx="43">
                  <c:v>2592.430119010915</c:v>
                </c:pt>
                <c:pt idx="44">
                  <c:v>2666.8768494362248</c:v>
                </c:pt>
                <c:pt idx="45">
                  <c:v>2756.245355378659</c:v>
                </c:pt>
                <c:pt idx="46">
                  <c:v>2860.4582465105159</c:v>
                </c:pt>
                <c:pt idx="47">
                  <c:v>2979.3835830442958</c:v>
                </c:pt>
                <c:pt idx="48">
                  <c:v>3112.8470792567568</c:v>
                </c:pt>
                <c:pt idx="49">
                  <c:v>3260.69762765525</c:v>
                </c:pt>
                <c:pt idx="50">
                  <c:v>3423.0396525828955</c:v>
                </c:pt>
                <c:pt idx="51">
                  <c:v>3595.3731195334221</c:v>
                </c:pt>
                <c:pt idx="52">
                  <c:v>3783.0282664481183</c:v>
                </c:pt>
                <c:pt idx="53">
                  <c:v>3983.2159654717543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93-41DD-A637-A280AECB4BFA}"/>
            </c:ext>
          </c:extLst>
        </c:ser>
        <c:ser>
          <c:idx val="52"/>
          <c:order val="52"/>
          <c:tx>
            <c:strRef>
              <c:f>KPlot!$EP$55</c:f>
              <c:strCache>
                <c:ptCount val="1"/>
                <c:pt idx="0">
                  <c:v>1y 91d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KPlot!$AT$55:$EO$55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3893.5220031415156</c:v>
                </c:pt>
                <c:pt idx="26">
                  <c:v>3687.7646182568596</c:v>
                </c:pt>
                <c:pt idx="27">
                  <c:v>3500.8728091887792</c:v>
                </c:pt>
                <c:pt idx="28">
                  <c:v>3331.5597201969968</c:v>
                </c:pt>
                <c:pt idx="29">
                  <c:v>3178.8039076572686</c:v>
                </c:pt>
                <c:pt idx="30">
                  <c:v>3041.8092243813562</c:v>
                </c:pt>
                <c:pt idx="31">
                  <c:v>2919.980218640786</c:v>
                </c:pt>
                <c:pt idx="32">
                  <c:v>2812.8835695264997</c:v>
                </c:pt>
                <c:pt idx="33">
                  <c:v>2720.230906400262</c:v>
                </c:pt>
                <c:pt idx="34">
                  <c:v>2641.8549602897729</c:v>
                </c:pt>
                <c:pt idx="35">
                  <c:v>2577.6888120122094</c:v>
                </c:pt>
                <c:pt idx="36">
                  <c:v>2527.7458579660897</c:v>
                </c:pt>
                <c:pt idx="37">
                  <c:v>2492.1000669800987</c:v>
                </c:pt>
                <c:pt idx="38">
                  <c:v>2470.866352684468</c:v>
                </c:pt>
                <c:pt idx="39">
                  <c:v>2464.1812248599508</c:v>
                </c:pt>
                <c:pt idx="40">
                  <c:v>2472.1842901494238</c:v>
                </c:pt>
                <c:pt idx="41">
                  <c:v>2495.00142581811</c:v>
                </c:pt>
                <c:pt idx="42">
                  <c:v>2532.7302861174439</c:v>
                </c:pt>
                <c:pt idx="43">
                  <c:v>2585.4283824760992</c:v>
                </c:pt>
                <c:pt idx="44">
                  <c:v>2653.1038095169238</c:v>
                </c:pt>
                <c:pt idx="45">
                  <c:v>2735.7088785426035</c:v>
                </c:pt>
                <c:pt idx="46">
                  <c:v>2833.1371598233109</c:v>
                </c:pt>
                <c:pt idx="47">
                  <c:v>2945.2262118606418</c:v>
                </c:pt>
                <c:pt idx="48">
                  <c:v>3071.7586959787877</c:v>
                </c:pt>
                <c:pt idx="49">
                  <c:v>3212.4927226136879</c:v>
                </c:pt>
                <c:pt idx="50">
                  <c:v>3367.2156301676268</c:v>
                </c:pt>
                <c:pt idx="51">
                  <c:v>3535.9971769800022</c:v>
                </c:pt>
                <c:pt idx="52">
                  <c:v>3713.9240985688402</c:v>
                </c:pt>
                <c:pt idx="53">
                  <c:v>3906.8286823808357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93-41DD-A637-A280AECB4BFA}"/>
            </c:ext>
          </c:extLst>
        </c:ser>
        <c:ser>
          <c:idx val="53"/>
          <c:order val="53"/>
          <c:tx>
            <c:strRef>
              <c:f>KPlot!$EP$56</c:f>
              <c:strCache>
                <c:ptCount val="1"/>
                <c:pt idx="0">
                  <c:v>1y 99d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KPlot!$AT$56:$EO$56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3870.4099744384521</c:v>
                </c:pt>
                <c:pt idx="27">
                  <c:v>3663.4090992101387</c:v>
                </c:pt>
                <c:pt idx="28">
                  <c:v>3476.1248746179663</c:v>
                </c:pt>
                <c:pt idx="29">
                  <c:v>3307.2334742886533</c:v>
                </c:pt>
                <c:pt idx="30">
                  <c:v>3155.679967765147</c:v>
                </c:pt>
                <c:pt idx="31">
                  <c:v>3020.6463993194748</c:v>
                </c:pt>
                <c:pt idx="32">
                  <c:v>2901.5063421144978</c:v>
                </c:pt>
                <c:pt idx="33">
                  <c:v>2797.8031684898278</c:v>
                </c:pt>
                <c:pt idx="34">
                  <c:v>2709.2221562802119</c:v>
                </c:pt>
                <c:pt idx="35">
                  <c:v>2635.5666323828341</c:v>
                </c:pt>
                <c:pt idx="36">
                  <c:v>2576.7355099847045</c:v>
                </c:pt>
                <c:pt idx="37">
                  <c:v>2532.7016546576951</c:v>
                </c:pt>
                <c:pt idx="38">
                  <c:v>2503.4907746737772</c:v>
                </c:pt>
                <c:pt idx="39">
                  <c:v>2489.160861473254</c:v>
                </c:pt>
                <c:pt idx="40">
                  <c:v>2489.7826169579475</c:v>
                </c:pt>
                <c:pt idx="41">
                  <c:v>2505.4216278026033</c:v>
                </c:pt>
                <c:pt idx="42">
                  <c:v>2536.1229801127074</c:v>
                </c:pt>
                <c:pt idx="43">
                  <c:v>2581.8985641242798</c:v>
                </c:pt>
                <c:pt idx="44">
                  <c:v>2642.7170119887064</c:v>
                </c:pt>
                <c:pt idx="45">
                  <c:v>2718.4963439232506</c:v>
                </c:pt>
                <c:pt idx="46">
                  <c:v>2809.0996458465229</c:v>
                </c:pt>
                <c:pt idx="47">
                  <c:v>2914.3358570536184</c:v>
                </c:pt>
                <c:pt idx="48">
                  <c:v>3033.955820771926</c:v>
                </c:pt>
                <c:pt idx="49">
                  <c:v>3167.6725723225281</c:v>
                </c:pt>
                <c:pt idx="50">
                  <c:v>3315.1747855331378</c:v>
                </c:pt>
                <c:pt idx="51">
                  <c:v>3476.1899695532811</c:v>
                </c:pt>
                <c:pt idx="52">
                  <c:v>3650.7295709682849</c:v>
                </c:pt>
                <c:pt idx="53">
                  <c:v>3840.7749860970657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93-41DD-A637-A280AECB4BFA}"/>
            </c:ext>
          </c:extLst>
        </c:ser>
        <c:ser>
          <c:idx val="54"/>
          <c:order val="54"/>
          <c:tx>
            <c:strRef>
              <c:f>KPlot!$EP$57</c:f>
              <c:strCache>
                <c:ptCount val="1"/>
                <c:pt idx="0">
                  <c:v>1y 107d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KPlot!$AT$57:$EO$57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3841.0761621922484</c:v>
                </c:pt>
                <c:pt idx="28">
                  <c:v>3633.9601568887292</c:v>
                </c:pt>
                <c:pt idx="29">
                  <c:v>3447.3493811459671</c:v>
                </c:pt>
                <c:pt idx="30">
                  <c:v>3279.8921336027142</c:v>
                </c:pt>
                <c:pt idx="31">
                  <c:v>3130.5060132884664</c:v>
                </c:pt>
                <c:pt idx="32">
                  <c:v>2998.3435957074098</c:v>
                </c:pt>
                <c:pt idx="33">
                  <c:v>2882.7552301299147</c:v>
                </c:pt>
                <c:pt idx="34">
                  <c:v>2783.258078764939</c:v>
                </c:pt>
                <c:pt idx="35">
                  <c:v>2699.5083758367559</c:v>
                </c:pt>
                <c:pt idx="36">
                  <c:v>2631.275909966264</c:v>
                </c:pt>
                <c:pt idx="37">
                  <c:v>2578.4199996876114</c:v>
                </c:pt>
                <c:pt idx="38">
                  <c:v>2540.8665077548776</c:v>
                </c:pt>
                <c:pt idx="39">
                  <c:v>2518.5857660987886</c:v>
                </c:pt>
                <c:pt idx="40">
                  <c:v>2511.5716900158204</c:v>
                </c:pt>
                <c:pt idx="41">
                  <c:v>2519.8227415190654</c:v>
                </c:pt>
                <c:pt idx="42">
                  <c:v>2543.3254590012816</c:v>
                </c:pt>
                <c:pt idx="43">
                  <c:v>2582.0408621807128</c:v>
                </c:pt>
                <c:pt idx="44">
                  <c:v>2635.8935947762466</c:v>
                </c:pt>
                <c:pt idx="45">
                  <c:v>2704.7636875677454</c:v>
                </c:pt>
                <c:pt idx="46">
                  <c:v>2788.4811242689425</c:v>
                </c:pt>
                <c:pt idx="47">
                  <c:v>2886.8234949078224</c:v>
                </c:pt>
                <c:pt idx="48">
                  <c:v>2999.5183830927967</c:v>
                </c:pt>
                <c:pt idx="49">
                  <c:v>3126.241764609048</c:v>
                </c:pt>
                <c:pt idx="50">
                  <c:v>3266.6377533637697</c:v>
                </c:pt>
                <c:pt idx="51">
                  <c:v>3420.3326271873334</c:v>
                </c:pt>
                <c:pt idx="52">
                  <c:v>3586.9939495019744</c:v>
                </c:pt>
                <c:pt idx="53">
                  <c:v>3766.5515321249313</c:v>
                </c:pt>
                <c:pt idx="54">
                  <c:v>3960.6324444945594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93-41DD-A637-A280AECB4BFA}"/>
            </c:ext>
          </c:extLst>
        </c:ser>
        <c:ser>
          <c:idx val="55"/>
          <c:order val="55"/>
          <c:tx>
            <c:strRef>
              <c:f>KPlot!$EP$58</c:f>
              <c:strCache>
                <c:ptCount val="1"/>
                <c:pt idx="0">
                  <c:v>1y 116d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KPlot!$AT$58:$EO$58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3806.6641628454772</c:v>
                </c:pt>
                <c:pt idx="29">
                  <c:v>3600.5305085349701</c:v>
                </c:pt>
                <c:pt idx="30">
                  <c:v>3415.6332795913295</c:v>
                </c:pt>
                <c:pt idx="31">
                  <c:v>3250.5886274134709</c:v>
                </c:pt>
                <c:pt idx="32">
                  <c:v>3104.2912325590469</c:v>
                </c:pt>
                <c:pt idx="33">
                  <c:v>2975.869415969184</c:v>
                </c:pt>
                <c:pt idx="34">
                  <c:v>2864.6481158809015</c:v>
                </c:pt>
                <c:pt idx="35">
                  <c:v>2770.1163290775103</c:v>
                </c:pt>
                <c:pt idx="36">
                  <c:v>2691.8977867512635</c:v>
                </c:pt>
                <c:pt idx="37">
                  <c:v>2629.7239375303852</c:v>
                </c:pt>
                <c:pt idx="38">
                  <c:v>2583.4086094737913</c:v>
                </c:pt>
                <c:pt idx="39">
                  <c:v>2552.8240516222932</c:v>
                </c:pt>
                <c:pt idx="40">
                  <c:v>2537.8784537425176</c:v>
                </c:pt>
                <c:pt idx="41">
                  <c:v>2538.4954614100952</c:v>
                </c:pt>
                <c:pt idx="42">
                  <c:v>2554.5963902167809</c:v>
                </c:pt>
                <c:pt idx="43">
                  <c:v>2586.0855389539847</c:v>
                </c:pt>
                <c:pt idx="44">
                  <c:v>2632.8384559863571</c:v>
                </c:pt>
                <c:pt idx="45">
                  <c:v>2694.6928553157363</c:v>
                </c:pt>
                <c:pt idx="46">
                  <c:v>2771.4421881169919</c:v>
                </c:pt>
                <c:pt idx="47">
                  <c:v>2862.8321013405443</c:v>
                </c:pt>
                <c:pt idx="48">
                  <c:v>2968.561543036672</c:v>
                </c:pt>
                <c:pt idx="49">
                  <c:v>3088.2781767150132</c:v>
                </c:pt>
                <c:pt idx="50">
                  <c:v>3221.595092124453</c:v>
                </c:pt>
                <c:pt idx="51">
                  <c:v>3368.0927716049073</c:v>
                </c:pt>
                <c:pt idx="52">
                  <c:v>3527.3407231643446</c:v>
                </c:pt>
                <c:pt idx="53">
                  <c:v>3698.947541599563</c:v>
                </c:pt>
                <c:pt idx="54">
                  <c:v>3882.7446745853485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93-41DD-A637-A280AECB4BFA}"/>
            </c:ext>
          </c:extLst>
        </c:ser>
        <c:ser>
          <c:idx val="56"/>
          <c:order val="56"/>
          <c:tx>
            <c:strRef>
              <c:f>KPlot!$EP$59</c:f>
              <c:strCache>
                <c:ptCount val="1"/>
                <c:pt idx="0">
                  <c:v>1y 124d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KPlot!$AT$59:$EO$59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3996.0827646463476</c:v>
                </c:pt>
                <c:pt idx="29">
                  <c:v>3768.3591755303387</c:v>
                </c:pt>
                <c:pt idx="30">
                  <c:v>3564.2684571637792</c:v>
                </c:pt>
                <c:pt idx="31">
                  <c:v>3382.0751847891061</c:v>
                </c:pt>
                <c:pt idx="32">
                  <c:v>3220.3748882610007</c:v>
                </c:pt>
                <c:pt idx="33">
                  <c:v>3078.0398083757264</c:v>
                </c:pt>
                <c:pt idx="34">
                  <c:v>2954.1744457908308</c:v>
                </c:pt>
                <c:pt idx="35">
                  <c:v>2848.0770726292644</c:v>
                </c:pt>
                <c:pt idx="36">
                  <c:v>2759.2057026551333</c:v>
                </c:pt>
                <c:pt idx="37">
                  <c:v>2687.1473589231246</c:v>
                </c:pt>
                <c:pt idx="38">
                  <c:v>2631.5898081635605</c:v>
                </c:pt>
                <c:pt idx="39">
                  <c:v>2592.2952717080943</c:v>
                </c:pt>
                <c:pt idx="40">
                  <c:v>2569.0760130831072</c:v>
                </c:pt>
                <c:pt idx="41">
                  <c:v>2561.7721367759195</c:v>
                </c:pt>
                <c:pt idx="42">
                  <c:v>2570.2322307827844</c:v>
                </c:pt>
                <c:pt idx="43">
                  <c:v>2594.2973387532438</c:v>
                </c:pt>
                <c:pt idx="44">
                  <c:v>2633.7881868163972</c:v>
                </c:pt>
                <c:pt idx="45">
                  <c:v>2688.4952239707445</c:v>
                </c:pt>
                <c:pt idx="46">
                  <c:v>2758.1712551489277</c:v>
                </c:pt>
                <c:pt idx="47">
                  <c:v>2842.5268111088162</c:v>
                </c:pt>
                <c:pt idx="48">
                  <c:v>2941.2283947779997</c:v>
                </c:pt>
                <c:pt idx="49">
                  <c:v>3053.9008791073793</c:v>
                </c:pt>
                <c:pt idx="50">
                  <c:v>3180.124996251192</c:v>
                </c:pt>
                <c:pt idx="51">
                  <c:v>3319.4529658484571</c:v>
                </c:pt>
                <c:pt idx="52">
                  <c:v>3471.4109874415208</c:v>
                </c:pt>
                <c:pt idx="53">
                  <c:v>3635.5181409142187</c:v>
                </c:pt>
                <c:pt idx="54">
                  <c:v>3811.3272570455447</c:v>
                </c:pt>
                <c:pt idx="55">
                  <c:v>3998.5656887587702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93-41DD-A637-A280AECB4BFA}"/>
            </c:ext>
          </c:extLst>
        </c:ser>
        <c:ser>
          <c:idx val="57"/>
          <c:order val="57"/>
          <c:tx>
            <c:strRef>
              <c:f>KPlot!$EP$60</c:f>
              <c:strCache>
                <c:ptCount val="1"/>
                <c:pt idx="0">
                  <c:v>1y 132d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KPlot!$AT$60:$EO$60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3952.6683246318498</c:v>
                </c:pt>
                <c:pt idx="30">
                  <c:v>3727.3735807228804</c:v>
                </c:pt>
                <c:pt idx="31">
                  <c:v>3526.3261192340215</c:v>
                </c:pt>
                <c:pt idx="32">
                  <c:v>3347.7737039412814</c:v>
                </c:pt>
                <c:pt idx="33">
                  <c:v>3190.2924316219255</c:v>
                </c:pt>
                <c:pt idx="34">
                  <c:v>3052.7332521263597</c:v>
                </c:pt>
                <c:pt idx="35">
                  <c:v>2934.1762342991551</c:v>
                </c:pt>
                <c:pt idx="36">
                  <c:v>2833.8907593223657</c:v>
                </c:pt>
                <c:pt idx="37">
                  <c:v>2751.3002075349218</c:v>
                </c:pt>
                <c:pt idx="38">
                  <c:v>2685.9500721514787</c:v>
                </c:pt>
                <c:pt idx="39">
                  <c:v>2637.4787953895302</c:v>
                </c:pt>
                <c:pt idx="40">
                  <c:v>2605.5910115842266</c:v>
                </c:pt>
                <c:pt idx="41">
                  <c:v>2590.0333172359383</c:v>
                </c:pt>
                <c:pt idx="42">
                  <c:v>2590.5730645325589</c:v>
                </c:pt>
                <c:pt idx="43">
                  <c:v>2606.9807038872768</c:v>
                </c:pt>
                <c:pt idx="44">
                  <c:v>2639.015726489783</c:v>
                </c:pt>
                <c:pt idx="45">
                  <c:v>2686.4157197733766</c:v>
                </c:pt>
                <c:pt idx="46">
                  <c:v>2748.8880723220959</c:v>
                </c:pt>
                <c:pt idx="47">
                  <c:v>2826.1043015611094</c:v>
                </c:pt>
                <c:pt idx="48">
                  <c:v>2917.697164350112</c:v>
                </c:pt>
                <c:pt idx="49">
                  <c:v>3023.2620772966457</c:v>
                </c:pt>
                <c:pt idx="50">
                  <c:v>3142.3525069328548</c:v>
                </c:pt>
                <c:pt idx="51">
                  <c:v>3274.4950460115497</c:v>
                </c:pt>
                <c:pt idx="52">
                  <c:v>3419.1876214311005</c:v>
                </c:pt>
                <c:pt idx="53">
                  <c:v>3575.9100924811537</c:v>
                </c:pt>
                <c:pt idx="54">
                  <c:v>3744.1383614832885</c:v>
                </c:pt>
                <c:pt idx="55">
                  <c:v>3923.3755548194658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93-41DD-A637-A280AECB4BFA}"/>
            </c:ext>
          </c:extLst>
        </c:ser>
        <c:ser>
          <c:idx val="58"/>
          <c:order val="58"/>
          <c:tx>
            <c:strRef>
              <c:f>KPlot!$EP$61</c:f>
              <c:strCache>
                <c:ptCount val="1"/>
                <c:pt idx="0">
                  <c:v>1y 141d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KPlot!$AT$61:$EO$61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3906.7761140863486</c:v>
                </c:pt>
                <c:pt idx="31">
                  <c:v>3684.9155954401481</c:v>
                </c:pt>
                <c:pt idx="32">
                  <c:v>3487.8492275885519</c:v>
                </c:pt>
                <c:pt idx="33">
                  <c:v>3313.8097393125809</c:v>
                </c:pt>
                <c:pt idx="34">
                  <c:v>3161.3555613417639</c:v>
                </c:pt>
                <c:pt idx="35">
                  <c:v>3029.3163033282344</c:v>
                </c:pt>
                <c:pt idx="36">
                  <c:v>2916.74590162082</c:v>
                </c:pt>
                <c:pt idx="37">
                  <c:v>2822.881693095449</c:v>
                </c:pt>
                <c:pt idx="38">
                  <c:v>2747.1080761365561</c:v>
                </c:pt>
                <c:pt idx="39">
                  <c:v>2688.9238116451952</c:v>
                </c:pt>
                <c:pt idx="40">
                  <c:v>2647.9124146973977</c:v>
                </c:pt>
                <c:pt idx="41">
                  <c:v>2623.7155186528398</c:v>
                </c:pt>
                <c:pt idx="42">
                  <c:v>2616.0095137435701</c:v>
                </c:pt>
                <c:pt idx="43">
                  <c:v>2624.4859490955168</c:v>
                </c:pt>
                <c:pt idx="44">
                  <c:v>2648.835879999604</c:v>
                </c:pt>
                <c:pt idx="45">
                  <c:v>2688.7377333929644</c:v>
                </c:pt>
                <c:pt idx="46">
                  <c:v>2743.8480333302405</c:v>
                </c:pt>
                <c:pt idx="47">
                  <c:v>2813.7947062434978</c:v>
                </c:pt>
                <c:pt idx="48">
                  <c:v>2898.1730714173373</c:v>
                </c:pt>
                <c:pt idx="49">
                  <c:v>2996.5463447234056</c:v>
                </c:pt>
                <c:pt idx="50">
                  <c:v>3108.4390930358163</c:v>
                </c:pt>
                <c:pt idx="51">
                  <c:v>3233.352506377611</c:v>
                </c:pt>
                <c:pt idx="52">
                  <c:v>3370.7601752489327</c:v>
                </c:pt>
                <c:pt idx="53">
                  <c:v>3520.1161296939472</c:v>
                </c:pt>
                <c:pt idx="54">
                  <c:v>3680.862270488306</c:v>
                </c:pt>
                <c:pt idx="55">
                  <c:v>3852.4395317456911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93-41DD-A637-A280AECB4BFA}"/>
            </c:ext>
          </c:extLst>
        </c:ser>
        <c:ser>
          <c:idx val="59"/>
          <c:order val="59"/>
          <c:tx>
            <c:strRef>
              <c:f>KPlot!$EP$62</c:f>
              <c:strCache>
                <c:ptCount val="1"/>
                <c:pt idx="0">
                  <c:v>1y 149d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KPlot!$AT$62:$EO$62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3859.6733911583124</c:v>
                </c:pt>
                <c:pt idx="32">
                  <c:v>3642.1807164532365</c:v>
                </c:pt>
                <c:pt idx="33">
                  <c:v>3449.9604677567095</c:v>
                </c:pt>
                <c:pt idx="34">
                  <c:v>3281.2325891304372</c:v>
                </c:pt>
                <c:pt idx="35">
                  <c:v>3134.5382468524049</c:v>
                </c:pt>
                <c:pt idx="36">
                  <c:v>3008.6844414356046</c:v>
                </c:pt>
                <c:pt idx="37">
                  <c:v>2902.6962438168421</c:v>
                </c:pt>
                <c:pt idx="38">
                  <c:v>2815.775008593886</c:v>
                </c:pt>
                <c:pt idx="39">
                  <c:v>2747.2613422288232</c:v>
                </c:pt>
                <c:pt idx="40">
                  <c:v>2696.6020206778367</c:v>
                </c:pt>
                <c:pt idx="41">
                  <c:v>2663.3204815021681</c:v>
                </c:pt>
                <c:pt idx="42">
                  <c:v>2646.9909535009065</c:v>
                </c:pt>
                <c:pt idx="43">
                  <c:v>2647.2165905581587</c:v>
                </c:pt>
                <c:pt idx="44">
                  <c:v>2663.6118713214178</c:v>
                </c:pt>
                <c:pt idx="45">
                  <c:v>2695.7889743942064</c:v>
                </c:pt>
                <c:pt idx="46">
                  <c:v>2743.3473831026977</c:v>
                </c:pt>
                <c:pt idx="47">
                  <c:v>2805.866154302822</c:v>
                </c:pt>
                <c:pt idx="48">
                  <c:v>2882.8987883399059</c:v>
                </c:pt>
                <c:pt idx="49">
                  <c:v>2973.9707852910165</c:v>
                </c:pt>
                <c:pt idx="50">
                  <c:v>3078.5812329680102</c:v>
                </c:pt>
                <c:pt idx="51">
                  <c:v>3196.1983191751742</c:v>
                </c:pt>
                <c:pt idx="52">
                  <c:v>3326.2734055186038</c:v>
                </c:pt>
                <c:pt idx="53">
                  <c:v>3468.237983130859</c:v>
                </c:pt>
                <c:pt idx="54">
                  <c:v>3621.5109935689247</c:v>
                </c:pt>
                <c:pt idx="55">
                  <c:v>3785.5051415960347</c:v>
                </c:pt>
                <c:pt idx="56">
                  <c:v>3959.6354420522771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93-41DD-A637-A280AECB4BFA}"/>
            </c:ext>
          </c:extLst>
        </c:ser>
        <c:ser>
          <c:idx val="60"/>
          <c:order val="60"/>
          <c:tx>
            <c:strRef>
              <c:f>KPlot!$EP$63</c:f>
              <c:strCache>
                <c:ptCount val="1"/>
                <c:pt idx="0">
                  <c:v>1y 157d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KPlot!$AT$63:$EO$63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3812.6084616633525</c:v>
                </c:pt>
                <c:pt idx="33">
                  <c:v>3600.336212985786</c:v>
                </c:pt>
                <c:pt idx="34">
                  <c:v>3413.7467298186402</c:v>
                </c:pt>
                <c:pt idx="35">
                  <c:v>3251.0478756620214</c:v>
                </c:pt>
                <c:pt idx="36">
                  <c:v>3110.7625937616181</c:v>
                </c:pt>
                <c:pt idx="37">
                  <c:v>2991.6728634866017</c:v>
                </c:pt>
                <c:pt idx="38">
                  <c:v>2892.77128180821</c:v>
                </c:pt>
                <c:pt idx="39">
                  <c:v>2813.2187398677506</c:v>
                </c:pt>
                <c:pt idx="40">
                  <c:v>2752.3071063433927</c:v>
                </c:pt>
                <c:pt idx="41">
                  <c:v>2709.4262677482607</c:v>
                </c:pt>
                <c:pt idx="42">
                  <c:v>2684.0353191720674</c:v>
                </c:pt>
                <c:pt idx="43">
                  <c:v>2675.6380740043733</c:v>
                </c:pt>
                <c:pt idx="44">
                  <c:v>2683.763143854042</c:v>
                </c:pt>
                <c:pt idx="45">
                  <c:v>2707.948448721123</c:v>
                </c:pt>
                <c:pt idx="46">
                  <c:v>2747.7294494724179</c:v>
                </c:pt>
                <c:pt idx="47">
                  <c:v>2802.6303007123006</c:v>
                </c:pt>
                <c:pt idx="48">
                  <c:v>2872.1575906369249</c:v>
                </c:pt>
                <c:pt idx="49">
                  <c:v>2955.796711965022</c:v>
                </c:pt>
                <c:pt idx="50">
                  <c:v>3053.0125368843201</c:v>
                </c:pt>
                <c:pt idx="51">
                  <c:v>3163.2431073178941</c:v>
                </c:pt>
                <c:pt idx="52">
                  <c:v>3285.9142137567528</c:v>
                </c:pt>
                <c:pt idx="53">
                  <c:v>3420.4346593785399</c:v>
                </c:pt>
                <c:pt idx="54">
                  <c:v>3566.2028746069573</c:v>
                </c:pt>
                <c:pt idx="55">
                  <c:v>3722.6117072175784</c:v>
                </c:pt>
                <c:pt idx="56">
                  <c:v>3889.0537219806429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93-41DD-A637-A280AECB4BFA}"/>
            </c:ext>
          </c:extLst>
        </c:ser>
        <c:ser>
          <c:idx val="61"/>
          <c:order val="61"/>
          <c:tx>
            <c:strRef>
              <c:f>KPlot!$EP$64</c:f>
              <c:strCache>
                <c:ptCount val="1"/>
                <c:pt idx="0">
                  <c:v>1y 165d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KPlot!$AT$64:$EO$64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3766.7964713361216</c:v>
                </c:pt>
                <c:pt idx="34">
                  <c:v>3560.5096440732768</c:v>
                </c:pt>
                <c:pt idx="35">
                  <c:v>3380.2481743971789</c:v>
                </c:pt>
                <c:pt idx="36">
                  <c:v>3224.2070403221492</c:v>
                </c:pt>
                <c:pt idx="37">
                  <c:v>3090.8887434701064</c:v>
                </c:pt>
                <c:pt idx="38">
                  <c:v>2979.0468594450867</c:v>
                </c:pt>
                <c:pt idx="39">
                  <c:v>2887.6372764664256</c:v>
                </c:pt>
                <c:pt idx="40">
                  <c:v>2815.7757225388905</c:v>
                </c:pt>
                <c:pt idx="41">
                  <c:v>2762.7006354769883</c:v>
                </c:pt>
                <c:pt idx="42">
                  <c:v>2727.7408780140522</c:v>
                </c:pt>
                <c:pt idx="43">
                  <c:v>2710.288211969706</c:v>
                </c:pt>
                <c:pt idx="44">
                  <c:v>2709.7746709377843</c:v>
                </c:pt>
                <c:pt idx="45">
                  <c:v>2725.6547875777101</c:v>
                </c:pt>
                <c:pt idx="46">
                  <c:v>2757.3920949250087</c:v>
                </c:pt>
                <c:pt idx="47">
                  <c:v>2804.4489810048708</c:v>
                </c:pt>
                <c:pt idx="48">
                  <c:v>2866.2792555670067</c:v>
                </c:pt>
                <c:pt idx="49">
                  <c:v>2942.3233021557612</c:v>
                </c:pt>
                <c:pt idx="50">
                  <c:v>3032.0077747126397</c:v>
                </c:pt>
                <c:pt idx="51">
                  <c:v>3134.7373270618264</c:v>
                </c:pt>
                <c:pt idx="52">
                  <c:v>3249.9097389212602</c:v>
                </c:pt>
                <c:pt idx="53">
                  <c:v>3376.9095240709576</c:v>
                </c:pt>
                <c:pt idx="54">
                  <c:v>3515.114159424757</c:v>
                </c:pt>
                <c:pt idx="55">
                  <c:v>3663.8981808183826</c:v>
                </c:pt>
                <c:pt idx="56">
                  <c:v>3822.6374613347944</c:v>
                </c:pt>
                <c:pt idx="57">
                  <c:v>3990.7136685881715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93-41DD-A637-A280AECB4BFA}"/>
            </c:ext>
          </c:extLst>
        </c:ser>
        <c:ser>
          <c:idx val="62"/>
          <c:order val="62"/>
          <c:tx>
            <c:strRef>
              <c:f>KPlot!$EP$65</c:f>
              <c:strCache>
                <c:ptCount val="1"/>
                <c:pt idx="0">
                  <c:v>1y 174d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KPlot!$AT$65:$EO$65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3951.5243782411717</c:v>
                </c:pt>
                <c:pt idx="34">
                  <c:v>3723.4093197283401</c:v>
                </c:pt>
                <c:pt idx="35">
                  <c:v>3523.7791626980706</c:v>
                </c:pt>
                <c:pt idx="36">
                  <c:v>3350.4488284095933</c:v>
                </c:pt>
                <c:pt idx="37">
                  <c:v>3201.5982225433977</c:v>
                </c:pt>
                <c:pt idx="38">
                  <c:v>3075.7061176518446</c:v>
                </c:pt>
                <c:pt idx="39">
                  <c:v>2971.4935925200202</c:v>
                </c:pt>
                <c:pt idx="40">
                  <c:v>2887.8752928889444</c:v>
                </c:pt>
                <c:pt idx="41">
                  <c:v>2823.9172485412564</c:v>
                </c:pt>
                <c:pt idx="42">
                  <c:v>2778.8004386837579</c:v>
                </c:pt>
                <c:pt idx="43">
                  <c:v>2751.78972738835</c:v>
                </c:pt>
                <c:pt idx="44">
                  <c:v>2742.2081082811255</c:v>
                </c:pt>
                <c:pt idx="45">
                  <c:v>2749.4162113361681</c:v>
                </c:pt>
                <c:pt idx="46">
                  <c:v>2772.7966340717358</c:v>
                </c:pt>
                <c:pt idx="47">
                  <c:v>2811.7421915154441</c:v>
                </c:pt>
                <c:pt idx="48">
                  <c:v>2865.647190109913</c:v>
                </c:pt>
                <c:pt idx="49">
                  <c:v>2933.9013210151929</c:v>
                </c:pt>
                <c:pt idx="50">
                  <c:v>3015.8861263483614</c:v>
                </c:pt>
                <c:pt idx="51">
                  <c:v>3110.9755707847203</c:v>
                </c:pt>
                <c:pt idx="52">
                  <c:v>3218.5297516556616</c:v>
                </c:pt>
                <c:pt idx="53">
                  <c:v>3337.9086840866503</c:v>
                </c:pt>
                <c:pt idx="54">
                  <c:v>3468.4672265501567</c:v>
                </c:pt>
                <c:pt idx="55">
                  <c:v>3609.5608643329278</c:v>
                </c:pt>
                <c:pt idx="56">
                  <c:v>3760.5494822676792</c:v>
                </c:pt>
                <c:pt idx="57">
                  <c:v>3920.80116996982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93-41DD-A637-A280AECB4BFA}"/>
            </c:ext>
          </c:extLst>
        </c:ser>
        <c:ser>
          <c:idx val="63"/>
          <c:order val="63"/>
          <c:tx>
            <c:strRef>
              <c:f>KPlot!$EP$66</c:f>
              <c:strCache>
                <c:ptCount val="1"/>
                <c:pt idx="0">
                  <c:v>1y 182d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KPlot!$AT$66:$EO$66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3904.6685279813378</c:v>
                </c:pt>
                <c:pt idx="35">
                  <c:v>3683.5673154226088</c:v>
                </c:pt>
                <c:pt idx="36">
                  <c:v>3491.1652980138042</c:v>
                </c:pt>
                <c:pt idx="37">
                  <c:v>3325.2685075606241</c:v>
                </c:pt>
                <c:pt idx="38">
                  <c:v>3184.0384208594578</c:v>
                </c:pt>
                <c:pt idx="39">
                  <c:v>3065.9259983041775</c:v>
                </c:pt>
                <c:pt idx="40">
                  <c:v>2969.6153509278629</c:v>
                </c:pt>
                <c:pt idx="41">
                  <c:v>2893.9754302200677</c:v>
                </c:pt>
                <c:pt idx="42">
                  <c:v>2838.0186027914224</c:v>
                </c:pt>
                <c:pt idx="43">
                  <c:v>2800.8654138223883</c:v>
                </c:pt>
                <c:pt idx="44">
                  <c:v>2781.7152133246782</c:v>
                </c:pt>
                <c:pt idx="45">
                  <c:v>2779.8224849586563</c:v>
                </c:pt>
                <c:pt idx="46">
                  <c:v>2794.4785234681376</c:v>
                </c:pt>
                <c:pt idx="47">
                  <c:v>2824.9976582442268</c:v>
                </c:pt>
                <c:pt idx="48">
                  <c:v>2870.7069966559238</c:v>
                </c:pt>
                <c:pt idx="49">
                  <c:v>2930.938974701271</c:v>
                </c:pt>
                <c:pt idx="50">
                  <c:v>3005.0264894164657</c:v>
                </c:pt>
                <c:pt idx="51">
                  <c:v>3092.3024175645428</c:v>
                </c:pt>
                <c:pt idx="52">
                  <c:v>3192.0913165885613</c:v>
                </c:pt>
                <c:pt idx="53">
                  <c:v>3303.7237548124631</c:v>
                </c:pt>
                <c:pt idx="54">
                  <c:v>3426.5296142489187</c:v>
                </c:pt>
                <c:pt idx="55">
                  <c:v>3559.8436087900654</c:v>
                </c:pt>
                <c:pt idx="56">
                  <c:v>3703.0086414891321</c:v>
                </c:pt>
                <c:pt idx="57">
                  <c:v>3855.3792328297704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93-41DD-A637-A280AECB4BFA}"/>
            </c:ext>
          </c:extLst>
        </c:ser>
        <c:ser>
          <c:idx val="64"/>
          <c:order val="64"/>
          <c:tx>
            <c:strRef>
              <c:f>KPlot!$EP$67</c:f>
              <c:strCache>
                <c:ptCount val="1"/>
                <c:pt idx="0">
                  <c:v>1y 190d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KPlot!$AT$67:$EO$67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3861.8871769651196</c:v>
                </c:pt>
                <c:pt idx="36">
                  <c:v>3648.332239603074</c:v>
                </c:pt>
                <c:pt idx="37">
                  <c:v>3463.6239918688007</c:v>
                </c:pt>
                <c:pt idx="38">
                  <c:v>3305.5559448060212</c:v>
                </c:pt>
                <c:pt idx="39">
                  <c:v>3172.2669079263896</c:v>
                </c:pt>
                <c:pt idx="40">
                  <c:v>3062.1754904897921</c:v>
                </c:pt>
                <c:pt idx="41">
                  <c:v>2973.924368240866</c:v>
                </c:pt>
                <c:pt idx="42">
                  <c:v>2906.332829611646</c:v>
                </c:pt>
                <c:pt idx="43">
                  <c:v>2858.3565671667207</c:v>
                </c:pt>
                <c:pt idx="44">
                  <c:v>2829.0540800787257</c:v>
                </c:pt>
                <c:pt idx="45">
                  <c:v>2817.5593202277996</c:v>
                </c:pt>
                <c:pt idx="46">
                  <c:v>2823.060207981825</c:v>
                </c:pt>
                <c:pt idx="47">
                  <c:v>2844.7823254510204</c:v>
                </c:pt>
                <c:pt idx="48">
                  <c:v>2881.9767568429752</c:v>
                </c:pt>
                <c:pt idx="49">
                  <c:v>2933.9111183257564</c:v>
                </c:pt>
                <c:pt idx="50">
                  <c:v>2999.8632769015394</c:v>
                </c:pt>
                <c:pt idx="51">
                  <c:v>3079.1197306849958</c:v>
                </c:pt>
                <c:pt idx="52">
                  <c:v>3170.9651072939187</c:v>
                </c:pt>
                <c:pt idx="53">
                  <c:v>3274.6969653808965</c:v>
                </c:pt>
                <c:pt idx="54">
                  <c:v>3389.617309720918</c:v>
                </c:pt>
                <c:pt idx="55">
                  <c:v>3515.0377747418502</c:v>
                </c:pt>
                <c:pt idx="56">
                  <c:v>3650.2825289204461</c:v>
                </c:pt>
                <c:pt idx="57">
                  <c:v>3794.69134288845</c:v>
                </c:pt>
                <c:pt idx="58">
                  <c:v>3947.6226657601783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93-41DD-A637-A280AECB4BFA}"/>
            </c:ext>
          </c:extLst>
        </c:ser>
        <c:ser>
          <c:idx val="65"/>
          <c:order val="65"/>
          <c:tx>
            <c:strRef>
              <c:f>KPlot!$EP$68</c:f>
              <c:strCache>
                <c:ptCount val="1"/>
                <c:pt idx="0">
                  <c:v>1y 198d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KPlot!$AT$68:$EO$68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3824.2891590740173</c:v>
                </c:pt>
                <c:pt idx="37">
                  <c:v>3618.7015717053182</c:v>
                </c:pt>
                <c:pt idx="38">
                  <c:v>3442.0407468265003</c:v>
                </c:pt>
                <c:pt idx="39">
                  <c:v>3292.083073922633</c:v>
                </c:pt>
                <c:pt idx="40">
                  <c:v>3166.939923092862</c:v>
                </c:pt>
                <c:pt idx="41">
                  <c:v>3064.9929410067834</c:v>
                </c:pt>
                <c:pt idx="42">
                  <c:v>2984.8393025065748</c:v>
                </c:pt>
                <c:pt idx="43">
                  <c:v>2925.2455283759127</c:v>
                </c:pt>
                <c:pt idx="44">
                  <c:v>2885.1088978856692</c:v>
                </c:pt>
                <c:pt idx="45">
                  <c:v>2863.4258133497888</c:v>
                </c:pt>
                <c:pt idx="46">
                  <c:v>2859.2666121893772</c:v>
                </c:pt>
                <c:pt idx="47">
                  <c:v>2871.7561783745768</c:v>
                </c:pt>
                <c:pt idx="48">
                  <c:v>2900.0593896381115</c:v>
                </c:pt>
                <c:pt idx="49">
                  <c:v>2943.3703155408598</c:v>
                </c:pt>
                <c:pt idx="50">
                  <c:v>3000.9043788913878</c:v>
                </c:pt>
                <c:pt idx="51">
                  <c:v>3071.8931267001972</c:v>
                </c:pt>
                <c:pt idx="52">
                  <c:v>3155.5832629444676</c:v>
                </c:pt>
                <c:pt idx="53">
                  <c:v>3251.2279870744633</c:v>
                </c:pt>
                <c:pt idx="54">
                  <c:v>3358.1003673171363</c:v>
                </c:pt>
                <c:pt idx="55">
                  <c:v>3475.4861582365202</c:v>
                </c:pt>
                <c:pt idx="56">
                  <c:v>3602.6885467599036</c:v>
                </c:pt>
                <c:pt idx="57">
                  <c:v>3739.0307993167999</c:v>
                </c:pt>
                <c:pt idx="58">
                  <c:v>3883.8590015308719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93-41DD-A637-A280AECB4BFA}"/>
            </c:ext>
          </c:extLst>
        </c:ser>
        <c:ser>
          <c:idx val="66"/>
          <c:order val="66"/>
          <c:tx>
            <c:strRef>
              <c:f>KPlot!$EP$69</c:f>
              <c:strCache>
                <c:ptCount val="1"/>
                <c:pt idx="0">
                  <c:v>1y 207d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KPlot!$AT$69:$EO$69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3792.9201109849391</c:v>
                </c:pt>
                <c:pt idx="38">
                  <c:v>3595.6037078530449</c:v>
                </c:pt>
                <c:pt idx="39">
                  <c:v>3427.2258067787188</c:v>
                </c:pt>
                <c:pt idx="40">
                  <c:v>3285.5404621230164</c:v>
                </c:pt>
                <c:pt idx="41">
                  <c:v>3168.6266851084165</c:v>
                </c:pt>
                <c:pt idx="42">
                  <c:v>3074.8248732513393</c:v>
                </c:pt>
                <c:pt idx="43">
                  <c:v>3002.6834159996688</c:v>
                </c:pt>
                <c:pt idx="44">
                  <c:v>2950.9141474120074</c:v>
                </c:pt>
                <c:pt idx="45">
                  <c:v>2918.355682112795</c:v>
                </c:pt>
                <c:pt idx="46">
                  <c:v>2903.9439074765478</c:v>
                </c:pt>
                <c:pt idx="47">
                  <c:v>2906.6889244393587</c:v>
                </c:pt>
                <c:pt idx="48">
                  <c:v>2925.657529441407</c:v>
                </c:pt>
                <c:pt idx="49">
                  <c:v>2959.9601301938346</c:v>
                </c:pt>
                <c:pt idx="50">
                  <c:v>3008.7410907493077</c:v>
                </c:pt>
                <c:pt idx="51">
                  <c:v>3071.1718915917236</c:v>
                </c:pt>
                <c:pt idx="52">
                  <c:v>3146.4488976202838</c:v>
                </c:pt>
                <c:pt idx="53">
                  <c:v>3233.7823791371661</c:v>
                </c:pt>
                <c:pt idx="54">
                  <c:v>3332.4102832935769</c:v>
                </c:pt>
                <c:pt idx="55">
                  <c:v>3441.5891669762054</c:v>
                </c:pt>
                <c:pt idx="56">
                  <c:v>3560.5985368165793</c:v>
                </c:pt>
                <c:pt idx="57">
                  <c:v>3688.7429792567118</c:v>
                </c:pt>
                <c:pt idx="58">
                  <c:v>3825.3544872857065</c:v>
                </c:pt>
                <c:pt idx="59">
                  <c:v>3969.7948326902469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93-41DD-A637-A280AECB4BFA}"/>
            </c:ext>
          </c:extLst>
        </c:ser>
        <c:ser>
          <c:idx val="67"/>
          <c:order val="67"/>
          <c:tx>
            <c:strRef>
              <c:f>KPlot!$EP$70</c:f>
              <c:strCache>
                <c:ptCount val="1"/>
                <c:pt idx="0">
                  <c:v>1y 215d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KPlot!$AT$70:$EO$70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3989.1682038801773</c:v>
                </c:pt>
                <c:pt idx="38">
                  <c:v>3768.7588065614254</c:v>
                </c:pt>
                <c:pt idx="39">
                  <c:v>3579.8940569546394</c:v>
                </c:pt>
                <c:pt idx="40">
                  <c:v>3419.9103254138331</c:v>
                </c:pt>
                <c:pt idx="41">
                  <c:v>3286.5338940480819</c:v>
                </c:pt>
                <c:pt idx="42">
                  <c:v>3177.806745084994</c:v>
                </c:pt>
                <c:pt idx="43">
                  <c:v>3092.0244427385974</c:v>
                </c:pt>
                <c:pt idx="44">
                  <c:v>3027.6844111577093</c:v>
                </c:pt>
                <c:pt idx="45">
                  <c:v>2983.4432935097843</c:v>
                </c:pt>
                <c:pt idx="46">
                  <c:v>2958.0823762608125</c:v>
                </c:pt>
                <c:pt idx="47">
                  <c:v>2950.4802077238846</c:v>
                </c:pt>
                <c:pt idx="48">
                  <c:v>2959.5914859893073</c:v>
                </c:pt>
                <c:pt idx="49">
                  <c:v>2984.4311266225659</c:v>
                </c:pt>
                <c:pt idx="50">
                  <c:v>3024.0623890516854</c:v>
                </c:pt>
                <c:pt idx="51">
                  <c:v>3077.5881970238897</c:v>
                </c:pt>
                <c:pt idx="52">
                  <c:v>3144.145154867761</c:v>
                </c:pt>
                <c:pt idx="53">
                  <c:v>3222.9017696585324</c:v>
                </c:pt>
                <c:pt idx="54">
                  <c:v>3313.0490401977413</c:v>
                </c:pt>
                <c:pt idx="55">
                  <c:v>3413.8127496750067</c:v>
                </c:pt>
                <c:pt idx="56">
                  <c:v>3524.4455248957179</c:v>
                </c:pt>
                <c:pt idx="57">
                  <c:v>3644.2306724328373</c:v>
                </c:pt>
                <c:pt idx="58">
                  <c:v>3772.4839913114247</c:v>
                </c:pt>
                <c:pt idx="59">
                  <c:v>3908.5557186772617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93-41DD-A637-A280AECB4BFA}"/>
            </c:ext>
          </c:extLst>
        </c:ser>
        <c:ser>
          <c:idx val="68"/>
          <c:order val="68"/>
          <c:tx>
            <c:strRef>
              <c:f>KPlot!$EP$71</c:f>
              <c:strCache>
                <c:ptCount val="1"/>
                <c:pt idx="0">
                  <c:v>1y 223d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KPlot!$AT$71:$EO$71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3964.5173059093222</c:v>
                </c:pt>
                <c:pt idx="39">
                  <c:v>3752.7141694987035</c:v>
                </c:pt>
                <c:pt idx="40">
                  <c:v>3572.35191804644</c:v>
                </c:pt>
                <c:pt idx="41">
                  <c:v>3420.7434710620978</c:v>
                </c:pt>
                <c:pt idx="42">
                  <c:v>3295.5820731021267</c:v>
                </c:pt>
                <c:pt idx="43">
                  <c:v>3194.8686321799428</c:v>
                </c:pt>
                <c:pt idx="44">
                  <c:v>3116.851321858383</c:v>
                </c:pt>
                <c:pt idx="45">
                  <c:v>3059.9757642019158</c:v>
                </c:pt>
                <c:pt idx="46">
                  <c:v>3022.844444017459</c:v>
                </c:pt>
                <c:pt idx="47">
                  <c:v>3004.1842362181069</c:v>
                </c:pt>
                <c:pt idx="48">
                  <c:v>3002.8210059644962</c:v>
                </c:pt>
                <c:pt idx="49">
                  <c:v>3017.6601772529311</c:v>
                </c:pt>
                <c:pt idx="50">
                  <c:v>3047.6721002232825</c:v>
                </c:pt>
                <c:pt idx="51">
                  <c:v>3091.8811696507692</c:v>
                </c:pt>
                <c:pt idx="52">
                  <c:v>3149.3579620139149</c:v>
                </c:pt>
                <c:pt idx="53">
                  <c:v>3219.2160175855206</c:v>
                </c:pt>
                <c:pt idx="54">
                  <c:v>3300.5999477961013</c:v>
                </c:pt>
                <c:pt idx="55">
                  <c:v>3392.6980200875787</c:v>
                </c:pt>
                <c:pt idx="56">
                  <c:v>3494.7321808719498</c:v>
                </c:pt>
                <c:pt idx="57">
                  <c:v>3605.9613632058849</c:v>
                </c:pt>
                <c:pt idx="58">
                  <c:v>3725.6826606202953</c:v>
                </c:pt>
                <c:pt idx="59">
                  <c:v>3853.2327412473046</c:v>
                </c:pt>
                <c:pt idx="60">
                  <c:v>3987.9893431009418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93-41DD-A637-A280AECB4BFA}"/>
            </c:ext>
          </c:extLst>
        </c:ser>
        <c:ser>
          <c:idx val="69"/>
          <c:order val="69"/>
          <c:tx>
            <c:strRef>
              <c:f>KPlot!$EP$72</c:f>
              <c:strCache>
                <c:ptCount val="1"/>
                <c:pt idx="0">
                  <c:v>1y 232d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KPlot!$AT$72:$EO$72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3948.841376666262</c:v>
                </c:pt>
                <c:pt idx="40">
                  <c:v>3745.6227975582387</c:v>
                </c:pt>
                <c:pt idx="41">
                  <c:v>3573.6780146445249</c:v>
                </c:pt>
                <c:pt idx="42">
                  <c:v>3430.290360636116</c:v>
                </c:pt>
                <c:pt idx="43">
                  <c:v>3313.1153213810376</c:v>
                </c:pt>
                <c:pt idx="44">
                  <c:v>3220.1096341471648</c:v>
                </c:pt>
                <c:pt idx="45">
                  <c:v>3149.4727957655987</c:v>
                </c:pt>
                <c:pt idx="46">
                  <c:v>3099.5992706320749</c:v>
                </c:pt>
                <c:pt idx="47">
                  <c:v>3069.0399726844225</c:v>
                </c:pt>
                <c:pt idx="48">
                  <c:v>3056.4717736983275</c:v>
                </c:pt>
                <c:pt idx="49">
                  <c:v>3060.6738415980462</c:v>
                </c:pt>
                <c:pt idx="50">
                  <c:v>3080.5095941961595</c:v>
                </c:pt>
                <c:pt idx="51">
                  <c:v>3114.9131061179969</c:v>
                </c:pt>
                <c:pt idx="52">
                  <c:v>3162.8790266863653</c:v>
                </c:pt>
                <c:pt idx="53">
                  <c:v>3223.4577006297759</c:v>
                </c:pt>
                <c:pt idx="54">
                  <c:v>3295.7405304203876</c:v>
                </c:pt>
                <c:pt idx="55">
                  <c:v>3378.8727116774044</c:v>
                </c:pt>
                <c:pt idx="56">
                  <c:v>3472.040968076627</c:v>
                </c:pt>
                <c:pt idx="57">
                  <c:v>3574.4761598965629</c:v>
                </c:pt>
                <c:pt idx="58">
                  <c:v>3685.4536671848282</c:v>
                </c:pt>
                <c:pt idx="59">
                  <c:v>3804.2941455571909</c:v>
                </c:pt>
                <c:pt idx="60">
                  <c:v>3930.3644545228103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93-41DD-A637-A280AECB4BFA}"/>
            </c:ext>
          </c:extLst>
        </c:ser>
        <c:ser>
          <c:idx val="70"/>
          <c:order val="70"/>
          <c:tx>
            <c:strRef>
              <c:f>KPlot!$EP$73</c:f>
              <c:strCache>
                <c:ptCount val="1"/>
                <c:pt idx="0">
                  <c:v>1y 240d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KPlot!$AT$73:$EO$73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3943.0454299693001</c:v>
                </c:pt>
                <c:pt idx="41">
                  <c:v>3748.2467750952292</c:v>
                </c:pt>
                <c:pt idx="42">
                  <c:v>3584.4924796655177</c:v>
                </c:pt>
                <c:pt idx="43">
                  <c:v>3449.0306073382858</c:v>
                </c:pt>
                <c:pt idx="44">
                  <c:v>3339.4750291311884</c:v>
                </c:pt>
                <c:pt idx="45">
                  <c:v>3253.7364110175067</c:v>
                </c:pt>
                <c:pt idx="46">
                  <c:v>3189.9657078244518</c:v>
                </c:pt>
                <c:pt idx="47">
                  <c:v>3146.5083906455716</c:v>
                </c:pt>
                <c:pt idx="48">
                  <c:v>3121.86788017148</c:v>
                </c:pt>
                <c:pt idx="49">
                  <c:v>3114.6768096484716</c:v>
                </c:pt>
                <c:pt idx="50">
                  <c:v>3123.6748075489322</c:v>
                </c:pt>
                <c:pt idx="51">
                  <c:v>3147.6915471418197</c:v>
                </c:pt>
                <c:pt idx="52">
                  <c:v>3185.6339596949942</c:v>
                </c:pt>
                <c:pt idx="53">
                  <c:v>3236.4767642647425</c:v>
                </c:pt>
                <c:pt idx="54">
                  <c:v>3299.2578050889101</c:v>
                </c:pt>
                <c:pt idx="55">
                  <c:v>3373.0647113306813</c:v>
                </c:pt>
                <c:pt idx="56">
                  <c:v>3457.0461236069359</c:v>
                </c:pt>
                <c:pt idx="57">
                  <c:v>3550.4003747941706</c:v>
                </c:pt>
                <c:pt idx="58">
                  <c:v>3652.3775050239601</c:v>
                </c:pt>
                <c:pt idx="59">
                  <c:v>3762.2792058717769</c:v>
                </c:pt>
                <c:pt idx="60">
                  <c:v>3879.4590525835465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93-41DD-A637-A280AECB4BFA}"/>
            </c:ext>
          </c:extLst>
        </c:ser>
        <c:ser>
          <c:idx val="71"/>
          <c:order val="71"/>
          <c:tx>
            <c:strRef>
              <c:f>KPlot!$EP$74</c:f>
              <c:strCache>
                <c:ptCount val="1"/>
                <c:pt idx="0">
                  <c:v>1y 248d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KPlot!$AT$74:$EO$74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3947.9646928159486</c:v>
                </c:pt>
                <c:pt idx="42">
                  <c:v>3761.2714333229869</c:v>
                </c:pt>
                <c:pt idx="43">
                  <c:v>3605.3329456673164</c:v>
                </c:pt>
                <c:pt idx="44">
                  <c:v>3477.3571103112572</c:v>
                </c:pt>
                <c:pt idx="45">
                  <c:v>3374.913438800244</c:v>
                </c:pt>
                <c:pt idx="46">
                  <c:v>3295.8659775728802</c:v>
                </c:pt>
                <c:pt idx="47">
                  <c:v>3238.3187486911593</c:v>
                </c:pt>
                <c:pt idx="48">
                  <c:v>3200.5718689038745</c:v>
                </c:pt>
                <c:pt idx="49">
                  <c:v>3181.0867128336804</c:v>
                </c:pt>
                <c:pt idx="50">
                  <c:v>3178.4586395966467</c:v>
                </c:pt>
                <c:pt idx="51">
                  <c:v>3191.395911857524</c:v>
                </c:pt>
                <c:pt idx="52">
                  <c:v>3218.7035696754888</c:v>
                </c:pt>
                <c:pt idx="53">
                  <c:v>3259.2712298198003</c:v>
                </c:pt>
                <c:pt idx="54">
                  <c:v>3312.0663865960896</c:v>
                </c:pt>
                <c:pt idx="55">
                  <c:v>3376.1180073814839</c:v>
                </c:pt>
                <c:pt idx="56">
                  <c:v>3450.5277090731006</c:v>
                </c:pt>
                <c:pt idx="57">
                  <c:v>3534.455895659461</c:v>
                </c:pt>
                <c:pt idx="58">
                  <c:v>3627.1228637182003</c:v>
                </c:pt>
                <c:pt idx="59">
                  <c:v>3727.8077502457309</c:v>
                </c:pt>
                <c:pt idx="60">
                  <c:v>3835.847913333997</c:v>
                </c:pt>
                <c:pt idx="61">
                  <c:v>3950.6385293775406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A293-41DD-A637-A280AECB4BFA}"/>
            </c:ext>
          </c:extLst>
        </c:ser>
        <c:ser>
          <c:idx val="72"/>
          <c:order val="72"/>
          <c:tx>
            <c:strRef>
              <c:f>KPlot!$EP$75</c:f>
              <c:strCache>
                <c:ptCount val="1"/>
                <c:pt idx="0">
                  <c:v>1y 256d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KPlot!$AT$75:$EO$75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3964.3617311494272</c:v>
                </c:pt>
                <c:pt idx="43">
                  <c:v>3785.3025395594714</c:v>
                </c:pt>
                <c:pt idx="44">
                  <c:v>3636.6522058570363</c:v>
                </c:pt>
                <c:pt idx="45">
                  <c:v>3515.5745219992859</c:v>
                </c:pt>
                <c:pt idx="46">
                  <c:v>3419.5931648329761</c:v>
                </c:pt>
                <c:pt idx="47">
                  <c:v>3346.526428213002</c:v>
                </c:pt>
                <c:pt idx="48">
                  <c:v>3294.4344541145924</c:v>
                </c:pt>
                <c:pt idx="49">
                  <c:v>3261.5770108582956</c:v>
                </c:pt>
                <c:pt idx="50">
                  <c:v>3246.3800907506002</c:v>
                </c:pt>
                <c:pt idx="51">
                  <c:v>3247.4097778188125</c:v>
                </c:pt>
                <c:pt idx="52">
                  <c:v>3263.3519989971464</c:v>
                </c:pt>
                <c:pt idx="53">
                  <c:v>3292.9969635626785</c:v>
                </c:pt>
                <c:pt idx="54">
                  <c:v>3335.2273265144304</c:v>
                </c:pt>
                <c:pt idx="55">
                  <c:v>3389.011473020068</c:v>
                </c:pt>
                <c:pt idx="56">
                  <c:v>3453.3880480688258</c:v>
                </c:pt>
                <c:pt idx="57">
                  <c:v>3527.4755705658863</c:v>
                </c:pt>
                <c:pt idx="58">
                  <c:v>3610.4592099081819</c:v>
                </c:pt>
                <c:pt idx="59">
                  <c:v>3701.5911505457143</c:v>
                </c:pt>
                <c:pt idx="60">
                  <c:v>3800.188933668871</c:v>
                </c:pt>
                <c:pt idx="61">
                  <c:v>3905.6341486251167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A293-41DD-A637-A280AECB4BFA}"/>
            </c:ext>
          </c:extLst>
        </c:ser>
        <c:ser>
          <c:idx val="73"/>
          <c:order val="73"/>
          <c:tx>
            <c:strRef>
              <c:f>KPlot!$EP$76</c:f>
              <c:strCache>
                <c:ptCount val="1"/>
                <c:pt idx="0">
                  <c:v>1y 265d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KPlot!$AT$76:$EO$76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3992.922100805029</c:v>
                </c:pt>
                <c:pt idx="44">
                  <c:v>3820.8621680759179</c:v>
                </c:pt>
                <c:pt idx="45">
                  <c:v>3678.8146889475183</c:v>
                </c:pt>
                <c:pt idx="46">
                  <c:v>3563.8966235299099</c:v>
                </c:pt>
                <c:pt idx="47">
                  <c:v>3473.5856736739061</c:v>
                </c:pt>
                <c:pt idx="48">
                  <c:v>3405.6566397539937</c:v>
                </c:pt>
                <c:pt idx="49">
                  <c:v>3358.1301807441823</c:v>
                </c:pt>
                <c:pt idx="50">
                  <c:v>3329.2319387622097</c:v>
                </c:pt>
                <c:pt idx="51">
                  <c:v>3317.3602303473799</c:v>
                </c:pt>
                <c:pt idx="52">
                  <c:v>3321.0607212033865</c:v>
                </c:pt>
                <c:pt idx="53">
                  <c:v>3339.0067112279485</c:v>
                </c:pt>
                <c:pt idx="54">
                  <c:v>3369.983882528486</c:v>
                </c:pt>
                <c:pt idx="55">
                  <c:v>3412.8810078639945</c:v>
                </c:pt>
                <c:pt idx="56">
                  <c:v>3466.6709453460007</c:v>
                </c:pt>
                <c:pt idx="57">
                  <c:v>3530.4198937102892</c:v>
                </c:pt>
                <c:pt idx="58">
                  <c:v>3603.2712722903807</c:v>
                </c:pt>
                <c:pt idx="59">
                  <c:v>3684.4448913840229</c:v>
                </c:pt>
                <c:pt idx="60">
                  <c:v>3773.2340289013255</c:v>
                </c:pt>
                <c:pt idx="61">
                  <c:v>3869.0030256913437</c:v>
                </c:pt>
                <c:pt idx="62">
                  <c:v>3971.1851655583259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A293-41DD-A637-A280AECB4BFA}"/>
            </c:ext>
          </c:extLst>
        </c:ser>
        <c:ser>
          <c:idx val="74"/>
          <c:order val="74"/>
          <c:tx>
            <c:strRef>
              <c:f>KPlot!$EP$77</c:f>
              <c:strCache>
                <c:ptCount val="1"/>
                <c:pt idx="0">
                  <c:v>1y 273d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KPlot!$AT$77:$EO$77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3868.382252012078</c:v>
                </c:pt>
                <c:pt idx="46">
                  <c:v>3732.0907674907903</c:v>
                </c:pt>
                <c:pt idx="47">
                  <c:v>3622.4416549618036</c:v>
                </c:pt>
                <c:pt idx="48">
                  <c:v>3536.8678132181635</c:v>
                </c:pt>
                <c:pt idx="49">
                  <c:v>3473.1041035431031</c:v>
                </c:pt>
                <c:pt idx="50">
                  <c:v>3429.1372911217695</c:v>
                </c:pt>
                <c:pt idx="51">
                  <c:v>3403.1661462504508</c:v>
                </c:pt>
                <c:pt idx="52">
                  <c:v>3393.5698623611243</c:v>
                </c:pt>
                <c:pt idx="53">
                  <c:v>3398.8831989237642</c:v>
                </c:pt>
                <c:pt idx="54">
                  <c:v>3417.7770018654414</c:v>
                </c:pt>
                <c:pt idx="55">
                  <c:v>3449.0429950636703</c:v>
                </c:pt>
                <c:pt idx="56">
                  <c:v>3491.5841813434727</c:v>
                </c:pt>
                <c:pt idx="57">
                  <c:v>3544.3963523313305</c:v>
                </c:pt>
                <c:pt idx="58">
                  <c:v>3606.5756817512174</c:v>
                </c:pt>
                <c:pt idx="59">
                  <c:v>3677.3028806930356</c:v>
                </c:pt>
                <c:pt idx="60">
                  <c:v>3755.8414375695447</c:v>
                </c:pt>
                <c:pt idx="61">
                  <c:v>3841.5338868444387</c:v>
                </c:pt>
                <c:pt idx="62">
                  <c:v>3933.798527588564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A293-41DD-A637-A280AECB4BFA}"/>
            </c:ext>
          </c:extLst>
        </c:ser>
        <c:ser>
          <c:idx val="75"/>
          <c:order val="75"/>
          <c:tx>
            <c:strRef>
              <c:f>KPlot!$EP$78</c:f>
              <c:strCache>
                <c:ptCount val="1"/>
                <c:pt idx="0">
                  <c:v>1y 281d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KPlot!$AT$78:$EO$78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3928.194584664202</c:v>
                </c:pt>
                <c:pt idx="47">
                  <c:v>3796.6477448789547</c:v>
                </c:pt>
                <c:pt idx="48">
                  <c:v>3691.2245355740761</c:v>
                </c:pt>
                <c:pt idx="49">
                  <c:v>3609.3154331532496</c:v>
                </c:pt>
                <c:pt idx="50">
                  <c:v>3548.6200485828522</c:v>
                </c:pt>
                <c:pt idx="51">
                  <c:v>3507.0978351978547</c:v>
                </c:pt>
                <c:pt idx="52">
                  <c:v>3482.9287574101336</c:v>
                </c:pt>
                <c:pt idx="53">
                  <c:v>3474.4820515693191</c:v>
                </c:pt>
                <c:pt idx="54">
                  <c:v>3480.2914918611459</c:v>
                </c:pt>
                <c:pt idx="55">
                  <c:v>3499.0358401417952</c:v>
                </c:pt>
                <c:pt idx="56">
                  <c:v>3529.5259141016368</c:v>
                </c:pt>
                <c:pt idx="57">
                  <c:v>3570.6818932109245</c:v>
                </c:pt>
                <c:pt idx="58">
                  <c:v>3621.5400879968411</c:v>
                </c:pt>
                <c:pt idx="59">
                  <c:v>3681.2337150649391</c:v>
                </c:pt>
                <c:pt idx="60">
                  <c:v>3748.9895614832822</c:v>
                </c:pt>
                <c:pt idx="61">
                  <c:v>3824.1226455585443</c:v>
                </c:pt>
                <c:pt idx="62">
                  <c:v>3906.0315392886405</c:v>
                </c:pt>
                <c:pt idx="63">
                  <c:v>3994.1940991697079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A293-41DD-A637-A280AECB4BFA}"/>
            </c:ext>
          </c:extLst>
        </c:ser>
        <c:ser>
          <c:idx val="76"/>
          <c:order val="76"/>
          <c:tx>
            <c:strRef>
              <c:f>KPlot!$EP$79</c:f>
              <c:strCache>
                <c:ptCount val="1"/>
                <c:pt idx="0">
                  <c:v>1y 290d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KPlot!$AT$79:$EO$79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3872.5363121833052</c:v>
                </c:pt>
                <c:pt idx="49">
                  <c:v>3770.1449363281463</c:v>
                </c:pt>
                <c:pt idx="50">
                  <c:v>3690.693237368444</c:v>
                </c:pt>
                <c:pt idx="51">
                  <c:v>3631.8511758475952</c:v>
                </c:pt>
                <c:pt idx="52">
                  <c:v>3591.5582160210483</c:v>
                </c:pt>
                <c:pt idx="53">
                  <c:v>3567.9841230547177</c:v>
                </c:pt>
                <c:pt idx="54">
                  <c:v>3559.4976676429769</c:v>
                </c:pt>
                <c:pt idx="55">
                  <c:v>3564.6416594635057</c:v>
                </c:pt>
                <c:pt idx="56">
                  <c:v>3582.1130090875276</c:v>
                </c:pt>
                <c:pt idx="57">
                  <c:v>3610.7491101861478</c:v>
                </c:pt>
                <c:pt idx="58">
                  <c:v>3649.5051766045763</c:v>
                </c:pt>
                <c:pt idx="59">
                  <c:v>3697.4591855881267</c:v>
                </c:pt>
                <c:pt idx="60">
                  <c:v>3753.79252001447</c:v>
                </c:pt>
                <c:pt idx="61">
                  <c:v>3817.7854814737211</c:v>
                </c:pt>
                <c:pt idx="62">
                  <c:v>3888.8109282387945</c:v>
                </c:pt>
                <c:pt idx="63">
                  <c:v>3966.328539221402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A293-41DD-A637-A280AECB4BFA}"/>
            </c:ext>
          </c:extLst>
        </c:ser>
        <c:ser>
          <c:idx val="77"/>
          <c:order val="77"/>
          <c:tx>
            <c:strRef>
              <c:f>KPlot!$EP$80</c:f>
              <c:strCache>
                <c:ptCount val="1"/>
                <c:pt idx="0">
                  <c:v>1y 298d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KPlot!$AT$80:$EO$80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3959.6714254194367</c:v>
                </c:pt>
                <c:pt idx="50">
                  <c:v>3858.9704149293752</c:v>
                </c:pt>
                <c:pt idx="51">
                  <c:v>3780.6403286077984</c:v>
                </c:pt>
                <c:pt idx="52">
                  <c:v>3722.327692768014</c:v>
                </c:pt>
                <c:pt idx="53">
                  <c:v>3681.9597260292403</c:v>
                </c:pt>
                <c:pt idx="54">
                  <c:v>3657.7048003381419</c:v>
                </c:pt>
                <c:pt idx="55">
                  <c:v>3647.9406745929009</c:v>
                </c:pt>
                <c:pt idx="56">
                  <c:v>3651.2289284015906</c:v>
                </c:pt>
                <c:pt idx="57">
                  <c:v>3666.2943091717448</c:v>
                </c:pt>
                <c:pt idx="58">
                  <c:v>3692.0101602923351</c:v>
                </c:pt>
                <c:pt idx="59">
                  <c:v>3727.3754216669831</c:v>
                </c:pt>
                <c:pt idx="60">
                  <c:v>3771.5176797967756</c:v>
                </c:pt>
                <c:pt idx="61">
                  <c:v>3823.6733756503227</c:v>
                </c:pt>
                <c:pt idx="62">
                  <c:v>3883.1820425695387</c:v>
                </c:pt>
                <c:pt idx="63">
                  <c:v>3949.4788086832837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A293-41DD-A637-A280AECB4BFA}"/>
            </c:ext>
          </c:extLst>
        </c:ser>
        <c:ser>
          <c:idx val="78"/>
          <c:order val="78"/>
          <c:tx>
            <c:strRef>
              <c:f>KPlot!$EP$81</c:f>
              <c:strCache>
                <c:ptCount val="1"/>
                <c:pt idx="0">
                  <c:v>1y 306d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KPlot!$AT$81:$EO$81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3957.3143811456512</c:v>
                </c:pt>
                <c:pt idx="52">
                  <c:v>3878.6515130749503</c:v>
                </c:pt>
                <c:pt idx="53">
                  <c:v>3819.447968409082</c:v>
                </c:pt>
                <c:pt idx="54">
                  <c:v>3777.6264741791083</c:v>
                </c:pt>
                <c:pt idx="55">
                  <c:v>3751.3625821540327</c:v>
                </c:pt>
                <c:pt idx="56">
                  <c:v>3739.0520026342465</c:v>
                </c:pt>
                <c:pt idx="57">
                  <c:v>3739.2840630860474</c:v>
                </c:pt>
                <c:pt idx="58">
                  <c:v>3750.8225167015275</c:v>
                </c:pt>
                <c:pt idx="59">
                  <c:v>3772.5772268473629</c:v>
                </c:pt>
                <c:pt idx="60">
                  <c:v>3803.6055447818044</c:v>
                </c:pt>
                <c:pt idx="61">
                  <c:v>3843.0883560098991</c:v>
                </c:pt>
                <c:pt idx="62">
                  <c:v>3890.3221244930055</c:v>
                </c:pt>
                <c:pt idx="63">
                  <c:v>3944.7092625845648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A293-41DD-A637-A280AECB4BFA}"/>
            </c:ext>
          </c:extLst>
        </c:ser>
        <c:ser>
          <c:idx val="79"/>
          <c:order val="79"/>
          <c:tx>
            <c:strRef>
              <c:f>KPlot!$EP$82</c:f>
              <c:strCache>
                <c:ptCount val="1"/>
                <c:pt idx="0">
                  <c:v>1y 314d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KPlot!$AT$82:$EO$82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3984.0553651633254</c:v>
                </c:pt>
                <c:pt idx="54">
                  <c:v>3922.4610340752447</c:v>
                </c:pt>
                <c:pt idx="55">
                  <c:v>3877.7520780593482</c:v>
                </c:pt>
                <c:pt idx="56">
                  <c:v>3848.1190316300717</c:v>
                </c:pt>
                <c:pt idx="57">
                  <c:v>3831.9834813675634</c:v>
                </c:pt>
                <c:pt idx="58">
                  <c:v>3827.9701753577892</c:v>
                </c:pt>
                <c:pt idx="59">
                  <c:v>3834.8863525684492</c:v>
                </c:pt>
                <c:pt idx="60">
                  <c:v>3851.6925501719097</c:v>
                </c:pt>
                <c:pt idx="61">
                  <c:v>3877.5018407336433</c:v>
                </c:pt>
                <c:pt idx="62">
                  <c:v>3911.5550583713543</c:v>
                </c:pt>
                <c:pt idx="63">
                  <c:v>3953.211370351492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A293-41DD-A637-A280AECB4BFA}"/>
            </c:ext>
          </c:extLst>
        </c:ser>
        <c:ser>
          <c:idx val="80"/>
          <c:order val="80"/>
          <c:tx>
            <c:strRef>
              <c:f>KPlot!$EP$81</c:f>
              <c:strCache>
                <c:ptCount val="1"/>
                <c:pt idx="0">
                  <c:v>1y 306d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KPlot!$AT$83:$EO$83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3981.3874674459885</c:v>
                </c:pt>
                <c:pt idx="57">
                  <c:v>3947.0178110346978</c:v>
                </c:pt>
                <c:pt idx="58">
                  <c:v>3925.7940081543602</c:v>
                </c:pt>
                <c:pt idx="59">
                  <c:v>3916.3819917898018</c:v>
                </c:pt>
                <c:pt idx="60">
                  <c:v>3917.6374831279554</c:v>
                </c:pt>
                <c:pt idx="61">
                  <c:v>3928.5756198257336</c:v>
                </c:pt>
                <c:pt idx="62">
                  <c:v>3948.3679955379012</c:v>
                </c:pt>
                <c:pt idx="63">
                  <c:v>3976.3168728308528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A293-41DD-A637-A280AECB4BFA}"/>
            </c:ext>
          </c:extLst>
        </c:ser>
        <c:ser>
          <c:idx val="81"/>
          <c:order val="81"/>
          <c:tx>
            <c:strRef>
              <c:f>KPlot!$EP$84</c:f>
              <c:strCache>
                <c:ptCount val="1"/>
                <c:pt idx="0">
                  <c:v>1y 331d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KPlot!$AT$84:$EO$84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3998.1861816749119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A293-41DD-A637-A280AECB4BFA}"/>
            </c:ext>
          </c:extLst>
        </c:ser>
        <c:ser>
          <c:idx val="82"/>
          <c:order val="82"/>
          <c:tx>
            <c:strRef>
              <c:f>KPlot!$EP$85</c:f>
              <c:strCache>
                <c:ptCount val="1"/>
                <c:pt idx="0">
                  <c:v>1y 339d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KPlot!$AT$85:$EO$85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A293-41DD-A637-A280AECB4BFA}"/>
            </c:ext>
          </c:extLst>
        </c:ser>
        <c:ser>
          <c:idx val="83"/>
          <c:order val="83"/>
          <c:tx>
            <c:strRef>
              <c:f>KPlot!$EP$86</c:f>
              <c:strCache>
                <c:ptCount val="1"/>
                <c:pt idx="0">
                  <c:v>1y 348d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KPlot!$AT$86:$EO$86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A293-41DD-A637-A280AECB4BFA}"/>
            </c:ext>
          </c:extLst>
        </c:ser>
        <c:ser>
          <c:idx val="84"/>
          <c:order val="84"/>
          <c:tx>
            <c:strRef>
              <c:f>KPlot!$EP$87</c:f>
              <c:strCache>
                <c:ptCount val="1"/>
                <c:pt idx="0">
                  <c:v>1y 356d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KPlot!$AT$87:$EO$87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A293-41DD-A637-A280AECB4BFA}"/>
            </c:ext>
          </c:extLst>
        </c:ser>
        <c:ser>
          <c:idx val="85"/>
          <c:order val="85"/>
          <c:tx>
            <c:strRef>
              <c:f>KPlot!$EP$88</c:f>
              <c:strCache>
                <c:ptCount val="1"/>
                <c:pt idx="0">
                  <c:v>1y 364d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KPlot!$AT$88:$EO$88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A293-41DD-A637-A280AECB4BFA}"/>
            </c:ext>
          </c:extLst>
        </c:ser>
        <c:ser>
          <c:idx val="86"/>
          <c:order val="86"/>
          <c:tx>
            <c:strRef>
              <c:f>KPlot!$EP$89</c:f>
              <c:strCache>
                <c:ptCount val="1"/>
                <c:pt idx="0">
                  <c:v>1y 372d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KPlot!$AT$89:$EO$89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A293-41DD-A637-A280AECB4BFA}"/>
            </c:ext>
          </c:extLst>
        </c:ser>
        <c:ser>
          <c:idx val="87"/>
          <c:order val="87"/>
          <c:tx>
            <c:strRef>
              <c:f>KPlot!$EP$90</c:f>
              <c:strCache>
                <c:ptCount val="1"/>
                <c:pt idx="0">
                  <c:v>1y 381d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KPlot!$AT$90:$EO$90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A293-41DD-A637-A280AECB4BFA}"/>
            </c:ext>
          </c:extLst>
        </c:ser>
        <c:ser>
          <c:idx val="88"/>
          <c:order val="88"/>
          <c:tx>
            <c:strRef>
              <c:f>KPlot!$EP$91</c:f>
              <c:strCache>
                <c:ptCount val="1"/>
                <c:pt idx="0">
                  <c:v>1y 389d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KPlot!$AT$91:$EO$91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A293-41DD-A637-A280AECB4BFA}"/>
            </c:ext>
          </c:extLst>
        </c:ser>
        <c:ser>
          <c:idx val="89"/>
          <c:order val="89"/>
          <c:tx>
            <c:strRef>
              <c:f>KPlot!$EP$92</c:f>
              <c:strCache>
                <c:ptCount val="1"/>
                <c:pt idx="0">
                  <c:v>1y 397d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KPlot!$AT$92:$EO$92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A293-41DD-A637-A280AECB4BFA}"/>
            </c:ext>
          </c:extLst>
        </c:ser>
        <c:ser>
          <c:idx val="90"/>
          <c:order val="90"/>
          <c:tx>
            <c:strRef>
              <c:f>KPlot!$EP$93</c:f>
              <c:strCache>
                <c:ptCount val="1"/>
                <c:pt idx="0">
                  <c:v>1y 405d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KPlot!$AT$93:$EO$93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A293-41DD-A637-A280AECB4BFA}"/>
            </c:ext>
          </c:extLst>
        </c:ser>
        <c:ser>
          <c:idx val="91"/>
          <c:order val="91"/>
          <c:tx>
            <c:strRef>
              <c:f>KPlot!$EP$94</c:f>
              <c:strCache>
                <c:ptCount val="1"/>
                <c:pt idx="0">
                  <c:v>1y 414d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KPlot!$AT$94:$EO$94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A293-41DD-A637-A280AECB4BFA}"/>
            </c:ext>
          </c:extLst>
        </c:ser>
        <c:ser>
          <c:idx val="92"/>
          <c:order val="92"/>
          <c:tx>
            <c:strRef>
              <c:f>KPlot!$EP$95</c:f>
              <c:strCache>
                <c:ptCount val="1"/>
                <c:pt idx="0">
                  <c:v>1y 422d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KPlot!$AT$95:$EO$95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A293-41DD-A637-A280AECB4BFA}"/>
            </c:ext>
          </c:extLst>
        </c:ser>
        <c:ser>
          <c:idx val="93"/>
          <c:order val="93"/>
          <c:tx>
            <c:strRef>
              <c:f>KPlot!$EP$96</c:f>
              <c:strCache>
                <c:ptCount val="1"/>
                <c:pt idx="0">
                  <c:v>2y 4d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KPlot!$AT$96:$EO$96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A293-41DD-A637-A280AECB4BFA}"/>
            </c:ext>
          </c:extLst>
        </c:ser>
        <c:ser>
          <c:idx val="94"/>
          <c:order val="94"/>
          <c:tx>
            <c:strRef>
              <c:f>KPlot!$EP$97</c:f>
              <c:strCache>
                <c:ptCount val="1"/>
                <c:pt idx="0">
                  <c:v>2y 13d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KPlot!$AT$97:$EO$97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A293-41DD-A637-A280AECB4BFA}"/>
            </c:ext>
          </c:extLst>
        </c:ser>
        <c:ser>
          <c:idx val="95"/>
          <c:order val="95"/>
          <c:tx>
            <c:strRef>
              <c:f>KPlot!$EP$98</c:f>
              <c:strCache>
                <c:ptCount val="1"/>
                <c:pt idx="0">
                  <c:v>2y 21d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KPlot!$AT$98:$EO$98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A293-41DD-A637-A280AECB4BFA}"/>
            </c:ext>
          </c:extLst>
        </c:ser>
        <c:ser>
          <c:idx val="96"/>
          <c:order val="96"/>
          <c:tx>
            <c:strRef>
              <c:f>KPlot!$EP$99</c:f>
              <c:strCache>
                <c:ptCount val="1"/>
                <c:pt idx="0">
                  <c:v>2y 29d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KPlot!$AT$99:$EO$99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A293-41DD-A637-A280AECB4BFA}"/>
            </c:ext>
          </c:extLst>
        </c:ser>
        <c:ser>
          <c:idx val="97"/>
          <c:order val="97"/>
          <c:tx>
            <c:strRef>
              <c:f>KPlot!$EP$100</c:f>
              <c:strCache>
                <c:ptCount val="1"/>
                <c:pt idx="0">
                  <c:v>2y 37d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KPlot!$AT$100:$EO$100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A293-41DD-A637-A280AECB4BFA}"/>
            </c:ext>
          </c:extLst>
        </c:ser>
        <c:ser>
          <c:idx val="98"/>
          <c:order val="98"/>
          <c:tx>
            <c:strRef>
              <c:f>KPlot!$EP$101</c:f>
              <c:strCache>
                <c:ptCount val="1"/>
                <c:pt idx="0">
                  <c:v>2y 46d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KPlot!$AT$101:$EO$101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A293-41DD-A637-A280AECB4BFA}"/>
            </c:ext>
          </c:extLst>
        </c:ser>
        <c:ser>
          <c:idx val="99"/>
          <c:order val="99"/>
          <c:tx>
            <c:strRef>
              <c:f>KPlot!$EP$102</c:f>
              <c:strCache>
                <c:ptCount val="1"/>
                <c:pt idx="0">
                  <c:v>2y 54d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strRef>
              <c:f>KPlot!$AT$103:$EO$103</c:f>
              <c:strCache>
                <c:ptCount val="100"/>
                <c:pt idx="0">
                  <c:v>y1 d1</c:v>
                </c:pt>
                <c:pt idx="1">
                  <c:v>y1 d10</c:v>
                </c:pt>
                <c:pt idx="2">
                  <c:v>y1 d18</c:v>
                </c:pt>
                <c:pt idx="3">
                  <c:v>y1 d27</c:v>
                </c:pt>
                <c:pt idx="4">
                  <c:v>y1 d35</c:v>
                </c:pt>
                <c:pt idx="5">
                  <c:v>y1 d44</c:v>
                </c:pt>
                <c:pt idx="6">
                  <c:v>y1 d53</c:v>
                </c:pt>
                <c:pt idx="7">
                  <c:v>y1 d61</c:v>
                </c:pt>
                <c:pt idx="8">
                  <c:v>y1 d70</c:v>
                </c:pt>
                <c:pt idx="9">
                  <c:v>y1 d78</c:v>
                </c:pt>
                <c:pt idx="10">
                  <c:v>y1 d87</c:v>
                </c:pt>
                <c:pt idx="11">
                  <c:v>y1 d96</c:v>
                </c:pt>
                <c:pt idx="12">
                  <c:v>y1 d104</c:v>
                </c:pt>
                <c:pt idx="13">
                  <c:v>y1 d113</c:v>
                </c:pt>
                <c:pt idx="14">
                  <c:v>y1 d122</c:v>
                </c:pt>
                <c:pt idx="15">
                  <c:v>y1 d130</c:v>
                </c:pt>
                <c:pt idx="16">
                  <c:v>y1 d139</c:v>
                </c:pt>
                <c:pt idx="17">
                  <c:v>y1 d147</c:v>
                </c:pt>
                <c:pt idx="18">
                  <c:v>y1 d156</c:v>
                </c:pt>
                <c:pt idx="19">
                  <c:v>y1 d165</c:v>
                </c:pt>
                <c:pt idx="20">
                  <c:v>y1 d173</c:v>
                </c:pt>
                <c:pt idx="21">
                  <c:v>y1 d182</c:v>
                </c:pt>
                <c:pt idx="22">
                  <c:v>y1 d190</c:v>
                </c:pt>
                <c:pt idx="23">
                  <c:v>y1 d199</c:v>
                </c:pt>
                <c:pt idx="24">
                  <c:v>y1 d208</c:v>
                </c:pt>
                <c:pt idx="25">
                  <c:v>y1 d216</c:v>
                </c:pt>
                <c:pt idx="26">
                  <c:v>y1 d225</c:v>
                </c:pt>
                <c:pt idx="27">
                  <c:v>y1 d233</c:v>
                </c:pt>
                <c:pt idx="28">
                  <c:v>y1 d242</c:v>
                </c:pt>
                <c:pt idx="29">
                  <c:v>y1 d251</c:v>
                </c:pt>
                <c:pt idx="30">
                  <c:v>y1 d259</c:v>
                </c:pt>
                <c:pt idx="31">
                  <c:v>y1 d268</c:v>
                </c:pt>
                <c:pt idx="32">
                  <c:v>y1 d276</c:v>
                </c:pt>
                <c:pt idx="33">
                  <c:v>y1 d285</c:v>
                </c:pt>
                <c:pt idx="34">
                  <c:v>y1 d294</c:v>
                </c:pt>
                <c:pt idx="35">
                  <c:v>y1 d302</c:v>
                </c:pt>
                <c:pt idx="36">
                  <c:v>y1 d311</c:v>
                </c:pt>
                <c:pt idx="37">
                  <c:v>y1 d319</c:v>
                </c:pt>
                <c:pt idx="38">
                  <c:v>y1 d328</c:v>
                </c:pt>
                <c:pt idx="39">
                  <c:v>y1 d337</c:v>
                </c:pt>
                <c:pt idx="40">
                  <c:v>y1 d345</c:v>
                </c:pt>
                <c:pt idx="41">
                  <c:v>y1 d354</c:v>
                </c:pt>
                <c:pt idx="42">
                  <c:v>y1 d363</c:v>
                </c:pt>
                <c:pt idx="43">
                  <c:v>y1 d371</c:v>
                </c:pt>
                <c:pt idx="44">
                  <c:v>y1 d380</c:v>
                </c:pt>
                <c:pt idx="45">
                  <c:v>y1 d388</c:v>
                </c:pt>
                <c:pt idx="46">
                  <c:v>y1 d397</c:v>
                </c:pt>
                <c:pt idx="47">
                  <c:v>y1 d406</c:v>
                </c:pt>
                <c:pt idx="48">
                  <c:v>y1 d414</c:v>
                </c:pt>
                <c:pt idx="49">
                  <c:v>y1 d423</c:v>
                </c:pt>
                <c:pt idx="50">
                  <c:v>y2 d5</c:v>
                </c:pt>
                <c:pt idx="51">
                  <c:v>y2 d14</c:v>
                </c:pt>
                <c:pt idx="52">
                  <c:v>y2 d23</c:v>
                </c:pt>
                <c:pt idx="53">
                  <c:v>y2 d31</c:v>
                </c:pt>
                <c:pt idx="54">
                  <c:v>y2 d40</c:v>
                </c:pt>
                <c:pt idx="55">
                  <c:v>y2 d48</c:v>
                </c:pt>
                <c:pt idx="56">
                  <c:v>y2 d57</c:v>
                </c:pt>
                <c:pt idx="57">
                  <c:v>y2 d66</c:v>
                </c:pt>
                <c:pt idx="58">
                  <c:v>y2 d74</c:v>
                </c:pt>
                <c:pt idx="59">
                  <c:v>y2 d83</c:v>
                </c:pt>
                <c:pt idx="60">
                  <c:v>y2 d91</c:v>
                </c:pt>
                <c:pt idx="61">
                  <c:v>y2 d100</c:v>
                </c:pt>
                <c:pt idx="62">
                  <c:v>y2 d109</c:v>
                </c:pt>
                <c:pt idx="63">
                  <c:v>y2 d117</c:v>
                </c:pt>
                <c:pt idx="64">
                  <c:v>y2 d126</c:v>
                </c:pt>
                <c:pt idx="65">
                  <c:v>y2 d134</c:v>
                </c:pt>
                <c:pt idx="66">
                  <c:v>y2 d143</c:v>
                </c:pt>
                <c:pt idx="67">
                  <c:v>y2 d152</c:v>
                </c:pt>
                <c:pt idx="68">
                  <c:v>y2 d160</c:v>
                </c:pt>
                <c:pt idx="69">
                  <c:v>y2 d169</c:v>
                </c:pt>
                <c:pt idx="70">
                  <c:v>y2 d177</c:v>
                </c:pt>
                <c:pt idx="71">
                  <c:v>y2 d186</c:v>
                </c:pt>
                <c:pt idx="72">
                  <c:v>y2 d195</c:v>
                </c:pt>
                <c:pt idx="73">
                  <c:v>y2 d203</c:v>
                </c:pt>
                <c:pt idx="74">
                  <c:v>y2 d212</c:v>
                </c:pt>
                <c:pt idx="75">
                  <c:v>y2 d221</c:v>
                </c:pt>
                <c:pt idx="76">
                  <c:v>y2 d229</c:v>
                </c:pt>
                <c:pt idx="77">
                  <c:v>y2 d238</c:v>
                </c:pt>
                <c:pt idx="78">
                  <c:v>y2 d246</c:v>
                </c:pt>
                <c:pt idx="79">
                  <c:v>y2 d255</c:v>
                </c:pt>
                <c:pt idx="80">
                  <c:v>y2 d264</c:v>
                </c:pt>
                <c:pt idx="81">
                  <c:v>y2 d272</c:v>
                </c:pt>
                <c:pt idx="82">
                  <c:v>y2 d281</c:v>
                </c:pt>
                <c:pt idx="83">
                  <c:v>y2 d289</c:v>
                </c:pt>
                <c:pt idx="84">
                  <c:v>y2 d298</c:v>
                </c:pt>
                <c:pt idx="85">
                  <c:v>y2 d307</c:v>
                </c:pt>
                <c:pt idx="86">
                  <c:v>y2 d315</c:v>
                </c:pt>
                <c:pt idx="87">
                  <c:v>y2 d324</c:v>
                </c:pt>
                <c:pt idx="88">
                  <c:v>y2 d332</c:v>
                </c:pt>
                <c:pt idx="89">
                  <c:v>y2 d341</c:v>
                </c:pt>
                <c:pt idx="90">
                  <c:v>y2 d350</c:v>
                </c:pt>
                <c:pt idx="91">
                  <c:v>y2 d358</c:v>
                </c:pt>
                <c:pt idx="92">
                  <c:v>y2 d367</c:v>
                </c:pt>
                <c:pt idx="93">
                  <c:v>y2 d375</c:v>
                </c:pt>
                <c:pt idx="94">
                  <c:v>y2 d384</c:v>
                </c:pt>
                <c:pt idx="95">
                  <c:v>y2 d393</c:v>
                </c:pt>
                <c:pt idx="96">
                  <c:v>y2 d401</c:v>
                </c:pt>
                <c:pt idx="97">
                  <c:v>y2 d410</c:v>
                </c:pt>
                <c:pt idx="98">
                  <c:v>y2 d418</c:v>
                </c:pt>
                <c:pt idx="99">
                  <c:v>y3 d1</c:v>
                </c:pt>
              </c:strCache>
            </c:strRef>
          </c:cat>
          <c:val>
            <c:numRef>
              <c:f>KPlot!$AT$102:$EO$102</c:f>
              <c:numCache>
                <c:formatCode>0</c:formatCode>
                <c:ptCount val="10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A293-41DD-A637-A280AECB4BF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765226544"/>
        <c:axId val="1767989376"/>
        <c:axId val="1726672432"/>
      </c:surfaceChart>
      <c:catAx>
        <c:axId val="176522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Launch Date (Kerbal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  <c:auto val="1"/>
        <c:lblAlgn val="ctr"/>
        <c:lblOffset val="100"/>
        <c:noMultiLvlLbl val="0"/>
      </c:catAx>
      <c:valAx>
        <c:axId val="176798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En Route (Kerbal Time)</a:t>
                </a:r>
              </a:p>
            </c:rich>
          </c:tx>
          <c:layout>
            <c:manualLayout>
              <c:xMode val="edge"/>
              <c:yMode val="edge"/>
              <c:x val="0.89619528902170809"/>
              <c:y val="0.33860897690818953"/>
            </c:manualLayout>
          </c:layout>
          <c:overlay val="0"/>
        </c:title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26544"/>
        <c:crosses val="autoZero"/>
        <c:crossBetween val="midCat"/>
      </c:valAx>
      <c:serAx>
        <c:axId val="1726672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89376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601682252405033E-2"/>
          <c:y val="7.3737055595323314E-2"/>
          <c:w val="0.86947445002210533"/>
          <c:h val="0.110101328243060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152401</xdr:colOff>
      <xdr:row>0</xdr:row>
      <xdr:rowOff>76200</xdr:rowOff>
    </xdr:from>
    <xdr:to>
      <xdr:col>22</xdr:col>
      <xdr:colOff>1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76200</xdr:colOff>
      <xdr:row>26</xdr:row>
      <xdr:rowOff>14287</xdr:rowOff>
    </xdr:from>
    <xdr:to>
      <xdr:col>22</xdr:col>
      <xdr:colOff>9525</xdr:colOff>
      <xdr:row>38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</xdr:rowOff>
        </xdr:from>
        <xdr:to>
          <xdr:col>5</xdr:col>
          <xdr:colOff>647700</xdr:colOff>
          <xdr:row>12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Window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104775</xdr:colOff>
      <xdr:row>9</xdr:row>
      <xdr:rowOff>104774</xdr:rowOff>
    </xdr:from>
    <xdr:to>
      <xdr:col>13</xdr:col>
      <xdr:colOff>38100</xdr:colOff>
      <xdr:row>17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16</xdr:row>
          <xdr:rowOff>19050</xdr:rowOff>
        </xdr:from>
        <xdr:to>
          <xdr:col>5</xdr:col>
          <xdr:colOff>638175</xdr:colOff>
          <xdr:row>17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114300</xdr:colOff>
      <xdr:row>18</xdr:row>
      <xdr:rowOff>57150</xdr:rowOff>
    </xdr:from>
    <xdr:to>
      <xdr:col>13</xdr:col>
      <xdr:colOff>47625</xdr:colOff>
      <xdr:row>25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114299</xdr:colOff>
      <xdr:row>0</xdr:row>
      <xdr:rowOff>114300</xdr:rowOff>
    </xdr:from>
    <xdr:to>
      <xdr:col>29</xdr:col>
      <xdr:colOff>314324</xdr:colOff>
      <xdr:row>25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542925</xdr:colOff>
          <xdr:row>12</xdr:row>
          <xdr:rowOff>95250</xdr:rowOff>
        </xdr:from>
        <xdr:to>
          <xdr:col>154</xdr:col>
          <xdr:colOff>0</xdr:colOff>
          <xdr:row>26</xdr:row>
          <xdr:rowOff>38100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171451</xdr:colOff>
      <xdr:row>0</xdr:row>
      <xdr:rowOff>76200</xdr:rowOff>
    </xdr:from>
    <xdr:to>
      <xdr:col>22</xdr:col>
      <xdr:colOff>19051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9525</xdr:colOff>
      <xdr:row>26</xdr:row>
      <xdr:rowOff>14287</xdr:rowOff>
    </xdr:from>
    <xdr:to>
      <xdr:col>22</xdr:col>
      <xdr:colOff>28575</xdr:colOff>
      <xdr:row>38</xdr:row>
      <xdr:rowOff>50706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</xdr:rowOff>
        </xdr:from>
        <xdr:to>
          <xdr:col>5</xdr:col>
          <xdr:colOff>647700</xdr:colOff>
          <xdr:row>12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Window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123825</xdr:colOff>
      <xdr:row>9</xdr:row>
      <xdr:rowOff>57150</xdr:rowOff>
    </xdr:from>
    <xdr:to>
      <xdr:col>13</xdr:col>
      <xdr:colOff>57150</xdr:colOff>
      <xdr:row>17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16</xdr:row>
          <xdr:rowOff>19050</xdr:rowOff>
        </xdr:from>
        <xdr:to>
          <xdr:col>5</xdr:col>
          <xdr:colOff>638175</xdr:colOff>
          <xdr:row>17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133350</xdr:colOff>
      <xdr:row>18</xdr:row>
      <xdr:rowOff>57150</xdr:rowOff>
    </xdr:from>
    <xdr:to>
      <xdr:col>13</xdr:col>
      <xdr:colOff>66675</xdr:colOff>
      <xdr:row>25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114299</xdr:colOff>
      <xdr:row>0</xdr:row>
      <xdr:rowOff>114300</xdr:rowOff>
    </xdr:from>
    <xdr:to>
      <xdr:col>29</xdr:col>
      <xdr:colOff>314324</xdr:colOff>
      <xdr:row>25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542925</xdr:colOff>
          <xdr:row>12</xdr:row>
          <xdr:rowOff>95250</xdr:rowOff>
        </xdr:from>
        <xdr:to>
          <xdr:col>154</xdr:col>
          <xdr:colOff>0</xdr:colOff>
          <xdr:row>26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Orbit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15DA-B08C-4757-B2C6-C8E60046D9FC}">
  <sheetPr codeName="Sheet14">
    <tabColor rgb="FF00FF00"/>
  </sheetPr>
  <dimension ref="A1:L29"/>
  <sheetViews>
    <sheetView showGridLines="0" tabSelected="1" zoomScaleNormal="100" workbookViewId="0">
      <selection activeCell="AC31" sqref="AC31"/>
    </sheetView>
  </sheetViews>
  <sheetFormatPr defaultRowHeight="15" x14ac:dyDescent="0.25"/>
  <cols>
    <col min="1" max="1" width="1.28515625" customWidth="1"/>
    <col min="2" max="6" width="9.85546875" customWidth="1"/>
    <col min="7" max="7" width="3.140625" customWidth="1"/>
    <col min="8" max="12" width="9.85546875" customWidth="1"/>
    <col min="60" max="60" width="9.140625" customWidth="1"/>
    <col min="107" max="107" width="9.140625" customWidth="1"/>
  </cols>
  <sheetData>
    <row r="1" spans="1:12" x14ac:dyDescent="0.25">
      <c r="B1" s="230" t="s">
        <v>99</v>
      </c>
      <c r="C1" s="231"/>
      <c r="D1" s="231"/>
      <c r="E1" s="231"/>
      <c r="F1" s="232"/>
      <c r="H1" s="262" t="s">
        <v>110</v>
      </c>
      <c r="I1" s="263"/>
      <c r="J1" s="263"/>
      <c r="K1" s="263"/>
      <c r="L1" s="264"/>
    </row>
    <row r="2" spans="1:12" x14ac:dyDescent="0.25">
      <c r="A2" s="16">
        <f>VLOOKUP(D2,RData!$N$4:$O$12,2)</f>
        <v>3</v>
      </c>
      <c r="B2" s="265" t="s">
        <v>21</v>
      </c>
      <c r="C2" s="266"/>
      <c r="D2" s="152" t="s">
        <v>79</v>
      </c>
      <c r="E2" s="33"/>
      <c r="F2" s="34"/>
      <c r="H2" s="267" t="s">
        <v>107</v>
      </c>
      <c r="I2" s="268"/>
      <c r="J2" s="61">
        <v>9961.0339515411579</v>
      </c>
      <c r="K2" s="45"/>
      <c r="L2" s="60"/>
    </row>
    <row r="3" spans="1:12" ht="15" customHeight="1" x14ac:dyDescent="0.25">
      <c r="A3" s="17"/>
      <c r="B3" s="244" t="s">
        <v>41</v>
      </c>
      <c r="C3" s="245"/>
      <c r="D3" s="153">
        <v>90</v>
      </c>
      <c r="E3" s="42" t="s">
        <v>48</v>
      </c>
      <c r="F3" s="43"/>
      <c r="H3" s="269" t="s">
        <v>106</v>
      </c>
      <c r="I3" s="111" t="s">
        <v>43</v>
      </c>
      <c r="J3" s="47">
        <v>21</v>
      </c>
      <c r="K3" s="223"/>
      <c r="L3" s="224"/>
    </row>
    <row r="4" spans="1:12" x14ac:dyDescent="0.25">
      <c r="A4" s="16">
        <f>VLOOKUP(D4,RData!$N$4:$O$12,2)</f>
        <v>10</v>
      </c>
      <c r="B4" s="265" t="s">
        <v>40</v>
      </c>
      <c r="C4" s="266"/>
      <c r="D4" s="154" t="s">
        <v>223</v>
      </c>
      <c r="E4" s="33"/>
      <c r="F4" s="34"/>
      <c r="H4" s="270"/>
      <c r="I4" s="113" t="s">
        <v>44</v>
      </c>
      <c r="J4" s="46">
        <v>226.1</v>
      </c>
      <c r="K4" s="225"/>
      <c r="L4" s="226"/>
    </row>
    <row r="5" spans="1:12" x14ac:dyDescent="0.25">
      <c r="B5" s="244" t="s">
        <v>41</v>
      </c>
      <c r="C5" s="245"/>
      <c r="D5" s="153">
        <v>50</v>
      </c>
      <c r="E5" s="42" t="s">
        <v>48</v>
      </c>
      <c r="F5" s="43"/>
      <c r="H5" s="246" t="s">
        <v>60</v>
      </c>
      <c r="I5" s="111" t="s">
        <v>43</v>
      </c>
      <c r="J5" s="47">
        <v>1</v>
      </c>
      <c r="K5" s="223"/>
      <c r="L5" s="224"/>
    </row>
    <row r="6" spans="1:12" ht="15.75" thickBot="1" x14ac:dyDescent="0.3">
      <c r="B6" s="59"/>
      <c r="C6" s="44"/>
      <c r="D6" s="44"/>
      <c r="E6" s="45"/>
      <c r="F6" s="60"/>
      <c r="H6" s="247"/>
      <c r="I6" s="119" t="s">
        <v>44</v>
      </c>
      <c r="J6" s="46">
        <v>176.6</v>
      </c>
      <c r="K6" s="225"/>
      <c r="L6" s="226"/>
    </row>
    <row r="7" spans="1:12" ht="15.75" customHeight="1" thickBot="1" x14ac:dyDescent="0.3">
      <c r="B7" s="248" t="s">
        <v>42</v>
      </c>
      <c r="C7" s="249"/>
      <c r="D7" s="155">
        <v>20000</v>
      </c>
      <c r="E7" s="250" t="s">
        <v>96</v>
      </c>
      <c r="F7" s="251"/>
      <c r="H7" s="252" t="s">
        <v>100</v>
      </c>
      <c r="I7" s="202" t="s">
        <v>211</v>
      </c>
      <c r="J7" s="199" t="s">
        <v>206</v>
      </c>
      <c r="K7" s="200" t="s">
        <v>51</v>
      </c>
      <c r="L7" s="201" t="s">
        <v>52</v>
      </c>
    </row>
    <row r="8" spans="1:12" ht="15.75" thickBot="1" x14ac:dyDescent="0.3">
      <c r="B8" s="254"/>
      <c r="C8" s="254"/>
      <c r="D8" s="62"/>
      <c r="E8" s="7"/>
      <c r="H8" s="253"/>
      <c r="I8" s="111" t="s">
        <v>43</v>
      </c>
      <c r="J8" s="112">
        <f xml:space="preserve"> IF(RPlot!AP4, ROUNDDOWN(RPlot!AP4/RPlot!$EX$4, 0)+1, "none")</f>
        <v>21</v>
      </c>
      <c r="K8" s="194" t="str">
        <f xml:space="preserve"> IF(RPlot!AP5, ROUNDDOWN(RPlot!AP5/RPlot!$EX$4, 0)+1, "none")</f>
        <v>none</v>
      </c>
      <c r="L8" s="195" t="str">
        <f xml:space="preserve"> IF(RPlot!AP6, ROUNDDOWN(RPlot!AP6/RPlot!$EX$4, 0)+1, "none")</f>
        <v>none</v>
      </c>
    </row>
    <row r="9" spans="1:12" ht="15.75" thickBot="1" x14ac:dyDescent="0.3">
      <c r="B9" s="230" t="s">
        <v>134</v>
      </c>
      <c r="C9" s="231"/>
      <c r="D9" s="231"/>
      <c r="E9" s="231"/>
      <c r="F9" s="232"/>
      <c r="H9" s="203" t="s">
        <v>210</v>
      </c>
      <c r="I9" s="119" t="s">
        <v>44</v>
      </c>
      <c r="J9" s="196">
        <f>IF(RPlot!AP4, ROUND(MOD(RPlot!AP4, RPlot!$EX$4-0.0001)/RPlot!$EX$5, 1)+1, "")</f>
        <v>326</v>
      </c>
      <c r="K9" s="197" t="str">
        <f>IF(RPlot!AP5, ROUND(MOD(RPlot!AP5, RPlot!$EX$4-0.0001)/RPlot!$EX$5, 1)+1, "")</f>
        <v/>
      </c>
      <c r="L9" s="198" t="str">
        <f>IF(RPlot!AP6, ROUND(MOD(RPlot!AP6, RPlot!$EX$4-0.0001)/RPlot!$EX$5, 1)+1, "")</f>
        <v/>
      </c>
    </row>
    <row r="10" spans="1:12" x14ac:dyDescent="0.25">
      <c r="B10" s="255" t="s">
        <v>224</v>
      </c>
      <c r="C10" s="48" t="s">
        <v>43</v>
      </c>
      <c r="D10" s="156">
        <v>20</v>
      </c>
      <c r="E10" s="258" t="s">
        <v>131</v>
      </c>
      <c r="F10" s="259"/>
    </row>
    <row r="11" spans="1:12" x14ac:dyDescent="0.25">
      <c r="B11" s="256"/>
      <c r="C11" s="49" t="s">
        <v>44</v>
      </c>
      <c r="D11" s="157">
        <v>1</v>
      </c>
      <c r="E11" s="260" t="s">
        <v>132</v>
      </c>
      <c r="F11" s="261"/>
    </row>
    <row r="12" spans="1:12" x14ac:dyDescent="0.25">
      <c r="B12" s="257" t="s">
        <v>45</v>
      </c>
      <c r="C12" s="50" t="s">
        <v>46</v>
      </c>
      <c r="D12" s="158">
        <v>5</v>
      </c>
      <c r="E12" s="40"/>
      <c r="F12" s="38"/>
    </row>
    <row r="13" spans="1:12" ht="15.75" thickBot="1" x14ac:dyDescent="0.3">
      <c r="B13" s="257"/>
      <c r="C13" s="51" t="s">
        <v>47</v>
      </c>
      <c r="D13" s="159">
        <v>0</v>
      </c>
      <c r="E13" s="39"/>
      <c r="F13" s="38"/>
    </row>
    <row r="14" spans="1:12" ht="15" customHeight="1" x14ac:dyDescent="0.25">
      <c r="B14" s="230" t="s">
        <v>135</v>
      </c>
      <c r="C14" s="231"/>
      <c r="D14" s="231"/>
      <c r="E14" s="231"/>
      <c r="F14" s="232"/>
    </row>
    <row r="15" spans="1:12" x14ac:dyDescent="0.25">
      <c r="B15" s="221" t="s">
        <v>59</v>
      </c>
      <c r="C15" s="52" t="s">
        <v>43</v>
      </c>
      <c r="D15" s="160">
        <v>21</v>
      </c>
      <c r="E15" s="223"/>
      <c r="F15" s="224"/>
    </row>
    <row r="16" spans="1:12" x14ac:dyDescent="0.25">
      <c r="B16" s="222"/>
      <c r="C16" s="53" t="s">
        <v>44</v>
      </c>
      <c r="D16" s="161">
        <v>226.1</v>
      </c>
      <c r="E16" s="225"/>
      <c r="F16" s="226"/>
    </row>
    <row r="17" spans="2:6" x14ac:dyDescent="0.25">
      <c r="B17" s="221" t="s">
        <v>60</v>
      </c>
      <c r="C17" s="54" t="s">
        <v>46</v>
      </c>
      <c r="D17" s="162">
        <v>1</v>
      </c>
      <c r="E17" s="33"/>
      <c r="F17" s="34"/>
    </row>
    <row r="18" spans="2:6" ht="15.75" thickBot="1" x14ac:dyDescent="0.3">
      <c r="B18" s="228"/>
      <c r="C18" s="55" t="s">
        <v>47</v>
      </c>
      <c r="D18" s="163">
        <v>176.6</v>
      </c>
      <c r="E18" s="41"/>
      <c r="F18" s="37"/>
    </row>
    <row r="19" spans="2:6" ht="15.75" thickBot="1" x14ac:dyDescent="0.3">
      <c r="B19" s="229"/>
      <c r="C19" s="229"/>
    </row>
    <row r="20" spans="2:6" x14ac:dyDescent="0.25">
      <c r="B20" s="230" t="s">
        <v>105</v>
      </c>
      <c r="C20" s="231"/>
      <c r="D20" s="231"/>
      <c r="E20" s="231"/>
      <c r="F20" s="232"/>
    </row>
    <row r="21" spans="2:6" x14ac:dyDescent="0.25">
      <c r="B21" s="233" t="s">
        <v>91</v>
      </c>
      <c r="C21" s="56" t="s">
        <v>92</v>
      </c>
      <c r="D21" s="164">
        <v>0</v>
      </c>
      <c r="E21" s="236" t="s">
        <v>103</v>
      </c>
      <c r="F21" s="237"/>
    </row>
    <row r="22" spans="2:6" x14ac:dyDescent="0.25">
      <c r="B22" s="234"/>
      <c r="C22" s="57" t="s">
        <v>94</v>
      </c>
      <c r="D22" s="165">
        <v>0</v>
      </c>
      <c r="E22" s="238"/>
      <c r="F22" s="239"/>
    </row>
    <row r="23" spans="2:6" ht="15" customHeight="1" x14ac:dyDescent="0.25">
      <c r="B23" s="234"/>
      <c r="C23" s="58" t="s">
        <v>93</v>
      </c>
      <c r="D23" s="166">
        <v>0</v>
      </c>
      <c r="E23" s="236" t="s">
        <v>104</v>
      </c>
      <c r="F23" s="237"/>
    </row>
    <row r="24" spans="2:6" x14ac:dyDescent="0.25">
      <c r="B24" s="235"/>
      <c r="C24" s="57" t="s">
        <v>95</v>
      </c>
      <c r="D24" s="165">
        <v>0</v>
      </c>
      <c r="E24" s="238"/>
      <c r="F24" s="239"/>
    </row>
    <row r="25" spans="2:6" x14ac:dyDescent="0.25">
      <c r="B25" s="240" t="s">
        <v>98</v>
      </c>
      <c r="C25" s="241"/>
      <c r="D25" s="32" t="s">
        <v>203</v>
      </c>
      <c r="E25" s="35" t="s">
        <v>102</v>
      </c>
      <c r="F25" s="34"/>
    </row>
    <row r="26" spans="2:6" ht="15.75" thickBot="1" x14ac:dyDescent="0.3">
      <c r="B26" s="242" t="s">
        <v>100</v>
      </c>
      <c r="C26" s="243"/>
      <c r="D26" s="36"/>
      <c r="E26" s="36"/>
      <c r="F26" s="37"/>
    </row>
    <row r="27" spans="2:6" x14ac:dyDescent="0.25">
      <c r="B27" s="227"/>
      <c r="C27" s="227"/>
    </row>
    <row r="28" spans="2:6" x14ac:dyDescent="0.25">
      <c r="B28" s="227"/>
      <c r="C28" s="227"/>
    </row>
    <row r="29" spans="2:6" x14ac:dyDescent="0.25">
      <c r="B29" s="227"/>
      <c r="C29" s="227"/>
    </row>
  </sheetData>
  <sheetProtection selectLockedCells="1"/>
  <mergeCells count="34">
    <mergeCell ref="B1:F1"/>
    <mergeCell ref="H1:L1"/>
    <mergeCell ref="B2:C2"/>
    <mergeCell ref="H2:I2"/>
    <mergeCell ref="B3:C3"/>
    <mergeCell ref="H3:H4"/>
    <mergeCell ref="K3:L4"/>
    <mergeCell ref="B4:C4"/>
    <mergeCell ref="B9:F9"/>
    <mergeCell ref="B10:B11"/>
    <mergeCell ref="B12:B13"/>
    <mergeCell ref="B14:F14"/>
    <mergeCell ref="E10:F10"/>
    <mergeCell ref="E11:F11"/>
    <mergeCell ref="B5:C5"/>
    <mergeCell ref="H5:H6"/>
    <mergeCell ref="K5:L6"/>
    <mergeCell ref="B7:C7"/>
    <mergeCell ref="E7:F7"/>
    <mergeCell ref="H7:H8"/>
    <mergeCell ref="B8:C8"/>
    <mergeCell ref="B15:B16"/>
    <mergeCell ref="E15:F16"/>
    <mergeCell ref="B29:C29"/>
    <mergeCell ref="B17:B18"/>
    <mergeCell ref="B19:C19"/>
    <mergeCell ref="B20:F20"/>
    <mergeCell ref="B21:B24"/>
    <mergeCell ref="E21:F22"/>
    <mergeCell ref="E23:F24"/>
    <mergeCell ref="B25:C25"/>
    <mergeCell ref="B26:C26"/>
    <mergeCell ref="B27:C27"/>
    <mergeCell ref="B28:C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LWReal">
                <anchor moveWithCells="1" siz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5</xdr:col>
                    <xdr:colOff>647700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TPReal">
                <anchor moveWithCells="1" sizeWithCells="1">
                  <from>
                    <xdr:col>4</xdr:col>
                    <xdr:colOff>9525</xdr:colOff>
                    <xdr:row>16</xdr:row>
                    <xdr:rowOff>19050</xdr:rowOff>
                  </from>
                  <to>
                    <xdr:col>5</xdr:col>
                    <xdr:colOff>638175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BB2DBE-5E66-405B-BBF1-A245578F7068}">
          <x14:formula1>
            <xm:f>KData!$A$22:$A$23</xm:f>
          </x14:formula1>
          <xm:sqref>D25</xm:sqref>
        </x14:dataValidation>
        <x14:dataValidation type="list" allowBlank="1" showInputMessage="1" showErrorMessage="1" xr:uid="{3462DB0F-34C6-4BE1-B04A-AA213C334859}">
          <x14:formula1>
            <xm:f>RData!$N$4:$N$13</xm:f>
          </x14:formula1>
          <xm:sqref>D4 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03FB-A626-484B-BD76-238C54F8B6E6}">
  <sheetPr codeName="Sheet15">
    <tabColor rgb="FFC8FFC8"/>
  </sheetPr>
  <dimension ref="B1:EX104"/>
  <sheetViews>
    <sheetView zoomScale="55" zoomScaleNormal="55" workbookViewId="0">
      <selection activeCell="AL11" sqref="AL11"/>
    </sheetView>
  </sheetViews>
  <sheetFormatPr defaultRowHeight="15" x14ac:dyDescent="0.25"/>
  <cols>
    <col min="1" max="1" width="6.140625" customWidth="1"/>
    <col min="2" max="2" width="6.140625" style="65" customWidth="1"/>
    <col min="3" max="4" width="6.140625" customWidth="1"/>
    <col min="5" max="31" width="6.140625" style="14" customWidth="1"/>
    <col min="32" max="36" width="6.140625" customWidth="1"/>
    <col min="37" max="41" width="6.140625" style="64" customWidth="1"/>
    <col min="42" max="44" width="6.140625" customWidth="1"/>
    <col min="45" max="45" width="9.140625" style="6"/>
    <col min="46" max="70" width="2.7109375" style="28" customWidth="1"/>
    <col min="71" max="145" width="2.7109375" customWidth="1"/>
  </cols>
  <sheetData>
    <row r="1" spans="2:154" x14ac:dyDescent="0.25">
      <c r="AT1" s="305" t="s">
        <v>88</v>
      </c>
      <c r="AU1" s="305"/>
      <c r="AV1" s="305"/>
      <c r="AW1" s="305"/>
      <c r="AX1" s="305"/>
      <c r="AY1" s="305"/>
      <c r="AZ1" s="305"/>
      <c r="BA1" s="305"/>
      <c r="BB1" s="305"/>
      <c r="BC1" s="305"/>
      <c r="BD1" s="305"/>
      <c r="BE1" s="305"/>
      <c r="BF1" s="305"/>
      <c r="BG1" s="305"/>
      <c r="BH1" s="305"/>
      <c r="BI1" s="305"/>
      <c r="BJ1" s="305"/>
      <c r="BK1" s="305"/>
      <c r="BL1" s="305"/>
      <c r="BM1" s="305"/>
      <c r="BN1" s="305"/>
      <c r="BO1" s="305"/>
      <c r="BP1" s="305"/>
      <c r="BQ1" s="305"/>
      <c r="BR1" s="305"/>
      <c r="BS1" s="305"/>
      <c r="BT1" s="305"/>
      <c r="BU1" s="305"/>
      <c r="BV1" s="305"/>
      <c r="BW1" s="305"/>
      <c r="BX1" s="305"/>
      <c r="BY1" s="305"/>
      <c r="BZ1" s="305"/>
      <c r="CA1" s="305"/>
      <c r="CB1" s="305"/>
      <c r="CC1" s="305"/>
      <c r="CD1" s="305"/>
      <c r="CE1" s="305"/>
      <c r="CF1" s="305"/>
      <c r="CG1" s="305"/>
      <c r="CH1" s="305"/>
      <c r="CI1" s="305"/>
      <c r="CJ1" s="305"/>
      <c r="CK1" s="305"/>
    </row>
    <row r="2" spans="2:154" ht="87" customHeight="1" x14ac:dyDescent="0.35">
      <c r="E2" s="306" t="s">
        <v>28</v>
      </c>
      <c r="F2" s="306"/>
      <c r="G2" s="306"/>
      <c r="H2" s="66"/>
      <c r="I2" s="306" t="s">
        <v>30</v>
      </c>
      <c r="J2" s="306"/>
      <c r="K2" s="306"/>
      <c r="L2" s="66"/>
      <c r="M2" s="306" t="s">
        <v>31</v>
      </c>
      <c r="N2" s="306"/>
      <c r="O2" s="306"/>
      <c r="P2" s="66"/>
      <c r="Q2" s="306" t="s">
        <v>38</v>
      </c>
      <c r="R2" s="306"/>
      <c r="S2" s="306"/>
      <c r="T2" s="66"/>
      <c r="U2" s="306" t="s">
        <v>39</v>
      </c>
      <c r="V2" s="306"/>
      <c r="W2" s="306"/>
      <c r="X2" s="66"/>
      <c r="Y2" s="306" t="s">
        <v>32</v>
      </c>
      <c r="Z2" s="306"/>
      <c r="AA2" s="306"/>
      <c r="AB2" s="66"/>
      <c r="AC2" s="306" t="s">
        <v>33</v>
      </c>
      <c r="AD2" s="306"/>
      <c r="AE2" s="306"/>
      <c r="AG2" s="254" t="s">
        <v>34</v>
      </c>
      <c r="AH2" s="254"/>
      <c r="AI2" s="254"/>
      <c r="AK2" s="219" t="s">
        <v>49</v>
      </c>
      <c r="AL2" s="219" t="s">
        <v>54</v>
      </c>
      <c r="AM2" s="219" t="s">
        <v>55</v>
      </c>
      <c r="AN2" s="219" t="s">
        <v>56</v>
      </c>
      <c r="AO2" s="219" t="s">
        <v>57</v>
      </c>
      <c r="AP2" s="219" t="s">
        <v>212</v>
      </c>
      <c r="AQ2" s="219" t="s">
        <v>214</v>
      </c>
      <c r="AT2" s="29">
        <v>599604845.50650001</v>
      </c>
      <c r="AU2" s="29">
        <v>601198691.45415151</v>
      </c>
      <c r="AV2" s="29">
        <v>602792537.40180302</v>
      </c>
      <c r="AW2" s="29">
        <v>604386383.34945452</v>
      </c>
      <c r="AX2" s="29">
        <v>605980229.29710603</v>
      </c>
      <c r="AY2" s="29">
        <v>607574075.24475753</v>
      </c>
      <c r="AZ2" s="29">
        <v>609167921.19240904</v>
      </c>
      <c r="BA2" s="29">
        <v>610761767.14006054</v>
      </c>
      <c r="BB2" s="29">
        <v>612355613.08771205</v>
      </c>
      <c r="BC2" s="29">
        <v>613949459.03536355</v>
      </c>
      <c r="BD2" s="30">
        <v>615543304.98301506</v>
      </c>
      <c r="BE2" s="30">
        <v>617137150.93066657</v>
      </c>
      <c r="BF2" s="30">
        <v>618730996.87831807</v>
      </c>
      <c r="BG2" s="30">
        <v>620324842.82596958</v>
      </c>
      <c r="BH2" s="30">
        <v>621918688.77362108</v>
      </c>
      <c r="BI2" s="30">
        <v>623512534.72127259</v>
      </c>
      <c r="BJ2" s="30">
        <v>625106380.66892409</v>
      </c>
      <c r="BK2" s="30">
        <v>626700226.6165756</v>
      </c>
      <c r="BL2" s="30">
        <v>628294072.5642271</v>
      </c>
      <c r="BM2" s="30">
        <v>629887918.51187861</v>
      </c>
      <c r="BN2" s="30">
        <v>631481764.45953012</v>
      </c>
      <c r="BO2" s="30">
        <v>633075610.40718162</v>
      </c>
      <c r="BP2" s="30">
        <v>634669456.35483313</v>
      </c>
      <c r="BQ2" s="30">
        <v>636263302.30248463</v>
      </c>
      <c r="BR2" s="30">
        <v>637857148.25013614</v>
      </c>
      <c r="BS2" s="30">
        <v>639450994.19778764</v>
      </c>
      <c r="BT2" s="30">
        <v>641044840.14543915</v>
      </c>
      <c r="BU2" s="30">
        <v>642638686.09309065</v>
      </c>
      <c r="BV2" s="30">
        <v>644232532.04074216</v>
      </c>
      <c r="BW2" s="30">
        <v>645826377.98839366</v>
      </c>
      <c r="BX2" s="30">
        <v>647420223.93604517</v>
      </c>
      <c r="BY2" s="30">
        <v>649014069.88369668</v>
      </c>
      <c r="BZ2" s="30">
        <v>650607915.83134818</v>
      </c>
      <c r="CA2" s="30">
        <v>652201761.77899969</v>
      </c>
      <c r="CB2" s="30">
        <v>653795607.72665119</v>
      </c>
      <c r="CC2" s="30">
        <v>655389453.6743027</v>
      </c>
      <c r="CD2" s="30">
        <v>656983299.6219542</v>
      </c>
      <c r="CE2" s="30">
        <v>658577145.56960571</v>
      </c>
      <c r="CF2" s="30">
        <v>660170991.51725721</v>
      </c>
      <c r="CG2" s="30">
        <v>661764837.46490872</v>
      </c>
      <c r="CH2" s="30">
        <v>663358683.41256022</v>
      </c>
      <c r="CI2" s="30">
        <v>664952529.36021173</v>
      </c>
      <c r="CJ2" s="30">
        <v>666546375.30786324</v>
      </c>
      <c r="CK2" s="30">
        <v>668140221.25551474</v>
      </c>
      <c r="CL2" s="30">
        <v>669734067.20316625</v>
      </c>
      <c r="CM2" s="30">
        <v>671327913.15081775</v>
      </c>
      <c r="CN2" s="30">
        <v>672921759.09846926</v>
      </c>
      <c r="CO2" s="30">
        <v>674515605.04612076</v>
      </c>
      <c r="CP2" s="30">
        <v>676109450.99377227</v>
      </c>
      <c r="CQ2" s="30">
        <v>677703296.94142377</v>
      </c>
      <c r="CR2" s="30">
        <v>679297142.88907528</v>
      </c>
      <c r="CS2" s="30">
        <v>680890988.83672678</v>
      </c>
      <c r="CT2" s="30">
        <v>682484834.78437829</v>
      </c>
      <c r="CU2" s="30">
        <v>684078680.7320298</v>
      </c>
      <c r="CV2" s="30">
        <v>685672526.6796813</v>
      </c>
      <c r="CW2" s="30">
        <v>687266372.62733281</v>
      </c>
      <c r="CX2" s="30">
        <v>688860218.57498431</v>
      </c>
      <c r="CY2" s="30">
        <v>690454064.52263582</v>
      </c>
      <c r="CZ2" s="30">
        <v>692047910.47028732</v>
      </c>
      <c r="DA2" s="30">
        <v>693641756.41793883</v>
      </c>
      <c r="DB2" s="30">
        <v>695235602.36559033</v>
      </c>
      <c r="DC2" s="30">
        <v>696829448.31324184</v>
      </c>
      <c r="DD2" s="30">
        <v>698423294.26089334</v>
      </c>
      <c r="DE2" s="30">
        <v>700017140.20854485</v>
      </c>
      <c r="DF2" s="30">
        <v>701610986.15619636</v>
      </c>
      <c r="DG2" s="30">
        <v>703204832.10384786</v>
      </c>
      <c r="DH2" s="30">
        <v>704798678.05149937</v>
      </c>
      <c r="DI2" s="30">
        <v>706392523.99915087</v>
      </c>
      <c r="DJ2" s="30">
        <v>707986369.94680238</v>
      </c>
      <c r="DK2" s="30">
        <v>709580215.89445388</v>
      </c>
      <c r="DL2" s="30">
        <v>711174061.84210539</v>
      </c>
      <c r="DM2" s="30">
        <v>712767907.78975689</v>
      </c>
      <c r="DN2" s="30">
        <v>714361753.7374084</v>
      </c>
      <c r="DO2" s="30">
        <v>715955599.68505991</v>
      </c>
      <c r="DP2" s="30">
        <v>717549445.63271141</v>
      </c>
      <c r="DQ2" s="30">
        <v>719143291.58036292</v>
      </c>
      <c r="DR2" s="30">
        <v>720737137.52801442</v>
      </c>
      <c r="DS2" s="30">
        <v>722330983.47566593</v>
      </c>
      <c r="DT2" s="30">
        <v>723924829.42331743</v>
      </c>
      <c r="DU2" s="30">
        <v>725518675.37096894</v>
      </c>
      <c r="DV2" s="30">
        <v>727112521.31862044</v>
      </c>
      <c r="DW2" s="30">
        <v>728706367.26627195</v>
      </c>
      <c r="DX2" s="30">
        <v>730300213.21392345</v>
      </c>
      <c r="DY2" s="30">
        <v>731894059.16157496</v>
      </c>
      <c r="DZ2" s="30">
        <v>733487905.10922647</v>
      </c>
      <c r="EA2" s="30">
        <v>735081751.05687797</v>
      </c>
      <c r="EB2" s="30">
        <v>736675597.00452948</v>
      </c>
      <c r="EC2" s="30">
        <v>738269442.95218098</v>
      </c>
      <c r="ED2" s="30">
        <v>739863288.89983249</v>
      </c>
      <c r="EE2" s="30">
        <v>741457134.84748399</v>
      </c>
      <c r="EF2" s="30">
        <v>743050980.7951355</v>
      </c>
      <c r="EG2" s="30">
        <v>744644826.742787</v>
      </c>
      <c r="EH2" s="30">
        <v>746238672.69043851</v>
      </c>
      <c r="EI2" s="30">
        <v>747832518.63809001</v>
      </c>
      <c r="EJ2" s="30">
        <v>749426364.58574152</v>
      </c>
      <c r="EK2" s="30">
        <v>751020210.53339303</v>
      </c>
      <c r="EL2" s="30">
        <v>752614056.48104453</v>
      </c>
      <c r="EM2" s="30">
        <v>754207902.42869604</v>
      </c>
      <c r="EN2" s="30">
        <v>755801748.37634754</v>
      </c>
      <c r="EO2" s="30">
        <v>757395594.32399905</v>
      </c>
    </row>
    <row r="3" spans="2:154" ht="15" customHeight="1" x14ac:dyDescent="0.25">
      <c r="B3" s="65" t="s">
        <v>29</v>
      </c>
      <c r="D3" s="65" t="s">
        <v>27</v>
      </c>
      <c r="E3" s="66" t="s">
        <v>22</v>
      </c>
      <c r="F3" s="66" t="s">
        <v>23</v>
      </c>
      <c r="G3" s="66" t="s">
        <v>26</v>
      </c>
      <c r="H3" s="66" t="s">
        <v>27</v>
      </c>
      <c r="I3" s="66" t="s">
        <v>22</v>
      </c>
      <c r="J3" s="66" t="s">
        <v>23</v>
      </c>
      <c r="K3" s="66" t="s">
        <v>26</v>
      </c>
      <c r="L3" s="66" t="s">
        <v>27</v>
      </c>
      <c r="M3" s="66" t="s">
        <v>22</v>
      </c>
      <c r="N3" s="66" t="s">
        <v>23</v>
      </c>
      <c r="O3" s="66" t="s">
        <v>26</v>
      </c>
      <c r="P3" s="66" t="s">
        <v>27</v>
      </c>
      <c r="Q3" s="66" t="s">
        <v>22</v>
      </c>
      <c r="R3" s="66" t="s">
        <v>23</v>
      </c>
      <c r="S3" s="66" t="s">
        <v>26</v>
      </c>
      <c r="T3" s="66" t="s">
        <v>27</v>
      </c>
      <c r="U3" s="66" t="s">
        <v>22</v>
      </c>
      <c r="V3" s="66" t="s">
        <v>23</v>
      </c>
      <c r="W3" s="66" t="s">
        <v>26</v>
      </c>
      <c r="X3" s="66" t="s">
        <v>27</v>
      </c>
      <c r="Y3" s="66" t="s">
        <v>22</v>
      </c>
      <c r="Z3" s="66" t="s">
        <v>23</v>
      </c>
      <c r="AA3" s="66" t="s">
        <v>26</v>
      </c>
      <c r="AB3" s="66" t="s">
        <v>27</v>
      </c>
      <c r="AC3" s="66" t="s">
        <v>22</v>
      </c>
      <c r="AD3" s="66" t="s">
        <v>23</v>
      </c>
      <c r="AE3" s="66" t="s">
        <v>26</v>
      </c>
      <c r="AG3" s="65" t="s">
        <v>22</v>
      </c>
      <c r="AH3" s="65" t="s">
        <v>23</v>
      </c>
      <c r="AI3" s="65" t="s">
        <v>26</v>
      </c>
      <c r="AK3" s="65" t="s">
        <v>50</v>
      </c>
      <c r="AL3" s="19"/>
      <c r="AM3" s="19"/>
      <c r="AN3" s="19"/>
      <c r="AO3" s="19"/>
      <c r="AQ3">
        <v>131.60343160920021</v>
      </c>
      <c r="AS3" s="31">
        <v>12376693.85918358</v>
      </c>
      <c r="AT3" s="167">
        <v>20000</v>
      </c>
      <c r="AU3" s="167">
        <v>20000</v>
      </c>
      <c r="AV3" s="167">
        <v>20000</v>
      </c>
      <c r="AW3" s="167">
        <v>20000</v>
      </c>
      <c r="AX3" s="167">
        <v>20000</v>
      </c>
      <c r="AY3" s="167">
        <v>20000</v>
      </c>
      <c r="AZ3" s="167">
        <v>20000</v>
      </c>
      <c r="BA3" s="167">
        <v>20000</v>
      </c>
      <c r="BB3" s="167">
        <v>20000</v>
      </c>
      <c r="BC3" s="167">
        <v>20000</v>
      </c>
      <c r="BD3" s="167">
        <v>20000</v>
      </c>
      <c r="BE3" s="167">
        <v>20000</v>
      </c>
      <c r="BF3" s="167">
        <v>20000</v>
      </c>
      <c r="BG3" s="167">
        <v>20000</v>
      </c>
      <c r="BH3" s="167">
        <v>20000</v>
      </c>
      <c r="BI3" s="167">
        <v>20000</v>
      </c>
      <c r="BJ3" s="167">
        <v>20000</v>
      </c>
      <c r="BK3" s="167">
        <v>20000</v>
      </c>
      <c r="BL3" s="167">
        <v>20000</v>
      </c>
      <c r="BM3" s="167">
        <v>20000</v>
      </c>
      <c r="BN3" s="167">
        <v>20000</v>
      </c>
      <c r="BO3" s="167">
        <v>20000</v>
      </c>
      <c r="BP3" s="167">
        <v>20000</v>
      </c>
      <c r="BQ3" s="167">
        <v>20000</v>
      </c>
      <c r="BR3" s="167">
        <v>20000</v>
      </c>
      <c r="BS3" s="167">
        <v>20000</v>
      </c>
      <c r="BT3" s="167">
        <v>20000</v>
      </c>
      <c r="BU3" s="167">
        <v>20000</v>
      </c>
      <c r="BV3" s="167">
        <v>20000</v>
      </c>
      <c r="BW3" s="167">
        <v>20000</v>
      </c>
      <c r="BX3" s="167">
        <v>20000</v>
      </c>
      <c r="BY3" s="167">
        <v>20000</v>
      </c>
      <c r="BZ3" s="167">
        <v>20000</v>
      </c>
      <c r="CA3" s="167">
        <v>20000</v>
      </c>
      <c r="CB3" s="167">
        <v>20000</v>
      </c>
      <c r="CC3" s="167">
        <v>20000</v>
      </c>
      <c r="CD3" s="167">
        <v>20000</v>
      </c>
      <c r="CE3" s="167">
        <v>20000</v>
      </c>
      <c r="CF3" s="167">
        <v>20000</v>
      </c>
      <c r="CG3" s="167">
        <v>20000</v>
      </c>
      <c r="CH3" s="167">
        <v>20000</v>
      </c>
      <c r="CI3" s="167">
        <v>20000</v>
      </c>
      <c r="CJ3" s="167">
        <v>20000</v>
      </c>
      <c r="CK3" s="167">
        <v>20000</v>
      </c>
      <c r="CL3" s="167">
        <v>20000</v>
      </c>
      <c r="CM3" s="167">
        <v>20000</v>
      </c>
      <c r="CN3" s="167">
        <v>20000</v>
      </c>
      <c r="CO3" s="167">
        <v>20000</v>
      </c>
      <c r="CP3" s="167">
        <v>20000</v>
      </c>
      <c r="CQ3" s="167">
        <v>20000</v>
      </c>
      <c r="CR3" s="167">
        <v>20000</v>
      </c>
      <c r="CS3" s="167">
        <v>20000</v>
      </c>
      <c r="CT3" s="167">
        <v>20000</v>
      </c>
      <c r="CU3" s="167">
        <v>20000</v>
      </c>
      <c r="CV3" s="167">
        <v>20000</v>
      </c>
      <c r="CW3" s="167">
        <v>20000</v>
      </c>
      <c r="CX3" s="167">
        <v>20000</v>
      </c>
      <c r="CY3" s="167">
        <v>20000</v>
      </c>
      <c r="CZ3" s="167">
        <v>20000</v>
      </c>
      <c r="DA3" s="167">
        <v>20000</v>
      </c>
      <c r="DB3" s="167">
        <v>20000</v>
      </c>
      <c r="DC3" s="167">
        <v>20000</v>
      </c>
      <c r="DD3" s="167">
        <v>20000</v>
      </c>
      <c r="DE3" s="167">
        <v>20000</v>
      </c>
      <c r="DF3" s="167">
        <v>20000</v>
      </c>
      <c r="DG3" s="167">
        <v>20000</v>
      </c>
      <c r="DH3" s="167">
        <v>20000</v>
      </c>
      <c r="DI3" s="167">
        <v>20000</v>
      </c>
      <c r="DJ3" s="167">
        <v>20000</v>
      </c>
      <c r="DK3" s="167">
        <v>20000</v>
      </c>
      <c r="DL3" s="167">
        <v>20000</v>
      </c>
      <c r="DM3" s="167">
        <v>20000</v>
      </c>
      <c r="DN3" s="167">
        <v>20000</v>
      </c>
      <c r="DO3" s="167">
        <v>20000</v>
      </c>
      <c r="DP3" s="167">
        <v>20000</v>
      </c>
      <c r="DQ3" s="167">
        <v>20000</v>
      </c>
      <c r="DR3" s="167">
        <v>20000</v>
      </c>
      <c r="DS3" s="167">
        <v>20000</v>
      </c>
      <c r="DT3" s="167">
        <v>20000</v>
      </c>
      <c r="DU3" s="167">
        <v>20000</v>
      </c>
      <c r="DV3" s="167">
        <v>20000</v>
      </c>
      <c r="DW3" s="167">
        <v>20000</v>
      </c>
      <c r="DX3" s="167">
        <v>20000</v>
      </c>
      <c r="DY3" s="167">
        <v>20000</v>
      </c>
      <c r="DZ3" s="167">
        <v>20000</v>
      </c>
      <c r="EA3" s="167">
        <v>20000</v>
      </c>
      <c r="EB3" s="167">
        <v>20000</v>
      </c>
      <c r="EC3" s="167">
        <v>20000</v>
      </c>
      <c r="ED3" s="167">
        <v>20000</v>
      </c>
      <c r="EE3" s="167">
        <v>20000</v>
      </c>
      <c r="EF3" s="167">
        <v>20000</v>
      </c>
      <c r="EG3" s="167">
        <v>20000</v>
      </c>
      <c r="EH3" s="167">
        <v>20000</v>
      </c>
      <c r="EI3" s="167">
        <v>20000</v>
      </c>
      <c r="EJ3" s="167">
        <v>20000</v>
      </c>
      <c r="EK3" s="167">
        <v>20000</v>
      </c>
      <c r="EL3" s="167">
        <v>20000</v>
      </c>
      <c r="EM3" s="167">
        <v>20000</v>
      </c>
      <c r="EN3" s="167">
        <v>20000</v>
      </c>
      <c r="EO3" s="167">
        <v>20000</v>
      </c>
      <c r="EP3" t="str">
        <f>ROUNDDOWN(AS3/$EX$4, 0) &amp; "y " &amp; ROUND(MOD(AS3, $EX$4)/$EX$5, 0) &amp; "d"</f>
        <v>0y 143d</v>
      </c>
      <c r="ES3" s="254" t="s">
        <v>111</v>
      </c>
      <c r="ET3" s="254"/>
      <c r="EU3" s="254"/>
      <c r="EV3" s="254"/>
      <c r="EW3" s="254"/>
      <c r="EX3" s="254"/>
    </row>
    <row r="4" spans="2:154" ht="15" customHeight="1" x14ac:dyDescent="0.25">
      <c r="B4" s="65">
        <v>1</v>
      </c>
      <c r="D4">
        <v>0</v>
      </c>
      <c r="E4" s="12">
        <v>-56950294258.091858</v>
      </c>
      <c r="F4" s="12">
        <v>135627576026.20248</v>
      </c>
      <c r="G4" s="12">
        <v>0</v>
      </c>
      <c r="H4" s="12">
        <v>0</v>
      </c>
      <c r="I4" s="12">
        <v>341462198007.20911</v>
      </c>
      <c r="J4" s="12">
        <v>-191415919584.71191</v>
      </c>
      <c r="K4" s="12">
        <v>-138163310.5834024</v>
      </c>
      <c r="L4" s="12"/>
      <c r="M4" s="12"/>
      <c r="N4" s="12"/>
      <c r="O4" s="12"/>
      <c r="P4" s="12">
        <v>0</v>
      </c>
      <c r="Q4" s="12">
        <v>133533011460.68286</v>
      </c>
      <c r="R4" s="12">
        <v>-71697325669.578217</v>
      </c>
      <c r="S4" s="12">
        <v>0</v>
      </c>
      <c r="T4" s="12">
        <v>0</v>
      </c>
      <c r="U4" s="12">
        <v>119321262911.86143</v>
      </c>
      <c r="V4" s="12">
        <v>194631363052.35184</v>
      </c>
      <c r="W4" s="12">
        <v>2.2766744223190472E-7</v>
      </c>
      <c r="X4" s="12"/>
      <c r="Y4" s="12"/>
      <c r="Z4" s="12"/>
      <c r="AA4" s="12"/>
      <c r="AB4" s="12"/>
      <c r="AC4" s="12"/>
      <c r="AD4" s="12"/>
      <c r="AE4" s="12"/>
      <c r="AG4" s="27">
        <v>0</v>
      </c>
      <c r="AH4" s="27">
        <v>0</v>
      </c>
      <c r="AI4" s="27">
        <v>0</v>
      </c>
      <c r="AJ4" s="1"/>
      <c r="AK4" s="18" t="s">
        <v>53</v>
      </c>
      <c r="AL4" s="19">
        <v>5304.1919882103612</v>
      </c>
      <c r="AM4" s="19">
        <v>42.457581594217409</v>
      </c>
      <c r="AN4" s="19">
        <v>4614.9142288745297</v>
      </c>
      <c r="AO4" s="19">
        <v>9961.563798679108</v>
      </c>
      <c r="AP4">
        <v>659245852.13724065</v>
      </c>
      <c r="AS4" s="31">
        <v>13564356.401226448</v>
      </c>
      <c r="AT4" s="167">
        <v>20000</v>
      </c>
      <c r="AU4" s="167">
        <v>20000</v>
      </c>
      <c r="AV4" s="167">
        <v>20000</v>
      </c>
      <c r="AW4" s="167">
        <v>20000</v>
      </c>
      <c r="AX4" s="167">
        <v>20000</v>
      </c>
      <c r="AY4" s="167">
        <v>20000</v>
      </c>
      <c r="AZ4" s="167">
        <v>20000</v>
      </c>
      <c r="BA4" s="167">
        <v>20000</v>
      </c>
      <c r="BB4" s="167">
        <v>20000</v>
      </c>
      <c r="BC4" s="167">
        <v>20000</v>
      </c>
      <c r="BD4" s="167">
        <v>20000</v>
      </c>
      <c r="BE4" s="167">
        <v>20000</v>
      </c>
      <c r="BF4" s="167">
        <v>20000</v>
      </c>
      <c r="BG4" s="167">
        <v>20000</v>
      </c>
      <c r="BH4" s="167">
        <v>20000</v>
      </c>
      <c r="BI4" s="167">
        <v>20000</v>
      </c>
      <c r="BJ4" s="167">
        <v>20000</v>
      </c>
      <c r="BK4" s="167">
        <v>20000</v>
      </c>
      <c r="BL4" s="167">
        <v>20000</v>
      </c>
      <c r="BM4" s="167">
        <v>20000</v>
      </c>
      <c r="BN4" s="167">
        <v>20000</v>
      </c>
      <c r="BO4" s="167">
        <v>20000</v>
      </c>
      <c r="BP4" s="167">
        <v>20000</v>
      </c>
      <c r="BQ4" s="167">
        <v>20000</v>
      </c>
      <c r="BR4" s="167">
        <v>20000</v>
      </c>
      <c r="BS4" s="167">
        <v>20000</v>
      </c>
      <c r="BT4" s="167">
        <v>20000</v>
      </c>
      <c r="BU4" s="167">
        <v>20000</v>
      </c>
      <c r="BV4" s="167">
        <v>20000</v>
      </c>
      <c r="BW4" s="167">
        <v>20000</v>
      </c>
      <c r="BX4" s="167">
        <v>20000</v>
      </c>
      <c r="BY4" s="167">
        <v>20000</v>
      </c>
      <c r="BZ4" s="167">
        <v>20000</v>
      </c>
      <c r="CA4" s="167">
        <v>20000</v>
      </c>
      <c r="CB4" s="167">
        <v>20000</v>
      </c>
      <c r="CC4" s="167">
        <v>20000</v>
      </c>
      <c r="CD4" s="167">
        <v>20000</v>
      </c>
      <c r="CE4" s="167">
        <v>20000</v>
      </c>
      <c r="CF4" s="167">
        <v>20000</v>
      </c>
      <c r="CG4" s="167">
        <v>20000</v>
      </c>
      <c r="CH4" s="167">
        <v>20000</v>
      </c>
      <c r="CI4" s="167">
        <v>20000</v>
      </c>
      <c r="CJ4" s="167">
        <v>20000</v>
      </c>
      <c r="CK4" s="167">
        <v>20000</v>
      </c>
      <c r="CL4" s="167">
        <v>20000</v>
      </c>
      <c r="CM4" s="167">
        <v>20000</v>
      </c>
      <c r="CN4" s="167">
        <v>20000</v>
      </c>
      <c r="CO4" s="167">
        <v>20000</v>
      </c>
      <c r="CP4" s="167">
        <v>20000</v>
      </c>
      <c r="CQ4" s="167">
        <v>20000</v>
      </c>
      <c r="CR4" s="167">
        <v>20000</v>
      </c>
      <c r="CS4" s="167">
        <v>20000</v>
      </c>
      <c r="CT4" s="167">
        <v>20000</v>
      </c>
      <c r="CU4" s="167">
        <v>20000</v>
      </c>
      <c r="CV4" s="167">
        <v>20000</v>
      </c>
      <c r="CW4" s="167">
        <v>20000</v>
      </c>
      <c r="CX4" s="167">
        <v>20000</v>
      </c>
      <c r="CY4" s="167">
        <v>20000</v>
      </c>
      <c r="CZ4" s="167">
        <v>20000</v>
      </c>
      <c r="DA4" s="167">
        <v>20000</v>
      </c>
      <c r="DB4" s="167">
        <v>20000</v>
      </c>
      <c r="DC4" s="167">
        <v>20000</v>
      </c>
      <c r="DD4" s="167">
        <v>20000</v>
      </c>
      <c r="DE4" s="167">
        <v>20000</v>
      </c>
      <c r="DF4" s="167">
        <v>20000</v>
      </c>
      <c r="DG4" s="167">
        <v>20000</v>
      </c>
      <c r="DH4" s="167">
        <v>20000</v>
      </c>
      <c r="DI4" s="167">
        <v>20000</v>
      </c>
      <c r="DJ4" s="167">
        <v>20000</v>
      </c>
      <c r="DK4" s="167">
        <v>20000</v>
      </c>
      <c r="DL4" s="167">
        <v>20000</v>
      </c>
      <c r="DM4" s="167">
        <v>20000</v>
      </c>
      <c r="DN4" s="167">
        <v>20000</v>
      </c>
      <c r="DO4" s="167">
        <v>20000</v>
      </c>
      <c r="DP4" s="167">
        <v>20000</v>
      </c>
      <c r="DQ4" s="167">
        <v>20000</v>
      </c>
      <c r="DR4" s="167">
        <v>20000</v>
      </c>
      <c r="DS4" s="167">
        <v>20000</v>
      </c>
      <c r="DT4" s="167">
        <v>20000</v>
      </c>
      <c r="DU4" s="167">
        <v>20000</v>
      </c>
      <c r="DV4" s="167">
        <v>20000</v>
      </c>
      <c r="DW4" s="167">
        <v>20000</v>
      </c>
      <c r="DX4" s="167">
        <v>20000</v>
      </c>
      <c r="DY4" s="167">
        <v>20000</v>
      </c>
      <c r="DZ4" s="167">
        <v>20000</v>
      </c>
      <c r="EA4" s="167">
        <v>20000</v>
      </c>
      <c r="EB4" s="167">
        <v>20000</v>
      </c>
      <c r="EC4" s="167">
        <v>20000</v>
      </c>
      <c r="ED4" s="167">
        <v>20000</v>
      </c>
      <c r="EE4" s="167">
        <v>20000</v>
      </c>
      <c r="EF4" s="167">
        <v>20000</v>
      </c>
      <c r="EG4" s="167">
        <v>20000</v>
      </c>
      <c r="EH4" s="167">
        <v>20000</v>
      </c>
      <c r="EI4" s="167">
        <v>20000</v>
      </c>
      <c r="EJ4" s="167">
        <v>20000</v>
      </c>
      <c r="EK4" s="167">
        <v>20000</v>
      </c>
      <c r="EL4" s="167">
        <v>20000</v>
      </c>
      <c r="EM4" s="167">
        <v>20000</v>
      </c>
      <c r="EN4" s="167">
        <v>20000</v>
      </c>
      <c r="EO4" s="167">
        <v>20000</v>
      </c>
      <c r="EP4" t="str">
        <f t="shared" ref="EP4:EP67" si="0">ROUNDDOWN(AS4/$EX$4, 0) &amp; "y " &amp; ROUND(MOD(AS4, $EX$4)/$EX$5, 0) &amp; "d"</f>
        <v>0y 157d</v>
      </c>
      <c r="ES4" s="67"/>
      <c r="ET4" s="68" t="s">
        <v>112</v>
      </c>
      <c r="EU4" s="64" t="s">
        <v>133</v>
      </c>
      <c r="EV4" s="67"/>
      <c r="EW4" s="68" t="s">
        <v>117</v>
      </c>
      <c r="EX4" s="67">
        <f>IF(EU4="Real", 31558149.7635, 9203545)</f>
        <v>31558149.763500001</v>
      </c>
    </row>
    <row r="5" spans="2:154" ht="15" customHeight="1" x14ac:dyDescent="0.25">
      <c r="B5" s="65">
        <v>2</v>
      </c>
      <c r="D5">
        <v>305239.73482389667</v>
      </c>
      <c r="E5" s="12">
        <v>-65354477309.841003</v>
      </c>
      <c r="F5" s="12">
        <v>131784885566.14709</v>
      </c>
      <c r="G5" s="12">
        <v>0</v>
      </c>
      <c r="H5" s="12">
        <v>1269872.1031048312</v>
      </c>
      <c r="I5" s="12">
        <v>350765955484.91187</v>
      </c>
      <c r="J5" s="12">
        <v>-168655661931.65833</v>
      </c>
      <c r="K5" s="12">
        <v>-1456554211.5811074</v>
      </c>
      <c r="L5" s="12"/>
      <c r="M5" s="12"/>
      <c r="N5" s="12"/>
      <c r="O5" s="12"/>
      <c r="P5" s="12">
        <v>128566.85722912109</v>
      </c>
      <c r="Q5" s="12">
        <v>135772263872.89291</v>
      </c>
      <c r="R5" s="12">
        <v>-67590871976.574753</v>
      </c>
      <c r="S5" s="12">
        <v>0</v>
      </c>
      <c r="T5" s="12">
        <v>149663.74714142471</v>
      </c>
      <c r="U5" s="12">
        <v>117190053473.39749</v>
      </c>
      <c r="V5" s="12">
        <v>198071414544.54849</v>
      </c>
      <c r="W5" s="12">
        <v>-6354096.9928152328</v>
      </c>
      <c r="X5" s="12"/>
      <c r="Y5" s="12"/>
      <c r="Z5" s="12"/>
      <c r="AA5" s="12"/>
      <c r="AB5" s="12"/>
      <c r="AC5" s="12"/>
      <c r="AD5" s="12"/>
      <c r="AE5" s="12"/>
      <c r="AG5" s="27">
        <v>133533011460.68109</v>
      </c>
      <c r="AH5" s="27">
        <v>-71697325669.578049</v>
      </c>
      <c r="AI5" s="27">
        <v>0</v>
      </c>
      <c r="AJ5" s="1"/>
      <c r="AK5" s="18" t="s">
        <v>51</v>
      </c>
      <c r="AL5" s="19"/>
      <c r="AM5" s="19"/>
      <c r="AN5" s="19"/>
      <c r="AO5" s="19"/>
      <c r="AS5" s="31">
        <v>14752018.943269316</v>
      </c>
      <c r="AT5" s="167">
        <v>20000</v>
      </c>
      <c r="AU5" s="167">
        <v>20000</v>
      </c>
      <c r="AV5" s="167">
        <v>20000</v>
      </c>
      <c r="AW5" s="167">
        <v>20000</v>
      </c>
      <c r="AX5" s="167">
        <v>20000</v>
      </c>
      <c r="AY5" s="167">
        <v>20000</v>
      </c>
      <c r="AZ5" s="167">
        <v>20000</v>
      </c>
      <c r="BA5" s="167">
        <v>20000</v>
      </c>
      <c r="BB5" s="167">
        <v>20000</v>
      </c>
      <c r="BC5" s="167">
        <v>20000</v>
      </c>
      <c r="BD5" s="167">
        <v>20000</v>
      </c>
      <c r="BE5" s="167">
        <v>20000</v>
      </c>
      <c r="BF5" s="167">
        <v>20000</v>
      </c>
      <c r="BG5" s="167">
        <v>20000</v>
      </c>
      <c r="BH5" s="167">
        <v>20000</v>
      </c>
      <c r="BI5" s="167">
        <v>20000</v>
      </c>
      <c r="BJ5" s="167">
        <v>20000</v>
      </c>
      <c r="BK5" s="167">
        <v>20000</v>
      </c>
      <c r="BL5" s="167">
        <v>20000</v>
      </c>
      <c r="BM5" s="167">
        <v>20000</v>
      </c>
      <c r="BN5" s="167">
        <v>20000</v>
      </c>
      <c r="BO5" s="167">
        <v>20000</v>
      </c>
      <c r="BP5" s="167">
        <v>20000</v>
      </c>
      <c r="BQ5" s="167">
        <v>20000</v>
      </c>
      <c r="BR5" s="167">
        <v>20000</v>
      </c>
      <c r="BS5" s="167">
        <v>20000</v>
      </c>
      <c r="BT5" s="167">
        <v>20000</v>
      </c>
      <c r="BU5" s="167">
        <v>20000</v>
      </c>
      <c r="BV5" s="167">
        <v>20000</v>
      </c>
      <c r="BW5" s="167">
        <v>20000</v>
      </c>
      <c r="BX5" s="167">
        <v>20000</v>
      </c>
      <c r="BY5" s="167">
        <v>20000</v>
      </c>
      <c r="BZ5" s="167">
        <v>20000</v>
      </c>
      <c r="CA5" s="167">
        <v>20000</v>
      </c>
      <c r="CB5" s="167">
        <v>20000</v>
      </c>
      <c r="CC5" s="167">
        <v>20000</v>
      </c>
      <c r="CD5" s="167">
        <v>20000</v>
      </c>
      <c r="CE5" s="167">
        <v>20000</v>
      </c>
      <c r="CF5" s="167">
        <v>20000</v>
      </c>
      <c r="CG5" s="167">
        <v>20000</v>
      </c>
      <c r="CH5" s="167">
        <v>20000</v>
      </c>
      <c r="CI5" s="167">
        <v>20000</v>
      </c>
      <c r="CJ5" s="167">
        <v>20000</v>
      </c>
      <c r="CK5" s="167">
        <v>20000</v>
      </c>
      <c r="CL5" s="167">
        <v>20000</v>
      </c>
      <c r="CM5" s="167">
        <v>20000</v>
      </c>
      <c r="CN5" s="167">
        <v>20000</v>
      </c>
      <c r="CO5" s="167">
        <v>20000</v>
      </c>
      <c r="CP5" s="167">
        <v>20000</v>
      </c>
      <c r="CQ5" s="167">
        <v>20000</v>
      </c>
      <c r="CR5" s="167">
        <v>20000</v>
      </c>
      <c r="CS5" s="167">
        <v>20000</v>
      </c>
      <c r="CT5" s="167">
        <v>20000</v>
      </c>
      <c r="CU5" s="167">
        <v>20000</v>
      </c>
      <c r="CV5" s="167">
        <v>20000</v>
      </c>
      <c r="CW5" s="167">
        <v>20000</v>
      </c>
      <c r="CX5" s="167">
        <v>20000</v>
      </c>
      <c r="CY5" s="167">
        <v>20000</v>
      </c>
      <c r="CZ5" s="167">
        <v>20000</v>
      </c>
      <c r="DA5" s="167">
        <v>20000</v>
      </c>
      <c r="DB5" s="167">
        <v>20000</v>
      </c>
      <c r="DC5" s="167">
        <v>20000</v>
      </c>
      <c r="DD5" s="167">
        <v>20000</v>
      </c>
      <c r="DE5" s="167">
        <v>20000</v>
      </c>
      <c r="DF5" s="167">
        <v>20000</v>
      </c>
      <c r="DG5" s="167">
        <v>20000</v>
      </c>
      <c r="DH5" s="167">
        <v>20000</v>
      </c>
      <c r="DI5" s="167">
        <v>20000</v>
      </c>
      <c r="DJ5" s="167">
        <v>20000</v>
      </c>
      <c r="DK5" s="167">
        <v>20000</v>
      </c>
      <c r="DL5" s="167">
        <v>20000</v>
      </c>
      <c r="DM5" s="167">
        <v>20000</v>
      </c>
      <c r="DN5" s="167">
        <v>20000</v>
      </c>
      <c r="DO5" s="167">
        <v>20000</v>
      </c>
      <c r="DP5" s="167">
        <v>20000</v>
      </c>
      <c r="DQ5" s="167">
        <v>20000</v>
      </c>
      <c r="DR5" s="167">
        <v>20000</v>
      </c>
      <c r="DS5" s="167">
        <v>20000</v>
      </c>
      <c r="DT5" s="167">
        <v>20000</v>
      </c>
      <c r="DU5" s="167">
        <v>20000</v>
      </c>
      <c r="DV5" s="167">
        <v>20000</v>
      </c>
      <c r="DW5" s="167">
        <v>20000</v>
      </c>
      <c r="DX5" s="167">
        <v>20000</v>
      </c>
      <c r="DY5" s="167">
        <v>20000</v>
      </c>
      <c r="DZ5" s="167">
        <v>20000</v>
      </c>
      <c r="EA5" s="167">
        <v>20000</v>
      </c>
      <c r="EB5" s="167">
        <v>20000</v>
      </c>
      <c r="EC5" s="167">
        <v>20000</v>
      </c>
      <c r="ED5" s="167">
        <v>20000</v>
      </c>
      <c r="EE5" s="167">
        <v>20000</v>
      </c>
      <c r="EF5" s="167">
        <v>20000</v>
      </c>
      <c r="EG5" s="167">
        <v>20000</v>
      </c>
      <c r="EH5" s="167">
        <v>20000</v>
      </c>
      <c r="EI5" s="167">
        <v>20000</v>
      </c>
      <c r="EJ5" s="167">
        <v>20000</v>
      </c>
      <c r="EK5" s="167">
        <v>20000</v>
      </c>
      <c r="EL5" s="167">
        <v>20000</v>
      </c>
      <c r="EM5" s="167">
        <v>20000</v>
      </c>
      <c r="EN5" s="167">
        <v>20000</v>
      </c>
      <c r="EO5" s="167">
        <v>20000</v>
      </c>
      <c r="EP5" t="str">
        <f t="shared" si="0"/>
        <v>0y 171d</v>
      </c>
      <c r="ES5" s="67"/>
      <c r="ET5" s="68" t="s">
        <v>21</v>
      </c>
      <c r="EU5" s="64" t="s">
        <v>79</v>
      </c>
      <c r="EV5" s="67"/>
      <c r="EW5" s="68" t="s">
        <v>118</v>
      </c>
      <c r="EX5" s="67">
        <f>IF(EU4="Real", 86400, 21600)</f>
        <v>86400</v>
      </c>
    </row>
    <row r="6" spans="2:154" ht="15" customHeight="1" x14ac:dyDescent="0.25">
      <c r="B6" s="65">
        <v>3</v>
      </c>
      <c r="D6">
        <v>610503.33014433598</v>
      </c>
      <c r="E6" s="12">
        <v>-73505610444.21344</v>
      </c>
      <c r="F6" s="12">
        <v>127430304733.5712</v>
      </c>
      <c r="G6" s="12">
        <v>0</v>
      </c>
      <c r="H6" s="12">
        <v>2525705.4442170048</v>
      </c>
      <c r="I6" s="12">
        <v>358715815093.14362</v>
      </c>
      <c r="J6" s="12">
        <v>-145545407696.33646</v>
      </c>
      <c r="K6" s="12">
        <v>-2755179220.1782074</v>
      </c>
      <c r="L6" s="12"/>
      <c r="M6" s="12"/>
      <c r="N6" s="12"/>
      <c r="O6" s="12"/>
      <c r="P6" s="12">
        <v>257349.11421555674</v>
      </c>
      <c r="Q6" s="12">
        <v>137929732279.88449</v>
      </c>
      <c r="R6" s="12">
        <v>-63434957024.698738</v>
      </c>
      <c r="S6" s="12">
        <v>0</v>
      </c>
      <c r="T6" s="12">
        <v>301769.18965985766</v>
      </c>
      <c r="U6" s="12">
        <v>114994809248.05049</v>
      </c>
      <c r="V6" s="12">
        <v>201518123467.81128</v>
      </c>
      <c r="W6" s="12">
        <v>-12810269.200776357</v>
      </c>
      <c r="X6" s="12"/>
      <c r="Y6" s="12"/>
      <c r="Z6" s="12"/>
      <c r="AA6" s="12"/>
      <c r="AB6" s="12"/>
      <c r="AC6" s="12"/>
      <c r="AD6" s="12"/>
      <c r="AE6" s="12"/>
      <c r="AG6" s="27"/>
      <c r="AH6" s="27"/>
      <c r="AI6" s="27"/>
      <c r="AK6" s="65" t="s">
        <v>52</v>
      </c>
      <c r="AL6" s="19"/>
      <c r="AM6" s="19"/>
      <c r="AN6" s="19"/>
      <c r="AO6" s="19"/>
      <c r="AS6" s="31">
        <v>15939681.485312184</v>
      </c>
      <c r="AT6" s="167">
        <v>20000</v>
      </c>
      <c r="AU6" s="167">
        <v>20000</v>
      </c>
      <c r="AV6" s="167">
        <v>20000</v>
      </c>
      <c r="AW6" s="167">
        <v>20000</v>
      </c>
      <c r="AX6" s="167">
        <v>20000</v>
      </c>
      <c r="AY6" s="167">
        <v>20000</v>
      </c>
      <c r="AZ6" s="167">
        <v>20000</v>
      </c>
      <c r="BA6" s="167">
        <v>20000</v>
      </c>
      <c r="BB6" s="167">
        <v>20000</v>
      </c>
      <c r="BC6" s="167">
        <v>20000</v>
      </c>
      <c r="BD6" s="167">
        <v>20000</v>
      </c>
      <c r="BE6" s="167">
        <v>20000</v>
      </c>
      <c r="BF6" s="167">
        <v>20000</v>
      </c>
      <c r="BG6" s="167">
        <v>20000</v>
      </c>
      <c r="BH6" s="167">
        <v>20000</v>
      </c>
      <c r="BI6" s="167">
        <v>20000</v>
      </c>
      <c r="BJ6" s="167">
        <v>20000</v>
      </c>
      <c r="BK6" s="167">
        <v>20000</v>
      </c>
      <c r="BL6" s="167">
        <v>20000</v>
      </c>
      <c r="BM6" s="167">
        <v>20000</v>
      </c>
      <c r="BN6" s="167">
        <v>20000</v>
      </c>
      <c r="BO6" s="167">
        <v>20000</v>
      </c>
      <c r="BP6" s="167">
        <v>20000</v>
      </c>
      <c r="BQ6" s="167">
        <v>20000</v>
      </c>
      <c r="BR6" s="167">
        <v>20000</v>
      </c>
      <c r="BS6" s="167">
        <v>20000</v>
      </c>
      <c r="BT6" s="167">
        <v>20000</v>
      </c>
      <c r="BU6" s="167">
        <v>20000</v>
      </c>
      <c r="BV6" s="167">
        <v>20000</v>
      </c>
      <c r="BW6" s="167">
        <v>20000</v>
      </c>
      <c r="BX6" s="167">
        <v>20000</v>
      </c>
      <c r="BY6" s="167">
        <v>20000</v>
      </c>
      <c r="BZ6" s="167">
        <v>20000</v>
      </c>
      <c r="CA6" s="167">
        <v>20000</v>
      </c>
      <c r="CB6" s="167">
        <v>20000</v>
      </c>
      <c r="CC6" s="167">
        <v>20000</v>
      </c>
      <c r="CD6" s="167">
        <v>20000</v>
      </c>
      <c r="CE6" s="167">
        <v>20000</v>
      </c>
      <c r="CF6" s="167">
        <v>20000</v>
      </c>
      <c r="CG6" s="167">
        <v>20000</v>
      </c>
      <c r="CH6" s="167">
        <v>20000</v>
      </c>
      <c r="CI6" s="167">
        <v>20000</v>
      </c>
      <c r="CJ6" s="167">
        <v>20000</v>
      </c>
      <c r="CK6" s="167">
        <v>20000</v>
      </c>
      <c r="CL6" s="167">
        <v>20000</v>
      </c>
      <c r="CM6" s="167">
        <v>20000</v>
      </c>
      <c r="CN6" s="167">
        <v>20000</v>
      </c>
      <c r="CO6" s="167">
        <v>20000</v>
      </c>
      <c r="CP6" s="167">
        <v>20000</v>
      </c>
      <c r="CQ6" s="167">
        <v>20000</v>
      </c>
      <c r="CR6" s="167">
        <v>20000</v>
      </c>
      <c r="CS6" s="167">
        <v>20000</v>
      </c>
      <c r="CT6" s="167">
        <v>20000</v>
      </c>
      <c r="CU6" s="167">
        <v>20000</v>
      </c>
      <c r="CV6" s="167">
        <v>20000</v>
      </c>
      <c r="CW6" s="167">
        <v>20000</v>
      </c>
      <c r="CX6" s="167">
        <v>20000</v>
      </c>
      <c r="CY6" s="167">
        <v>20000</v>
      </c>
      <c r="CZ6" s="167">
        <v>20000</v>
      </c>
      <c r="DA6" s="167">
        <v>20000</v>
      </c>
      <c r="DB6" s="167">
        <v>20000</v>
      </c>
      <c r="DC6" s="167">
        <v>20000</v>
      </c>
      <c r="DD6" s="167">
        <v>20000</v>
      </c>
      <c r="DE6" s="167">
        <v>20000</v>
      </c>
      <c r="DF6" s="167">
        <v>20000</v>
      </c>
      <c r="DG6" s="167">
        <v>20000</v>
      </c>
      <c r="DH6" s="167">
        <v>20000</v>
      </c>
      <c r="DI6" s="167">
        <v>20000</v>
      </c>
      <c r="DJ6" s="167">
        <v>20000</v>
      </c>
      <c r="DK6" s="167">
        <v>20000</v>
      </c>
      <c r="DL6" s="167">
        <v>20000</v>
      </c>
      <c r="DM6" s="167">
        <v>20000</v>
      </c>
      <c r="DN6" s="167">
        <v>20000</v>
      </c>
      <c r="DO6" s="167">
        <v>20000</v>
      </c>
      <c r="DP6" s="167">
        <v>20000</v>
      </c>
      <c r="DQ6" s="167">
        <v>20000</v>
      </c>
      <c r="DR6" s="167">
        <v>20000</v>
      </c>
      <c r="DS6" s="167">
        <v>20000</v>
      </c>
      <c r="DT6" s="167">
        <v>20000</v>
      </c>
      <c r="DU6" s="167">
        <v>20000</v>
      </c>
      <c r="DV6" s="167">
        <v>20000</v>
      </c>
      <c r="DW6" s="167">
        <v>20000</v>
      </c>
      <c r="DX6" s="167">
        <v>20000</v>
      </c>
      <c r="DY6" s="167">
        <v>20000</v>
      </c>
      <c r="DZ6" s="167">
        <v>20000</v>
      </c>
      <c r="EA6" s="167">
        <v>20000</v>
      </c>
      <c r="EB6" s="167">
        <v>20000</v>
      </c>
      <c r="EC6" s="167">
        <v>20000</v>
      </c>
      <c r="ED6" s="167">
        <v>20000</v>
      </c>
      <c r="EE6" s="167">
        <v>20000</v>
      </c>
      <c r="EF6" s="167">
        <v>20000</v>
      </c>
      <c r="EG6" s="167">
        <v>20000</v>
      </c>
      <c r="EH6" s="167">
        <v>20000</v>
      </c>
      <c r="EI6" s="167">
        <v>20000</v>
      </c>
      <c r="EJ6" s="167">
        <v>20000</v>
      </c>
      <c r="EK6" s="167">
        <v>20000</v>
      </c>
      <c r="EL6" s="167">
        <v>20000</v>
      </c>
      <c r="EM6" s="167">
        <v>20000</v>
      </c>
      <c r="EN6" s="167">
        <v>20000</v>
      </c>
      <c r="EO6" s="167">
        <v>20000</v>
      </c>
      <c r="EP6" t="str">
        <f t="shared" si="0"/>
        <v>0y 184d</v>
      </c>
      <c r="ES6" s="67"/>
      <c r="ET6" s="68" t="s">
        <v>40</v>
      </c>
      <c r="EU6" s="64" t="s">
        <v>223</v>
      </c>
      <c r="EV6" s="67"/>
      <c r="EW6" s="67"/>
      <c r="EX6" s="67"/>
    </row>
    <row r="7" spans="2:154" ht="15" customHeight="1" x14ac:dyDescent="0.25">
      <c r="B7" s="65">
        <v>4</v>
      </c>
      <c r="D7">
        <v>915830.29530674999</v>
      </c>
      <c r="E7" s="12">
        <v>-81373046884.347137</v>
      </c>
      <c r="F7" s="12">
        <v>122580067363.39917</v>
      </c>
      <c r="G7" s="12">
        <v>0</v>
      </c>
      <c r="H7" s="12">
        <v>3768647.1186140138</v>
      </c>
      <c r="I7" s="12">
        <v>365310985631.93762</v>
      </c>
      <c r="J7" s="12">
        <v>-122155770325.60785</v>
      </c>
      <c r="K7" s="12">
        <v>-4030698930.2158318</v>
      </c>
      <c r="L7" s="12"/>
      <c r="M7" s="12"/>
      <c r="N7" s="12"/>
      <c r="O7" s="12"/>
      <c r="P7" s="12">
        <v>386430.40069674852</v>
      </c>
      <c r="Q7" s="12">
        <v>140005200542.07349</v>
      </c>
      <c r="R7" s="12">
        <v>-59229376305.093002</v>
      </c>
      <c r="S7" s="12">
        <v>0</v>
      </c>
      <c r="T7" s="12">
        <v>456375.95310229983</v>
      </c>
      <c r="U7" s="12">
        <v>112734512088.7858</v>
      </c>
      <c r="V7" s="12">
        <v>204970772415.73389</v>
      </c>
      <c r="W7" s="12">
        <v>-19369383.280181151</v>
      </c>
      <c r="X7" s="12"/>
      <c r="Y7" s="12"/>
      <c r="Z7" s="12"/>
      <c r="AA7" s="12"/>
      <c r="AB7" s="12"/>
      <c r="AC7" s="12"/>
      <c r="AD7" s="12"/>
      <c r="AE7" s="12"/>
      <c r="AG7" s="254" t="s">
        <v>35</v>
      </c>
      <c r="AH7" s="254"/>
      <c r="AI7" s="254"/>
      <c r="AK7" s="65" t="s">
        <v>58</v>
      </c>
      <c r="AL7" s="19">
        <v>5304.1919882103612</v>
      </c>
      <c r="AM7" s="19">
        <v>42.457581594217409</v>
      </c>
      <c r="AN7" s="19">
        <v>4614.9142288745297</v>
      </c>
      <c r="AO7" s="19">
        <v>9961.563798679108</v>
      </c>
      <c r="AP7" t="s">
        <v>222</v>
      </c>
      <c r="AS7" s="31">
        <v>17127344.027355053</v>
      </c>
      <c r="AT7" s="167">
        <v>20000</v>
      </c>
      <c r="AU7" s="167">
        <v>20000</v>
      </c>
      <c r="AV7" s="167">
        <v>20000</v>
      </c>
      <c r="AW7" s="167">
        <v>20000</v>
      </c>
      <c r="AX7" s="167">
        <v>20000</v>
      </c>
      <c r="AY7" s="167">
        <v>20000</v>
      </c>
      <c r="AZ7" s="167">
        <v>20000</v>
      </c>
      <c r="BA7" s="167">
        <v>20000</v>
      </c>
      <c r="BB7" s="167">
        <v>20000</v>
      </c>
      <c r="BC7" s="167">
        <v>20000</v>
      </c>
      <c r="BD7" s="167">
        <v>20000</v>
      </c>
      <c r="BE7" s="167">
        <v>20000</v>
      </c>
      <c r="BF7" s="167">
        <v>20000</v>
      </c>
      <c r="BG7" s="167">
        <v>20000</v>
      </c>
      <c r="BH7" s="167">
        <v>20000</v>
      </c>
      <c r="BI7" s="167">
        <v>20000</v>
      </c>
      <c r="BJ7" s="167">
        <v>20000</v>
      </c>
      <c r="BK7" s="167">
        <v>20000</v>
      </c>
      <c r="BL7" s="167">
        <v>20000</v>
      </c>
      <c r="BM7" s="167">
        <v>20000</v>
      </c>
      <c r="BN7" s="167">
        <v>20000</v>
      </c>
      <c r="BO7" s="167">
        <v>20000</v>
      </c>
      <c r="BP7" s="167">
        <v>20000</v>
      </c>
      <c r="BQ7" s="167">
        <v>20000</v>
      </c>
      <c r="BR7" s="167">
        <v>20000</v>
      </c>
      <c r="BS7" s="167">
        <v>20000</v>
      </c>
      <c r="BT7" s="167">
        <v>20000</v>
      </c>
      <c r="BU7" s="167">
        <v>20000</v>
      </c>
      <c r="BV7" s="167">
        <v>20000</v>
      </c>
      <c r="BW7" s="167">
        <v>20000</v>
      </c>
      <c r="BX7" s="167">
        <v>20000</v>
      </c>
      <c r="BY7" s="167">
        <v>20000</v>
      </c>
      <c r="BZ7" s="167">
        <v>20000</v>
      </c>
      <c r="CA7" s="167">
        <v>20000</v>
      </c>
      <c r="CB7" s="167">
        <v>20000</v>
      </c>
      <c r="CC7" s="167">
        <v>20000</v>
      </c>
      <c r="CD7" s="167">
        <v>20000</v>
      </c>
      <c r="CE7" s="167">
        <v>20000</v>
      </c>
      <c r="CF7" s="167">
        <v>20000</v>
      </c>
      <c r="CG7" s="167">
        <v>20000</v>
      </c>
      <c r="CH7" s="167">
        <v>20000</v>
      </c>
      <c r="CI7" s="167">
        <v>20000</v>
      </c>
      <c r="CJ7" s="167">
        <v>20000</v>
      </c>
      <c r="CK7" s="167">
        <v>20000</v>
      </c>
      <c r="CL7" s="167">
        <v>20000</v>
      </c>
      <c r="CM7" s="167">
        <v>20000</v>
      </c>
      <c r="CN7" s="167">
        <v>20000</v>
      </c>
      <c r="CO7" s="167">
        <v>20000</v>
      </c>
      <c r="CP7" s="167">
        <v>20000</v>
      </c>
      <c r="CQ7" s="167">
        <v>20000</v>
      </c>
      <c r="CR7" s="167">
        <v>20000</v>
      </c>
      <c r="CS7" s="167">
        <v>20000</v>
      </c>
      <c r="CT7" s="167">
        <v>20000</v>
      </c>
      <c r="CU7" s="167">
        <v>20000</v>
      </c>
      <c r="CV7" s="167">
        <v>20000</v>
      </c>
      <c r="CW7" s="167">
        <v>20000</v>
      </c>
      <c r="CX7" s="167">
        <v>20000</v>
      </c>
      <c r="CY7" s="167">
        <v>20000</v>
      </c>
      <c r="CZ7" s="167">
        <v>20000</v>
      </c>
      <c r="DA7" s="167">
        <v>20000</v>
      </c>
      <c r="DB7" s="167">
        <v>20000</v>
      </c>
      <c r="DC7" s="167">
        <v>20000</v>
      </c>
      <c r="DD7" s="167">
        <v>20000</v>
      </c>
      <c r="DE7" s="167">
        <v>20000</v>
      </c>
      <c r="DF7" s="167">
        <v>20000</v>
      </c>
      <c r="DG7" s="167">
        <v>20000</v>
      </c>
      <c r="DH7" s="167">
        <v>20000</v>
      </c>
      <c r="DI7" s="167">
        <v>20000</v>
      </c>
      <c r="DJ7" s="167">
        <v>20000</v>
      </c>
      <c r="DK7" s="167">
        <v>20000</v>
      </c>
      <c r="DL7" s="167">
        <v>20000</v>
      </c>
      <c r="DM7" s="167">
        <v>20000</v>
      </c>
      <c r="DN7" s="167">
        <v>20000</v>
      </c>
      <c r="DO7" s="167">
        <v>20000</v>
      </c>
      <c r="DP7" s="167">
        <v>20000</v>
      </c>
      <c r="DQ7" s="167">
        <v>20000</v>
      </c>
      <c r="DR7" s="167">
        <v>20000</v>
      </c>
      <c r="DS7" s="167">
        <v>20000</v>
      </c>
      <c r="DT7" s="167">
        <v>20000</v>
      </c>
      <c r="DU7" s="167">
        <v>20000</v>
      </c>
      <c r="DV7" s="167">
        <v>20000</v>
      </c>
      <c r="DW7" s="167">
        <v>20000</v>
      </c>
      <c r="DX7" s="167">
        <v>20000</v>
      </c>
      <c r="DY7" s="167">
        <v>20000</v>
      </c>
      <c r="DZ7" s="167">
        <v>20000</v>
      </c>
      <c r="EA7" s="167">
        <v>20000</v>
      </c>
      <c r="EB7" s="167">
        <v>20000</v>
      </c>
      <c r="EC7" s="167">
        <v>20000</v>
      </c>
      <c r="ED7" s="167">
        <v>20000</v>
      </c>
      <c r="EE7" s="167">
        <v>20000</v>
      </c>
      <c r="EF7" s="167">
        <v>20000</v>
      </c>
      <c r="EG7" s="167">
        <v>20000</v>
      </c>
      <c r="EH7" s="167">
        <v>20000</v>
      </c>
      <c r="EI7" s="167">
        <v>20000</v>
      </c>
      <c r="EJ7" s="167">
        <v>20000</v>
      </c>
      <c r="EK7" s="167">
        <v>20000</v>
      </c>
      <c r="EL7" s="167">
        <v>20000</v>
      </c>
      <c r="EM7" s="167">
        <v>20000</v>
      </c>
      <c r="EN7" s="167">
        <v>20000</v>
      </c>
      <c r="EO7" s="167">
        <v>20000</v>
      </c>
      <c r="EP7" t="str">
        <f t="shared" si="0"/>
        <v>0y 198d</v>
      </c>
      <c r="ES7" s="67"/>
      <c r="ET7" s="68" t="s">
        <v>113</v>
      </c>
      <c r="EU7" s="64" t="str">
        <f>AT103</f>
        <v>y20 d1</v>
      </c>
      <c r="EV7" s="67"/>
      <c r="EW7" s="67"/>
      <c r="EX7" s="67"/>
    </row>
    <row r="8" spans="2:154" ht="15" customHeight="1" x14ac:dyDescent="0.25">
      <c r="B8" s="65">
        <v>5</v>
      </c>
      <c r="D8">
        <v>1221259.9263001352</v>
      </c>
      <c r="E8" s="12">
        <v>-88927130815.213669</v>
      </c>
      <c r="F8" s="12">
        <v>117252182777.72112</v>
      </c>
      <c r="G8" s="12">
        <v>0</v>
      </c>
      <c r="H8" s="12">
        <v>4999846.9789142106</v>
      </c>
      <c r="I8" s="12">
        <v>370553225763.61853</v>
      </c>
      <c r="J8" s="12">
        <v>-98555448030.557205</v>
      </c>
      <c r="K8" s="12">
        <v>-5279932137.0393267</v>
      </c>
      <c r="L8" s="12"/>
      <c r="M8" s="12"/>
      <c r="N8" s="12"/>
      <c r="O8" s="12"/>
      <c r="P8" s="12">
        <v>515894.93164098449</v>
      </c>
      <c r="Q8" s="12">
        <v>141998366571.77408</v>
      </c>
      <c r="R8" s="12">
        <v>-54973884994.881386</v>
      </c>
      <c r="S8" s="12">
        <v>0</v>
      </c>
      <c r="T8" s="12">
        <v>613544.97459841613</v>
      </c>
      <c r="U8" s="12">
        <v>110408136708.62233</v>
      </c>
      <c r="V8" s="12">
        <v>208428604483.87396</v>
      </c>
      <c r="W8" s="12">
        <v>-26032280.299919773</v>
      </c>
      <c r="X8" s="12"/>
      <c r="Y8" s="12"/>
      <c r="Z8" s="12"/>
      <c r="AA8" s="12"/>
      <c r="AB8" s="12"/>
      <c r="AC8" s="12"/>
      <c r="AD8" s="12"/>
      <c r="AE8" s="12"/>
      <c r="AG8" s="65" t="s">
        <v>22</v>
      </c>
      <c r="AH8" s="65" t="s">
        <v>23</v>
      </c>
      <c r="AI8" s="65" t="s">
        <v>26</v>
      </c>
      <c r="AS8" s="31">
        <v>18315006.569397923</v>
      </c>
      <c r="AT8" s="167">
        <v>20000</v>
      </c>
      <c r="AU8" s="167">
        <v>20000</v>
      </c>
      <c r="AV8" s="167">
        <v>20000</v>
      </c>
      <c r="AW8" s="167">
        <v>20000</v>
      </c>
      <c r="AX8" s="167">
        <v>20000</v>
      </c>
      <c r="AY8" s="167">
        <v>20000</v>
      </c>
      <c r="AZ8" s="167">
        <v>20000</v>
      </c>
      <c r="BA8" s="167">
        <v>20000</v>
      </c>
      <c r="BB8" s="167">
        <v>20000</v>
      </c>
      <c r="BC8" s="167">
        <v>20000</v>
      </c>
      <c r="BD8" s="167">
        <v>20000</v>
      </c>
      <c r="BE8" s="167">
        <v>20000</v>
      </c>
      <c r="BF8" s="167">
        <v>20000</v>
      </c>
      <c r="BG8" s="167">
        <v>20000</v>
      </c>
      <c r="BH8" s="167">
        <v>20000</v>
      </c>
      <c r="BI8" s="167">
        <v>20000</v>
      </c>
      <c r="BJ8" s="167">
        <v>20000</v>
      </c>
      <c r="BK8" s="167">
        <v>20000</v>
      </c>
      <c r="BL8" s="167">
        <v>20000</v>
      </c>
      <c r="BM8" s="167">
        <v>20000</v>
      </c>
      <c r="BN8" s="167">
        <v>20000</v>
      </c>
      <c r="BO8" s="167">
        <v>20000</v>
      </c>
      <c r="BP8" s="167">
        <v>20000</v>
      </c>
      <c r="BQ8" s="167">
        <v>20000</v>
      </c>
      <c r="BR8" s="167">
        <v>20000</v>
      </c>
      <c r="BS8" s="167">
        <v>20000</v>
      </c>
      <c r="BT8" s="167">
        <v>20000</v>
      </c>
      <c r="BU8" s="167">
        <v>20000</v>
      </c>
      <c r="BV8" s="167">
        <v>20000</v>
      </c>
      <c r="BW8" s="167">
        <v>20000</v>
      </c>
      <c r="BX8" s="167">
        <v>20000</v>
      </c>
      <c r="BY8" s="167">
        <v>20000</v>
      </c>
      <c r="BZ8" s="167">
        <v>19494.636175681317</v>
      </c>
      <c r="CA8" s="167">
        <v>19277.987289058001</v>
      </c>
      <c r="CB8" s="167">
        <v>20000</v>
      </c>
      <c r="CC8" s="167">
        <v>20000</v>
      </c>
      <c r="CD8" s="167">
        <v>20000</v>
      </c>
      <c r="CE8" s="167">
        <v>20000</v>
      </c>
      <c r="CF8" s="167">
        <v>20000</v>
      </c>
      <c r="CG8" s="167">
        <v>20000</v>
      </c>
      <c r="CH8" s="167">
        <v>20000</v>
      </c>
      <c r="CI8" s="167">
        <v>20000</v>
      </c>
      <c r="CJ8" s="167">
        <v>20000</v>
      </c>
      <c r="CK8" s="167">
        <v>20000</v>
      </c>
      <c r="CL8" s="167">
        <v>20000</v>
      </c>
      <c r="CM8" s="167">
        <v>20000</v>
      </c>
      <c r="CN8" s="167">
        <v>20000</v>
      </c>
      <c r="CO8" s="167">
        <v>20000</v>
      </c>
      <c r="CP8" s="167">
        <v>20000</v>
      </c>
      <c r="CQ8" s="167">
        <v>20000</v>
      </c>
      <c r="CR8" s="167">
        <v>20000</v>
      </c>
      <c r="CS8" s="167">
        <v>20000</v>
      </c>
      <c r="CT8" s="167">
        <v>20000</v>
      </c>
      <c r="CU8" s="167">
        <v>20000</v>
      </c>
      <c r="CV8" s="167">
        <v>20000</v>
      </c>
      <c r="CW8" s="167">
        <v>20000</v>
      </c>
      <c r="CX8" s="167">
        <v>20000</v>
      </c>
      <c r="CY8" s="167">
        <v>20000</v>
      </c>
      <c r="CZ8" s="167">
        <v>20000</v>
      </c>
      <c r="DA8" s="167">
        <v>20000</v>
      </c>
      <c r="DB8" s="167">
        <v>20000</v>
      </c>
      <c r="DC8" s="167">
        <v>20000</v>
      </c>
      <c r="DD8" s="167">
        <v>20000</v>
      </c>
      <c r="DE8" s="167">
        <v>20000</v>
      </c>
      <c r="DF8" s="167">
        <v>20000</v>
      </c>
      <c r="DG8" s="167">
        <v>20000</v>
      </c>
      <c r="DH8" s="167">
        <v>20000</v>
      </c>
      <c r="DI8" s="167">
        <v>20000</v>
      </c>
      <c r="DJ8" s="167">
        <v>20000</v>
      </c>
      <c r="DK8" s="167">
        <v>20000</v>
      </c>
      <c r="DL8" s="167">
        <v>20000</v>
      </c>
      <c r="DM8" s="167">
        <v>20000</v>
      </c>
      <c r="DN8" s="167">
        <v>20000</v>
      </c>
      <c r="DO8" s="167">
        <v>20000</v>
      </c>
      <c r="DP8" s="167">
        <v>20000</v>
      </c>
      <c r="DQ8" s="167">
        <v>20000</v>
      </c>
      <c r="DR8" s="167">
        <v>20000</v>
      </c>
      <c r="DS8" s="167">
        <v>20000</v>
      </c>
      <c r="DT8" s="167">
        <v>20000</v>
      </c>
      <c r="DU8" s="167">
        <v>20000</v>
      </c>
      <c r="DV8" s="167">
        <v>20000</v>
      </c>
      <c r="DW8" s="167">
        <v>20000</v>
      </c>
      <c r="DX8" s="167">
        <v>20000</v>
      </c>
      <c r="DY8" s="167">
        <v>20000</v>
      </c>
      <c r="DZ8" s="167">
        <v>20000</v>
      </c>
      <c r="EA8" s="167">
        <v>20000</v>
      </c>
      <c r="EB8" s="167">
        <v>20000</v>
      </c>
      <c r="EC8" s="167">
        <v>20000</v>
      </c>
      <c r="ED8" s="167">
        <v>20000</v>
      </c>
      <c r="EE8" s="167">
        <v>20000</v>
      </c>
      <c r="EF8" s="167">
        <v>20000</v>
      </c>
      <c r="EG8" s="167">
        <v>20000</v>
      </c>
      <c r="EH8" s="167">
        <v>20000</v>
      </c>
      <c r="EI8" s="167">
        <v>20000</v>
      </c>
      <c r="EJ8" s="167">
        <v>20000</v>
      </c>
      <c r="EK8" s="167">
        <v>20000</v>
      </c>
      <c r="EL8" s="167">
        <v>20000</v>
      </c>
      <c r="EM8" s="167">
        <v>20000</v>
      </c>
      <c r="EN8" s="167">
        <v>20000</v>
      </c>
      <c r="EO8" s="167">
        <v>20000</v>
      </c>
      <c r="EP8" t="str">
        <f t="shared" si="0"/>
        <v>0y 212d</v>
      </c>
      <c r="ES8" s="67"/>
      <c r="ET8" s="68" t="s">
        <v>116</v>
      </c>
      <c r="EU8" s="64" t="str">
        <f>EO103</f>
        <v>y25 d1</v>
      </c>
      <c r="EV8" s="67"/>
      <c r="EW8" s="67"/>
      <c r="EX8" s="67"/>
    </row>
    <row r="9" spans="2:154" ht="15" customHeight="1" x14ac:dyDescent="0.25">
      <c r="B9" s="65">
        <v>6</v>
      </c>
      <c r="D9">
        <v>1526831.1729879519</v>
      </c>
      <c r="E9" s="12">
        <v>-96139293243.464233</v>
      </c>
      <c r="F9" s="12">
        <v>111466381728.80965</v>
      </c>
      <c r="G9" s="12">
        <v>0</v>
      </c>
      <c r="H9" s="12">
        <v>6220456.1018876554</v>
      </c>
      <c r="I9" s="12">
        <v>374446578623.8692</v>
      </c>
      <c r="J9" s="12">
        <v>-74811303888.476746</v>
      </c>
      <c r="K9" s="12">
        <v>-6499844974.9927378</v>
      </c>
      <c r="L9" s="12"/>
      <c r="M9" s="12"/>
      <c r="N9" s="12"/>
      <c r="O9" s="12"/>
      <c r="P9" s="12">
        <v>645827.67311225634</v>
      </c>
      <c r="Q9" s="12">
        <v>143908840532.32199</v>
      </c>
      <c r="R9" s="12">
        <v>-50668200153.254585</v>
      </c>
      <c r="S9" s="12">
        <v>0</v>
      </c>
      <c r="T9" s="12">
        <v>773338.51917746407</v>
      </c>
      <c r="U9" s="12">
        <v>108014651624.42924</v>
      </c>
      <c r="V9" s="12">
        <v>211890821767.97534</v>
      </c>
      <c r="W9" s="12">
        <v>-32799772.947466101</v>
      </c>
      <c r="X9" s="12"/>
      <c r="Y9" s="12"/>
      <c r="Z9" s="12"/>
      <c r="AA9" s="12"/>
      <c r="AB9" s="12"/>
      <c r="AC9" s="12"/>
      <c r="AD9" s="12"/>
      <c r="AE9" s="12"/>
      <c r="AG9" s="27">
        <v>0</v>
      </c>
      <c r="AH9" s="27">
        <v>0</v>
      </c>
      <c r="AI9" s="27">
        <v>0</v>
      </c>
      <c r="AS9" s="31">
        <v>19502669.111440793</v>
      </c>
      <c r="AT9" s="167">
        <v>20000</v>
      </c>
      <c r="AU9" s="167">
        <v>20000</v>
      </c>
      <c r="AV9" s="167">
        <v>20000</v>
      </c>
      <c r="AW9" s="167">
        <v>20000</v>
      </c>
      <c r="AX9" s="167">
        <v>20000</v>
      </c>
      <c r="AY9" s="167">
        <v>20000</v>
      </c>
      <c r="AZ9" s="167">
        <v>20000</v>
      </c>
      <c r="BA9" s="167">
        <v>20000</v>
      </c>
      <c r="BB9" s="167">
        <v>20000</v>
      </c>
      <c r="BC9" s="167">
        <v>20000</v>
      </c>
      <c r="BD9" s="167">
        <v>20000</v>
      </c>
      <c r="BE9" s="167">
        <v>20000</v>
      </c>
      <c r="BF9" s="167">
        <v>20000</v>
      </c>
      <c r="BG9" s="167">
        <v>20000</v>
      </c>
      <c r="BH9" s="167">
        <v>20000</v>
      </c>
      <c r="BI9" s="167">
        <v>20000</v>
      </c>
      <c r="BJ9" s="167">
        <v>20000</v>
      </c>
      <c r="BK9" s="167">
        <v>20000</v>
      </c>
      <c r="BL9" s="167">
        <v>20000</v>
      </c>
      <c r="BM9" s="167">
        <v>20000</v>
      </c>
      <c r="BN9" s="167">
        <v>20000</v>
      </c>
      <c r="BO9" s="167">
        <v>20000</v>
      </c>
      <c r="BP9" s="167">
        <v>20000</v>
      </c>
      <c r="BQ9" s="167">
        <v>20000</v>
      </c>
      <c r="BR9" s="167">
        <v>20000</v>
      </c>
      <c r="BS9" s="167">
        <v>20000</v>
      </c>
      <c r="BT9" s="167">
        <v>20000</v>
      </c>
      <c r="BU9" s="167">
        <v>20000</v>
      </c>
      <c r="BV9" s="167">
        <v>20000</v>
      </c>
      <c r="BW9" s="167">
        <v>20000</v>
      </c>
      <c r="BX9" s="167">
        <v>20000</v>
      </c>
      <c r="BY9" s="167">
        <v>19490.410476927213</v>
      </c>
      <c r="BZ9" s="167">
        <v>18051.449224453707</v>
      </c>
      <c r="CA9" s="167">
        <v>18019.907383926431</v>
      </c>
      <c r="CB9" s="167">
        <v>19774.580633952472</v>
      </c>
      <c r="CC9" s="167">
        <v>20000</v>
      </c>
      <c r="CD9" s="167">
        <v>20000</v>
      </c>
      <c r="CE9" s="167">
        <v>20000</v>
      </c>
      <c r="CF9" s="167">
        <v>20000</v>
      </c>
      <c r="CG9" s="167">
        <v>20000</v>
      </c>
      <c r="CH9" s="167">
        <v>20000</v>
      </c>
      <c r="CI9" s="167">
        <v>20000</v>
      </c>
      <c r="CJ9" s="167">
        <v>20000</v>
      </c>
      <c r="CK9" s="167">
        <v>20000</v>
      </c>
      <c r="CL9" s="167">
        <v>20000</v>
      </c>
      <c r="CM9" s="167">
        <v>20000</v>
      </c>
      <c r="CN9" s="167">
        <v>20000</v>
      </c>
      <c r="CO9" s="167">
        <v>20000</v>
      </c>
      <c r="CP9" s="167">
        <v>20000</v>
      </c>
      <c r="CQ9" s="167">
        <v>20000</v>
      </c>
      <c r="CR9" s="167">
        <v>20000</v>
      </c>
      <c r="CS9" s="167">
        <v>20000</v>
      </c>
      <c r="CT9" s="167">
        <v>20000</v>
      </c>
      <c r="CU9" s="167">
        <v>20000</v>
      </c>
      <c r="CV9" s="167">
        <v>20000</v>
      </c>
      <c r="CW9" s="167">
        <v>20000</v>
      </c>
      <c r="CX9" s="167">
        <v>20000</v>
      </c>
      <c r="CY9" s="167">
        <v>20000</v>
      </c>
      <c r="CZ9" s="167">
        <v>20000</v>
      </c>
      <c r="DA9" s="167">
        <v>20000</v>
      </c>
      <c r="DB9" s="167">
        <v>20000</v>
      </c>
      <c r="DC9" s="167">
        <v>20000</v>
      </c>
      <c r="DD9" s="167">
        <v>20000</v>
      </c>
      <c r="DE9" s="167">
        <v>20000</v>
      </c>
      <c r="DF9" s="167">
        <v>20000</v>
      </c>
      <c r="DG9" s="167">
        <v>20000</v>
      </c>
      <c r="DH9" s="167">
        <v>20000</v>
      </c>
      <c r="DI9" s="167">
        <v>20000</v>
      </c>
      <c r="DJ9" s="167">
        <v>20000</v>
      </c>
      <c r="DK9" s="167">
        <v>20000</v>
      </c>
      <c r="DL9" s="167">
        <v>20000</v>
      </c>
      <c r="DM9" s="167">
        <v>20000</v>
      </c>
      <c r="DN9" s="167">
        <v>20000</v>
      </c>
      <c r="DO9" s="167">
        <v>20000</v>
      </c>
      <c r="DP9" s="167">
        <v>20000</v>
      </c>
      <c r="DQ9" s="167">
        <v>20000</v>
      </c>
      <c r="DR9" s="167">
        <v>20000</v>
      </c>
      <c r="DS9" s="167">
        <v>20000</v>
      </c>
      <c r="DT9" s="167">
        <v>20000</v>
      </c>
      <c r="DU9" s="167">
        <v>20000</v>
      </c>
      <c r="DV9" s="167">
        <v>20000</v>
      </c>
      <c r="DW9" s="167">
        <v>20000</v>
      </c>
      <c r="DX9" s="167">
        <v>20000</v>
      </c>
      <c r="DY9" s="167">
        <v>20000</v>
      </c>
      <c r="DZ9" s="167">
        <v>20000</v>
      </c>
      <c r="EA9" s="167">
        <v>20000</v>
      </c>
      <c r="EB9" s="167">
        <v>20000</v>
      </c>
      <c r="EC9" s="167">
        <v>20000</v>
      </c>
      <c r="ED9" s="167">
        <v>20000</v>
      </c>
      <c r="EE9" s="167">
        <v>20000</v>
      </c>
      <c r="EF9" s="167">
        <v>20000</v>
      </c>
      <c r="EG9" s="167">
        <v>20000</v>
      </c>
      <c r="EH9" s="167">
        <v>20000</v>
      </c>
      <c r="EI9" s="167">
        <v>20000</v>
      </c>
      <c r="EJ9" s="167">
        <v>20000</v>
      </c>
      <c r="EK9" s="167">
        <v>20000</v>
      </c>
      <c r="EL9" s="167">
        <v>20000</v>
      </c>
      <c r="EM9" s="167">
        <v>20000</v>
      </c>
      <c r="EN9" s="167">
        <v>20000</v>
      </c>
      <c r="EO9" s="167">
        <v>20000</v>
      </c>
      <c r="EP9" t="str">
        <f t="shared" si="0"/>
        <v>0y 226d</v>
      </c>
      <c r="ET9" s="68" t="s">
        <v>114</v>
      </c>
      <c r="EU9" s="64" t="str">
        <f>EP3</f>
        <v>0y 143d</v>
      </c>
    </row>
    <row r="10" spans="2:154" ht="15" customHeight="1" x14ac:dyDescent="0.25">
      <c r="B10" s="65">
        <v>7</v>
      </c>
      <c r="D10">
        <v>1832582.5068482845</v>
      </c>
      <c r="E10" s="12">
        <v>-102982145762.86708</v>
      </c>
      <c r="F10" s="12">
        <v>105244057996.02403</v>
      </c>
      <c r="G10" s="12">
        <v>0</v>
      </c>
      <c r="H10" s="12">
        <v>7431625.627843543</v>
      </c>
      <c r="I10" s="12">
        <v>376997137196.82526</v>
      </c>
      <c r="J10" s="12">
        <v>-50988466476.167595</v>
      </c>
      <c r="K10" s="12">
        <v>-7687539912.9603319</v>
      </c>
      <c r="L10" s="12"/>
      <c r="M10" s="12"/>
      <c r="N10" s="12"/>
      <c r="O10" s="12"/>
      <c r="P10" s="12">
        <v>776314.510376191</v>
      </c>
      <c r="Q10" s="12">
        <v>145736142921.60416</v>
      </c>
      <c r="R10" s="12">
        <v>-46312002921.674934</v>
      </c>
      <c r="S10" s="12">
        <v>0</v>
      </c>
      <c r="T10" s="12">
        <v>935820.19495408982</v>
      </c>
      <c r="U10" s="12">
        <v>105553020181.58502</v>
      </c>
      <c r="V10" s="12">
        <v>215356583829.26752</v>
      </c>
      <c r="W10" s="12">
        <v>-39672642.583446361</v>
      </c>
      <c r="X10" s="12"/>
      <c r="Y10" s="12"/>
      <c r="Z10" s="12"/>
      <c r="AA10" s="12"/>
      <c r="AB10" s="12"/>
      <c r="AC10" s="12"/>
      <c r="AD10" s="12"/>
      <c r="AE10" s="12"/>
      <c r="AG10" s="27">
        <v>-401377095698.70483</v>
      </c>
      <c r="AH10" s="27">
        <v>246069396070.47153</v>
      </c>
      <c r="AI10" s="27">
        <v>-827546227.54609811</v>
      </c>
      <c r="AS10" s="31">
        <v>20690331.653483663</v>
      </c>
      <c r="AT10" s="167">
        <v>20000</v>
      </c>
      <c r="AU10" s="167">
        <v>20000</v>
      </c>
      <c r="AV10" s="167">
        <v>20000</v>
      </c>
      <c r="AW10" s="167">
        <v>20000</v>
      </c>
      <c r="AX10" s="167">
        <v>20000</v>
      </c>
      <c r="AY10" s="167">
        <v>19062.109931816816</v>
      </c>
      <c r="AZ10" s="167">
        <v>18599.70146052463</v>
      </c>
      <c r="BA10" s="167">
        <v>19621.405143535892</v>
      </c>
      <c r="BB10" s="167">
        <v>20000</v>
      </c>
      <c r="BC10" s="167">
        <v>20000</v>
      </c>
      <c r="BD10" s="167">
        <v>20000</v>
      </c>
      <c r="BE10" s="167">
        <v>20000</v>
      </c>
      <c r="BF10" s="167">
        <v>20000</v>
      </c>
      <c r="BG10" s="167">
        <v>20000</v>
      </c>
      <c r="BH10" s="167">
        <v>20000</v>
      </c>
      <c r="BI10" s="167">
        <v>20000</v>
      </c>
      <c r="BJ10" s="167">
        <v>20000</v>
      </c>
      <c r="BK10" s="167">
        <v>20000</v>
      </c>
      <c r="BL10" s="167">
        <v>20000</v>
      </c>
      <c r="BM10" s="167">
        <v>20000</v>
      </c>
      <c r="BN10" s="167">
        <v>20000</v>
      </c>
      <c r="BO10" s="167">
        <v>20000</v>
      </c>
      <c r="BP10" s="167">
        <v>20000</v>
      </c>
      <c r="BQ10" s="167">
        <v>20000</v>
      </c>
      <c r="BR10" s="167">
        <v>20000</v>
      </c>
      <c r="BS10" s="167">
        <v>20000</v>
      </c>
      <c r="BT10" s="167">
        <v>20000</v>
      </c>
      <c r="BU10" s="167">
        <v>20000</v>
      </c>
      <c r="BV10" s="167">
        <v>20000</v>
      </c>
      <c r="BW10" s="167">
        <v>20000</v>
      </c>
      <c r="BX10" s="167">
        <v>20000</v>
      </c>
      <c r="BY10" s="167">
        <v>18091.690797662573</v>
      </c>
      <c r="BZ10" s="167">
        <v>16825.99692609219</v>
      </c>
      <c r="CA10" s="167">
        <v>16946.170701501662</v>
      </c>
      <c r="CB10" s="167">
        <v>18800.553061237631</v>
      </c>
      <c r="CC10" s="167">
        <v>20000</v>
      </c>
      <c r="CD10" s="167">
        <v>20000</v>
      </c>
      <c r="CE10" s="167">
        <v>20000</v>
      </c>
      <c r="CF10" s="167">
        <v>20000</v>
      </c>
      <c r="CG10" s="167">
        <v>20000</v>
      </c>
      <c r="CH10" s="167">
        <v>20000</v>
      </c>
      <c r="CI10" s="167">
        <v>20000</v>
      </c>
      <c r="CJ10" s="167">
        <v>20000</v>
      </c>
      <c r="CK10" s="167">
        <v>20000</v>
      </c>
      <c r="CL10" s="167">
        <v>20000</v>
      </c>
      <c r="CM10" s="167">
        <v>20000</v>
      </c>
      <c r="CN10" s="167">
        <v>20000</v>
      </c>
      <c r="CO10" s="167">
        <v>20000</v>
      </c>
      <c r="CP10" s="167">
        <v>20000</v>
      </c>
      <c r="CQ10" s="167">
        <v>20000</v>
      </c>
      <c r="CR10" s="167">
        <v>20000</v>
      </c>
      <c r="CS10" s="167">
        <v>20000</v>
      </c>
      <c r="CT10" s="167">
        <v>20000</v>
      </c>
      <c r="CU10" s="167">
        <v>20000</v>
      </c>
      <c r="CV10" s="167">
        <v>20000</v>
      </c>
      <c r="CW10" s="167">
        <v>20000</v>
      </c>
      <c r="CX10" s="167">
        <v>20000</v>
      </c>
      <c r="CY10" s="167">
        <v>20000</v>
      </c>
      <c r="CZ10" s="167">
        <v>20000</v>
      </c>
      <c r="DA10" s="167">
        <v>20000</v>
      </c>
      <c r="DB10" s="167">
        <v>20000</v>
      </c>
      <c r="DC10" s="167">
        <v>20000</v>
      </c>
      <c r="DD10" s="167">
        <v>20000</v>
      </c>
      <c r="DE10" s="167">
        <v>20000</v>
      </c>
      <c r="DF10" s="167">
        <v>20000</v>
      </c>
      <c r="DG10" s="167">
        <v>20000</v>
      </c>
      <c r="DH10" s="167">
        <v>20000</v>
      </c>
      <c r="DI10" s="167">
        <v>20000</v>
      </c>
      <c r="DJ10" s="167">
        <v>20000</v>
      </c>
      <c r="DK10" s="167">
        <v>20000</v>
      </c>
      <c r="DL10" s="167">
        <v>20000</v>
      </c>
      <c r="DM10" s="167">
        <v>20000</v>
      </c>
      <c r="DN10" s="167">
        <v>20000</v>
      </c>
      <c r="DO10" s="167">
        <v>20000</v>
      </c>
      <c r="DP10" s="167">
        <v>20000</v>
      </c>
      <c r="DQ10" s="167">
        <v>20000</v>
      </c>
      <c r="DR10" s="167">
        <v>20000</v>
      </c>
      <c r="DS10" s="167">
        <v>20000</v>
      </c>
      <c r="DT10" s="167">
        <v>20000</v>
      </c>
      <c r="DU10" s="167">
        <v>20000</v>
      </c>
      <c r="DV10" s="167">
        <v>20000</v>
      </c>
      <c r="DW10" s="167">
        <v>20000</v>
      </c>
      <c r="DX10" s="167">
        <v>20000</v>
      </c>
      <c r="DY10" s="167">
        <v>20000</v>
      </c>
      <c r="DZ10" s="167">
        <v>20000</v>
      </c>
      <c r="EA10" s="167">
        <v>20000</v>
      </c>
      <c r="EB10" s="167">
        <v>20000</v>
      </c>
      <c r="EC10" s="167">
        <v>20000</v>
      </c>
      <c r="ED10" s="167">
        <v>20000</v>
      </c>
      <c r="EE10" s="167">
        <v>20000</v>
      </c>
      <c r="EF10" s="167">
        <v>20000</v>
      </c>
      <c r="EG10" s="167">
        <v>20000</v>
      </c>
      <c r="EH10" s="167">
        <v>20000</v>
      </c>
      <c r="EI10" s="167">
        <v>20000</v>
      </c>
      <c r="EJ10" s="167">
        <v>20000</v>
      </c>
      <c r="EK10" s="167">
        <v>20000</v>
      </c>
      <c r="EL10" s="167">
        <v>20000</v>
      </c>
      <c r="EM10" s="167">
        <v>20000</v>
      </c>
      <c r="EN10" s="167">
        <v>20000</v>
      </c>
      <c r="EO10" s="167">
        <v>20000</v>
      </c>
      <c r="EP10" t="str">
        <f t="shared" si="0"/>
        <v>0y 239d</v>
      </c>
      <c r="ET10" s="68" t="s">
        <v>115</v>
      </c>
      <c r="EU10" s="64" t="str">
        <f>EP102</f>
        <v>4y 43d</v>
      </c>
    </row>
    <row r="11" spans="2:154" ht="15" customHeight="1" x14ac:dyDescent="0.25">
      <c r="B11" s="65">
        <v>8</v>
      </c>
      <c r="D11">
        <v>2138551.7894317899</v>
      </c>
      <c r="E11" s="12">
        <v>-109429572133.00426</v>
      </c>
      <c r="F11" s="12">
        <v>98608205593.143158</v>
      </c>
      <c r="G11" s="12">
        <v>0</v>
      </c>
      <c r="H11" s="12">
        <v>8634505.9306142945</v>
      </c>
      <c r="I11" s="12">
        <v>378212840534.54974</v>
      </c>
      <c r="J11" s="12">
        <v>-27150447108.852852</v>
      </c>
      <c r="K11" s="12">
        <v>-8840244794.5798302</v>
      </c>
      <c r="L11" s="12"/>
      <c r="M11" s="12"/>
      <c r="N11" s="12"/>
      <c r="O11" s="12"/>
      <c r="P11" s="12">
        <v>907442.41874753369</v>
      </c>
      <c r="Q11" s="12">
        <v>147479702534.4389</v>
      </c>
      <c r="R11" s="12">
        <v>-41904940741.781258</v>
      </c>
      <c r="S11" s="12">
        <v>0</v>
      </c>
      <c r="T11" s="12">
        <v>1101054.9670471277</v>
      </c>
      <c r="U11" s="12">
        <v>103022201663.80846</v>
      </c>
      <c r="V11" s="12">
        <v>218825006128.16174</v>
      </c>
      <c r="W11" s="12">
        <v>-46651636.139540702</v>
      </c>
      <c r="X11" s="12"/>
      <c r="Y11" s="12"/>
      <c r="Z11" s="12"/>
      <c r="AA11" s="12"/>
      <c r="AB11" s="12"/>
      <c r="AC11" s="12"/>
      <c r="AD11" s="12"/>
      <c r="AE11" s="12"/>
      <c r="AG11" s="27"/>
      <c r="AH11" s="27"/>
      <c r="AI11" s="27"/>
      <c r="AS11" s="31">
        <v>21877994.195526533</v>
      </c>
      <c r="AT11" s="167">
        <v>20000</v>
      </c>
      <c r="AU11" s="167">
        <v>20000</v>
      </c>
      <c r="AV11" s="167">
        <v>20000</v>
      </c>
      <c r="AW11" s="167">
        <v>20000</v>
      </c>
      <c r="AX11" s="167">
        <v>19132.347669266841</v>
      </c>
      <c r="AY11" s="167">
        <v>17608.47086117517</v>
      </c>
      <c r="AZ11" s="167">
        <v>17385.045000726099</v>
      </c>
      <c r="BA11" s="167">
        <v>18552.37195528789</v>
      </c>
      <c r="BB11" s="167">
        <v>20000</v>
      </c>
      <c r="BC11" s="167">
        <v>20000</v>
      </c>
      <c r="BD11" s="167">
        <v>20000</v>
      </c>
      <c r="BE11" s="167">
        <v>20000</v>
      </c>
      <c r="BF11" s="167">
        <v>20000</v>
      </c>
      <c r="BG11" s="167">
        <v>20000</v>
      </c>
      <c r="BH11" s="167">
        <v>20000</v>
      </c>
      <c r="BI11" s="167">
        <v>20000</v>
      </c>
      <c r="BJ11" s="167">
        <v>20000</v>
      </c>
      <c r="BK11" s="167">
        <v>20000</v>
      </c>
      <c r="BL11" s="167">
        <v>20000</v>
      </c>
      <c r="BM11" s="167">
        <v>20000</v>
      </c>
      <c r="BN11" s="167">
        <v>20000</v>
      </c>
      <c r="BO11" s="167">
        <v>20000</v>
      </c>
      <c r="BP11" s="167">
        <v>20000</v>
      </c>
      <c r="BQ11" s="167">
        <v>20000</v>
      </c>
      <c r="BR11" s="167">
        <v>20000</v>
      </c>
      <c r="BS11" s="167">
        <v>20000</v>
      </c>
      <c r="BT11" s="167">
        <v>20000</v>
      </c>
      <c r="BU11" s="167">
        <v>20000</v>
      </c>
      <c r="BV11" s="167">
        <v>20000</v>
      </c>
      <c r="BW11" s="167">
        <v>20000</v>
      </c>
      <c r="BX11" s="167">
        <v>19008.65920829368</v>
      </c>
      <c r="BY11" s="167">
        <v>16915.412641800027</v>
      </c>
      <c r="BZ11" s="167">
        <v>15779.182434637532</v>
      </c>
      <c r="CA11" s="167">
        <v>16024.886694557754</v>
      </c>
      <c r="CB11" s="167">
        <v>17963.525458120333</v>
      </c>
      <c r="CC11" s="167">
        <v>20000</v>
      </c>
      <c r="CD11" s="167">
        <v>20000</v>
      </c>
      <c r="CE11" s="167">
        <v>20000</v>
      </c>
      <c r="CF11" s="167">
        <v>20000</v>
      </c>
      <c r="CG11" s="167">
        <v>20000</v>
      </c>
      <c r="CH11" s="167">
        <v>20000</v>
      </c>
      <c r="CI11" s="167">
        <v>20000</v>
      </c>
      <c r="CJ11" s="167">
        <v>20000</v>
      </c>
      <c r="CK11" s="167">
        <v>20000</v>
      </c>
      <c r="CL11" s="167">
        <v>20000</v>
      </c>
      <c r="CM11" s="167">
        <v>20000</v>
      </c>
      <c r="CN11" s="167">
        <v>20000</v>
      </c>
      <c r="CO11" s="167">
        <v>20000</v>
      </c>
      <c r="CP11" s="167">
        <v>20000</v>
      </c>
      <c r="CQ11" s="167">
        <v>20000</v>
      </c>
      <c r="CR11" s="167">
        <v>20000</v>
      </c>
      <c r="CS11" s="167">
        <v>20000</v>
      </c>
      <c r="CT11" s="167">
        <v>20000</v>
      </c>
      <c r="CU11" s="167">
        <v>20000</v>
      </c>
      <c r="CV11" s="167">
        <v>20000</v>
      </c>
      <c r="CW11" s="167">
        <v>20000</v>
      </c>
      <c r="CX11" s="167">
        <v>20000</v>
      </c>
      <c r="CY11" s="167">
        <v>20000</v>
      </c>
      <c r="CZ11" s="167">
        <v>20000</v>
      </c>
      <c r="DA11" s="167">
        <v>20000</v>
      </c>
      <c r="DB11" s="167">
        <v>20000</v>
      </c>
      <c r="DC11" s="167">
        <v>20000</v>
      </c>
      <c r="DD11" s="167">
        <v>20000</v>
      </c>
      <c r="DE11" s="167">
        <v>20000</v>
      </c>
      <c r="DF11" s="167">
        <v>20000</v>
      </c>
      <c r="DG11" s="167">
        <v>20000</v>
      </c>
      <c r="DH11" s="167">
        <v>20000</v>
      </c>
      <c r="DI11" s="167">
        <v>20000</v>
      </c>
      <c r="DJ11" s="167">
        <v>20000</v>
      </c>
      <c r="DK11" s="167">
        <v>20000</v>
      </c>
      <c r="DL11" s="167">
        <v>20000</v>
      </c>
      <c r="DM11" s="167">
        <v>20000</v>
      </c>
      <c r="DN11" s="167">
        <v>20000</v>
      </c>
      <c r="DO11" s="167">
        <v>20000</v>
      </c>
      <c r="DP11" s="167">
        <v>20000</v>
      </c>
      <c r="DQ11" s="167">
        <v>20000</v>
      </c>
      <c r="DR11" s="167">
        <v>20000</v>
      </c>
      <c r="DS11" s="167">
        <v>20000</v>
      </c>
      <c r="DT11" s="167">
        <v>20000</v>
      </c>
      <c r="DU11" s="167">
        <v>20000</v>
      </c>
      <c r="DV11" s="167">
        <v>20000</v>
      </c>
      <c r="DW11" s="167">
        <v>20000</v>
      </c>
      <c r="DX11" s="167">
        <v>20000</v>
      </c>
      <c r="DY11" s="167">
        <v>20000</v>
      </c>
      <c r="DZ11" s="167">
        <v>20000</v>
      </c>
      <c r="EA11" s="167">
        <v>20000</v>
      </c>
      <c r="EB11" s="167">
        <v>20000</v>
      </c>
      <c r="EC11" s="167">
        <v>20000</v>
      </c>
      <c r="ED11" s="167">
        <v>20000</v>
      </c>
      <c r="EE11" s="167">
        <v>20000</v>
      </c>
      <c r="EF11" s="167">
        <v>20000</v>
      </c>
      <c r="EG11" s="167">
        <v>20000</v>
      </c>
      <c r="EH11" s="167">
        <v>20000</v>
      </c>
      <c r="EI11" s="167">
        <v>20000</v>
      </c>
      <c r="EJ11" s="167">
        <v>20000</v>
      </c>
      <c r="EK11" s="167">
        <v>20000</v>
      </c>
      <c r="EL11" s="167">
        <v>20000</v>
      </c>
      <c r="EM11" s="167">
        <v>20000</v>
      </c>
      <c r="EN11" s="167">
        <v>20000</v>
      </c>
      <c r="EO11" s="167">
        <v>20000</v>
      </c>
      <c r="EP11" t="str">
        <f t="shared" si="0"/>
        <v>0y 253d</v>
      </c>
      <c r="EU11" s="64"/>
    </row>
    <row r="12" spans="2:154" x14ac:dyDescent="0.25">
      <c r="B12" s="65">
        <v>9</v>
      </c>
      <c r="D12">
        <v>2444776.1417583693</v>
      </c>
      <c r="E12" s="12">
        <v>-115456817554.88956</v>
      </c>
      <c r="F12" s="12">
        <v>91583351529.150009</v>
      </c>
      <c r="G12" s="12">
        <v>0</v>
      </c>
      <c r="H12" s="12">
        <v>9830246.077371018</v>
      </c>
      <c r="I12" s="12">
        <v>378103300642.76019</v>
      </c>
      <c r="J12" s="12">
        <v>-3359270077.6718121</v>
      </c>
      <c r="K12" s="12">
        <v>-9955302087.8633633</v>
      </c>
      <c r="L12" s="12"/>
      <c r="M12" s="12"/>
      <c r="N12" s="12"/>
      <c r="O12" s="12"/>
      <c r="P12" s="12">
        <v>1039299.6376870468</v>
      </c>
      <c r="Q12" s="12">
        <v>149138854298.6492</v>
      </c>
      <c r="R12" s="12">
        <v>-37446629604.896103</v>
      </c>
      <c r="S12" s="12">
        <v>0</v>
      </c>
      <c r="T12" s="12">
        <v>1269109.1700859142</v>
      </c>
      <c r="U12" s="12">
        <v>100421152492.65891</v>
      </c>
      <c r="V12" s="12">
        <v>222295158427.81058</v>
      </c>
      <c r="W12" s="12">
        <v>-53737462.854323827</v>
      </c>
      <c r="X12" s="12"/>
      <c r="Y12" s="12"/>
      <c r="Z12" s="12"/>
      <c r="AA12" s="12"/>
      <c r="AB12" s="12"/>
      <c r="AC12" s="12"/>
      <c r="AD12" s="12"/>
      <c r="AE12" s="12"/>
      <c r="AG12" s="254" t="s">
        <v>36</v>
      </c>
      <c r="AH12" s="254"/>
      <c r="AI12" s="254"/>
      <c r="AS12" s="31">
        <v>23065656.737569403</v>
      </c>
      <c r="AT12" s="167">
        <v>20000</v>
      </c>
      <c r="AU12" s="167">
        <v>20000</v>
      </c>
      <c r="AV12" s="167">
        <v>20000</v>
      </c>
      <c r="AW12" s="167">
        <v>19798.837283790919</v>
      </c>
      <c r="AX12" s="167">
        <v>17610.664470253418</v>
      </c>
      <c r="AY12" s="167">
        <v>16363.819726218178</v>
      </c>
      <c r="AZ12" s="167">
        <v>16342.891126491941</v>
      </c>
      <c r="BA12" s="167">
        <v>17636.038209996797</v>
      </c>
      <c r="BB12" s="167">
        <v>20000</v>
      </c>
      <c r="BC12" s="167">
        <v>20000</v>
      </c>
      <c r="BD12" s="167">
        <v>20000</v>
      </c>
      <c r="BE12" s="167">
        <v>20000</v>
      </c>
      <c r="BF12" s="167">
        <v>20000</v>
      </c>
      <c r="BG12" s="167">
        <v>20000</v>
      </c>
      <c r="BH12" s="167">
        <v>20000</v>
      </c>
      <c r="BI12" s="167">
        <v>20000</v>
      </c>
      <c r="BJ12" s="167">
        <v>20000</v>
      </c>
      <c r="BK12" s="167">
        <v>20000</v>
      </c>
      <c r="BL12" s="167">
        <v>20000</v>
      </c>
      <c r="BM12" s="167">
        <v>20000</v>
      </c>
      <c r="BN12" s="167">
        <v>20000</v>
      </c>
      <c r="BO12" s="167">
        <v>20000</v>
      </c>
      <c r="BP12" s="167">
        <v>20000</v>
      </c>
      <c r="BQ12" s="167">
        <v>20000</v>
      </c>
      <c r="BR12" s="167">
        <v>20000</v>
      </c>
      <c r="BS12" s="167">
        <v>20000</v>
      </c>
      <c r="BT12" s="167">
        <v>20000</v>
      </c>
      <c r="BU12" s="167">
        <v>20000</v>
      </c>
      <c r="BV12" s="167">
        <v>20000</v>
      </c>
      <c r="BW12" s="167">
        <v>20000</v>
      </c>
      <c r="BX12" s="167">
        <v>17996.228779901881</v>
      </c>
      <c r="BY12" s="167">
        <v>15925.13478085044</v>
      </c>
      <c r="BZ12" s="167">
        <v>14881.340859242671</v>
      </c>
      <c r="CA12" s="167">
        <v>15231.625344436156</v>
      </c>
      <c r="CB12" s="167">
        <v>17241.846677475813</v>
      </c>
      <c r="CC12" s="167">
        <v>20000</v>
      </c>
      <c r="CD12" s="167">
        <v>20000</v>
      </c>
      <c r="CE12" s="167">
        <v>20000</v>
      </c>
      <c r="CF12" s="167">
        <v>20000</v>
      </c>
      <c r="CG12" s="167">
        <v>20000</v>
      </c>
      <c r="CH12" s="167">
        <v>20000</v>
      </c>
      <c r="CI12" s="167">
        <v>20000</v>
      </c>
      <c r="CJ12" s="167">
        <v>20000</v>
      </c>
      <c r="CK12" s="167">
        <v>20000</v>
      </c>
      <c r="CL12" s="167">
        <v>20000</v>
      </c>
      <c r="CM12" s="167">
        <v>20000</v>
      </c>
      <c r="CN12" s="167">
        <v>20000</v>
      </c>
      <c r="CO12" s="167">
        <v>20000</v>
      </c>
      <c r="CP12" s="167">
        <v>20000</v>
      </c>
      <c r="CQ12" s="167">
        <v>20000</v>
      </c>
      <c r="CR12" s="167">
        <v>20000</v>
      </c>
      <c r="CS12" s="167">
        <v>20000</v>
      </c>
      <c r="CT12" s="167">
        <v>20000</v>
      </c>
      <c r="CU12" s="167">
        <v>20000</v>
      </c>
      <c r="CV12" s="167">
        <v>20000</v>
      </c>
      <c r="CW12" s="167">
        <v>20000</v>
      </c>
      <c r="CX12" s="167">
        <v>20000</v>
      </c>
      <c r="CY12" s="167">
        <v>20000</v>
      </c>
      <c r="CZ12" s="167">
        <v>20000</v>
      </c>
      <c r="DA12" s="167">
        <v>20000</v>
      </c>
      <c r="DB12" s="167">
        <v>20000</v>
      </c>
      <c r="DC12" s="167">
        <v>20000</v>
      </c>
      <c r="DD12" s="167">
        <v>20000</v>
      </c>
      <c r="DE12" s="167">
        <v>20000</v>
      </c>
      <c r="DF12" s="167">
        <v>20000</v>
      </c>
      <c r="DG12" s="167">
        <v>20000</v>
      </c>
      <c r="DH12" s="167">
        <v>20000</v>
      </c>
      <c r="DI12" s="167">
        <v>20000</v>
      </c>
      <c r="DJ12" s="167">
        <v>20000</v>
      </c>
      <c r="DK12" s="167">
        <v>20000</v>
      </c>
      <c r="DL12" s="167">
        <v>20000</v>
      </c>
      <c r="DM12" s="167">
        <v>20000</v>
      </c>
      <c r="DN12" s="167">
        <v>20000</v>
      </c>
      <c r="DO12" s="167">
        <v>20000</v>
      </c>
      <c r="DP12" s="167">
        <v>20000</v>
      </c>
      <c r="DQ12" s="167">
        <v>20000</v>
      </c>
      <c r="DR12" s="167">
        <v>20000</v>
      </c>
      <c r="DS12" s="167">
        <v>20000</v>
      </c>
      <c r="DT12" s="167">
        <v>20000</v>
      </c>
      <c r="DU12" s="167">
        <v>20000</v>
      </c>
      <c r="DV12" s="167">
        <v>20000</v>
      </c>
      <c r="DW12" s="167">
        <v>20000</v>
      </c>
      <c r="DX12" s="167">
        <v>20000</v>
      </c>
      <c r="DY12" s="167">
        <v>20000</v>
      </c>
      <c r="DZ12" s="167">
        <v>20000</v>
      </c>
      <c r="EA12" s="167">
        <v>20000</v>
      </c>
      <c r="EB12" s="167">
        <v>20000</v>
      </c>
      <c r="EC12" s="167">
        <v>20000</v>
      </c>
      <c r="ED12" s="167">
        <v>20000</v>
      </c>
      <c r="EE12" s="167">
        <v>20000</v>
      </c>
      <c r="EF12" s="167">
        <v>20000</v>
      </c>
      <c r="EG12" s="167">
        <v>20000</v>
      </c>
      <c r="EH12" s="167">
        <v>20000</v>
      </c>
      <c r="EI12" s="167">
        <v>20000</v>
      </c>
      <c r="EJ12" s="167">
        <v>20000</v>
      </c>
      <c r="EK12" s="167">
        <v>20000</v>
      </c>
      <c r="EL12" s="167">
        <v>20000</v>
      </c>
      <c r="EM12" s="167">
        <v>20000</v>
      </c>
      <c r="EN12" s="167">
        <v>20000</v>
      </c>
      <c r="EO12" s="167">
        <v>20000</v>
      </c>
      <c r="EP12" t="str">
        <f t="shared" si="0"/>
        <v>0y 267d</v>
      </c>
    </row>
    <row r="13" spans="2:154" x14ac:dyDescent="0.25">
      <c r="B13" s="65">
        <v>10</v>
      </c>
      <c r="D13">
        <v>2751291.8148889355</v>
      </c>
      <c r="E13" s="12">
        <v>-121040575500.28777</v>
      </c>
      <c r="F13" s="12">
        <v>84195484055.805328</v>
      </c>
      <c r="G13" s="12">
        <v>0</v>
      </c>
      <c r="H13" s="12">
        <v>11019993.538876215</v>
      </c>
      <c r="I13" s="12">
        <v>376679659661.60077</v>
      </c>
      <c r="J13" s="12">
        <v>20324387424.291069</v>
      </c>
      <c r="K13" s="12">
        <v>-11030158489.841997</v>
      </c>
      <c r="L13" s="12"/>
      <c r="M13" s="12"/>
      <c r="N13" s="12"/>
      <c r="O13" s="12"/>
      <c r="P13" s="12">
        <v>1171975.8486642726</v>
      </c>
      <c r="Q13" s="12">
        <v>150712836979.90897</v>
      </c>
      <c r="R13" s="12">
        <v>-32936656347.789902</v>
      </c>
      <c r="S13" s="12">
        <v>0</v>
      </c>
      <c r="T13" s="12">
        <v>1440050.5191490187</v>
      </c>
      <c r="U13" s="12">
        <v>97748827521.291382</v>
      </c>
      <c r="V13" s="12">
        <v>225766063169.31375</v>
      </c>
      <c r="W13" s="12">
        <v>-60930790.841812827</v>
      </c>
      <c r="X13" s="12"/>
      <c r="Y13" s="12"/>
      <c r="Z13" s="12"/>
      <c r="AA13" s="12"/>
      <c r="AB13" s="12"/>
      <c r="AC13" s="12"/>
      <c r="AD13" s="12"/>
      <c r="AE13" s="12"/>
      <c r="AG13" s="65" t="s">
        <v>22</v>
      </c>
      <c r="AH13" s="65" t="s">
        <v>23</v>
      </c>
      <c r="AI13" s="65" t="s">
        <v>26</v>
      </c>
      <c r="AS13" s="6">
        <v>24253319.279612273</v>
      </c>
      <c r="AT13" s="167">
        <v>20000</v>
      </c>
      <c r="AU13" s="167">
        <v>20000</v>
      </c>
      <c r="AV13" s="167">
        <v>20000</v>
      </c>
      <c r="AW13" s="167">
        <v>18221.199047548107</v>
      </c>
      <c r="AX13" s="167">
        <v>16305.998272446082</v>
      </c>
      <c r="AY13" s="167">
        <v>15301.736852555725</v>
      </c>
      <c r="AZ13" s="167">
        <v>15451.414100507212</v>
      </c>
      <c r="BA13" s="167">
        <v>16853.858304071524</v>
      </c>
      <c r="BB13" s="167">
        <v>19507.990864670574</v>
      </c>
      <c r="BC13" s="167">
        <v>20000</v>
      </c>
      <c r="BD13" s="167">
        <v>20000</v>
      </c>
      <c r="BE13" s="167">
        <v>20000</v>
      </c>
      <c r="BF13" s="167">
        <v>20000</v>
      </c>
      <c r="BG13" s="167">
        <v>20000</v>
      </c>
      <c r="BH13" s="167">
        <v>20000</v>
      </c>
      <c r="BI13" s="167">
        <v>20000</v>
      </c>
      <c r="BJ13" s="167">
        <v>20000</v>
      </c>
      <c r="BK13" s="167">
        <v>20000</v>
      </c>
      <c r="BL13" s="167">
        <v>20000</v>
      </c>
      <c r="BM13" s="167">
        <v>20000</v>
      </c>
      <c r="BN13" s="167">
        <v>20000</v>
      </c>
      <c r="BO13" s="167">
        <v>20000</v>
      </c>
      <c r="BP13" s="167">
        <v>20000</v>
      </c>
      <c r="BQ13" s="167">
        <v>20000</v>
      </c>
      <c r="BR13" s="167">
        <v>20000</v>
      </c>
      <c r="BS13" s="167">
        <v>20000</v>
      </c>
      <c r="BT13" s="167">
        <v>20000</v>
      </c>
      <c r="BU13" s="167">
        <v>20000</v>
      </c>
      <c r="BV13" s="167">
        <v>20000</v>
      </c>
      <c r="BW13" s="167">
        <v>18862.091909651597</v>
      </c>
      <c r="BX13" s="167">
        <v>16934.468572360605</v>
      </c>
      <c r="BY13" s="167">
        <v>15093.073392226084</v>
      </c>
      <c r="BZ13" s="167">
        <v>14109.683226767735</v>
      </c>
      <c r="CA13" s="167">
        <v>14547.318559459007</v>
      </c>
      <c r="CB13" s="167">
        <v>16618.190807810694</v>
      </c>
      <c r="CC13" s="167">
        <v>20000</v>
      </c>
      <c r="CD13" s="167">
        <v>20000</v>
      </c>
      <c r="CE13" s="167">
        <v>20000</v>
      </c>
      <c r="CF13" s="167">
        <v>20000</v>
      </c>
      <c r="CG13" s="167">
        <v>20000</v>
      </c>
      <c r="CH13" s="167">
        <v>20000</v>
      </c>
      <c r="CI13" s="167">
        <v>20000</v>
      </c>
      <c r="CJ13" s="167">
        <v>20000</v>
      </c>
      <c r="CK13" s="167">
        <v>20000</v>
      </c>
      <c r="CL13" s="167">
        <v>20000</v>
      </c>
      <c r="CM13" s="167">
        <v>20000</v>
      </c>
      <c r="CN13" s="167">
        <v>20000</v>
      </c>
      <c r="CO13" s="167">
        <v>20000</v>
      </c>
      <c r="CP13" s="167">
        <v>20000</v>
      </c>
      <c r="CQ13" s="167">
        <v>20000</v>
      </c>
      <c r="CR13" s="167">
        <v>20000</v>
      </c>
      <c r="CS13" s="167">
        <v>20000</v>
      </c>
      <c r="CT13" s="167">
        <v>20000</v>
      </c>
      <c r="CU13" s="167">
        <v>20000</v>
      </c>
      <c r="CV13" s="167">
        <v>20000</v>
      </c>
      <c r="CW13" s="167">
        <v>20000</v>
      </c>
      <c r="CX13" s="167">
        <v>19802.400613359932</v>
      </c>
      <c r="CY13" s="167">
        <v>19352.794089804538</v>
      </c>
      <c r="CZ13" s="167">
        <v>20000</v>
      </c>
      <c r="DA13" s="167">
        <v>20000</v>
      </c>
      <c r="DB13" s="167">
        <v>20000</v>
      </c>
      <c r="DC13" s="167">
        <v>20000</v>
      </c>
      <c r="DD13" s="167">
        <v>20000</v>
      </c>
      <c r="DE13" s="167">
        <v>20000</v>
      </c>
      <c r="DF13" s="167">
        <v>20000</v>
      </c>
      <c r="DG13" s="167">
        <v>20000</v>
      </c>
      <c r="DH13" s="167">
        <v>20000</v>
      </c>
      <c r="DI13" s="167">
        <v>20000</v>
      </c>
      <c r="DJ13" s="167">
        <v>20000</v>
      </c>
      <c r="DK13" s="167">
        <v>20000</v>
      </c>
      <c r="DL13" s="167">
        <v>20000</v>
      </c>
      <c r="DM13" s="167">
        <v>20000</v>
      </c>
      <c r="DN13" s="167">
        <v>20000</v>
      </c>
      <c r="DO13" s="167">
        <v>20000</v>
      </c>
      <c r="DP13" s="167">
        <v>20000</v>
      </c>
      <c r="DQ13" s="167">
        <v>20000</v>
      </c>
      <c r="DR13" s="167">
        <v>20000</v>
      </c>
      <c r="DS13" s="167">
        <v>20000</v>
      </c>
      <c r="DT13" s="167">
        <v>20000</v>
      </c>
      <c r="DU13" s="167">
        <v>20000</v>
      </c>
      <c r="DV13" s="167">
        <v>20000</v>
      </c>
      <c r="DW13" s="167">
        <v>20000</v>
      </c>
      <c r="DX13" s="167">
        <v>20000</v>
      </c>
      <c r="DY13" s="167">
        <v>20000</v>
      </c>
      <c r="DZ13" s="167">
        <v>20000</v>
      </c>
      <c r="EA13" s="167">
        <v>20000</v>
      </c>
      <c r="EB13" s="167">
        <v>20000</v>
      </c>
      <c r="EC13" s="167">
        <v>20000</v>
      </c>
      <c r="ED13" s="167">
        <v>20000</v>
      </c>
      <c r="EE13" s="167">
        <v>20000</v>
      </c>
      <c r="EF13" s="167">
        <v>20000</v>
      </c>
      <c r="EG13" s="167">
        <v>20000</v>
      </c>
      <c r="EH13" s="167">
        <v>20000</v>
      </c>
      <c r="EI13" s="167">
        <v>20000</v>
      </c>
      <c r="EJ13" s="167">
        <v>20000</v>
      </c>
      <c r="EK13" s="167">
        <v>20000</v>
      </c>
      <c r="EL13" s="167">
        <v>20000</v>
      </c>
      <c r="EM13" s="167">
        <v>20000</v>
      </c>
      <c r="EN13" s="167">
        <v>20000</v>
      </c>
      <c r="EO13" s="167">
        <v>20000</v>
      </c>
      <c r="EP13" t="str">
        <f t="shared" si="0"/>
        <v>0y 281d</v>
      </c>
    </row>
    <row r="14" spans="2:154" x14ac:dyDescent="0.25">
      <c r="B14" s="65">
        <v>11</v>
      </c>
      <c r="D14">
        <v>3058134.0619267821</v>
      </c>
      <c r="E14" s="12">
        <v>-126159071922.20216</v>
      </c>
      <c r="F14" s="12">
        <v>76471976329.887375</v>
      </c>
      <c r="G14" s="12">
        <v>0</v>
      </c>
      <c r="H14" s="12">
        <v>12204894.112201745</v>
      </c>
      <c r="I14" s="12">
        <v>373954476832.13477</v>
      </c>
      <c r="J14" s="12">
        <v>43841048728.780968</v>
      </c>
      <c r="K14" s="12">
        <v>-12062355015.528511</v>
      </c>
      <c r="L14" s="12"/>
      <c r="M14" s="12"/>
      <c r="N14" s="12"/>
      <c r="O14" s="12"/>
      <c r="P14" s="12">
        <v>1305562.3573123887</v>
      </c>
      <c r="Q14" s="12">
        <v>152200790750.7901</v>
      </c>
      <c r="R14" s="12">
        <v>-28374581010.002136</v>
      </c>
      <c r="S14" s="12">
        <v>0</v>
      </c>
      <c r="T14" s="12">
        <v>1613948.1189701697</v>
      </c>
      <c r="U14" s="12">
        <v>95004181427.183823</v>
      </c>
      <c r="V14" s="12">
        <v>229236693820.60916</v>
      </c>
      <c r="W14" s="12">
        <v>-68232243.487524346</v>
      </c>
      <c r="X14" s="12"/>
      <c r="Y14" s="12"/>
      <c r="Z14" s="12"/>
      <c r="AA14" s="12"/>
      <c r="AB14" s="12"/>
      <c r="AC14" s="12"/>
      <c r="AD14" s="12"/>
      <c r="AE14" s="12"/>
      <c r="AG14" s="27">
        <v>0</v>
      </c>
      <c r="AH14" s="27">
        <v>0</v>
      </c>
      <c r="AI14" s="27">
        <v>0</v>
      </c>
      <c r="AS14" s="6">
        <v>25440981.821655143</v>
      </c>
      <c r="AT14" s="167">
        <v>20000</v>
      </c>
      <c r="AU14" s="167">
        <v>20000</v>
      </c>
      <c r="AV14" s="167">
        <v>19227.038366840967</v>
      </c>
      <c r="AW14" s="167">
        <v>16861.336781857193</v>
      </c>
      <c r="AX14" s="167">
        <v>15202.376285589042</v>
      </c>
      <c r="AY14" s="167">
        <v>14404.833509679083</v>
      </c>
      <c r="AZ14" s="167">
        <v>14695.110188863708</v>
      </c>
      <c r="BA14" s="167">
        <v>16191.344579885597</v>
      </c>
      <c r="BB14" s="167">
        <v>18898.119160810274</v>
      </c>
      <c r="BC14" s="167">
        <v>20000</v>
      </c>
      <c r="BD14" s="167">
        <v>20000</v>
      </c>
      <c r="BE14" s="167">
        <v>20000</v>
      </c>
      <c r="BF14" s="167">
        <v>20000</v>
      </c>
      <c r="BG14" s="167">
        <v>20000</v>
      </c>
      <c r="BH14" s="167">
        <v>20000</v>
      </c>
      <c r="BI14" s="167">
        <v>20000</v>
      </c>
      <c r="BJ14" s="167">
        <v>20000</v>
      </c>
      <c r="BK14" s="167">
        <v>20000</v>
      </c>
      <c r="BL14" s="167">
        <v>20000</v>
      </c>
      <c r="BM14" s="167">
        <v>20000</v>
      </c>
      <c r="BN14" s="167">
        <v>20000</v>
      </c>
      <c r="BO14" s="167">
        <v>20000</v>
      </c>
      <c r="BP14" s="167">
        <v>20000</v>
      </c>
      <c r="BQ14" s="167">
        <v>20000</v>
      </c>
      <c r="BR14" s="167">
        <v>20000</v>
      </c>
      <c r="BS14" s="167">
        <v>20000</v>
      </c>
      <c r="BT14" s="167">
        <v>20000</v>
      </c>
      <c r="BU14" s="167">
        <v>20000</v>
      </c>
      <c r="BV14" s="167">
        <v>19683.186240865289</v>
      </c>
      <c r="BW14" s="167">
        <v>17709.26101230162</v>
      </c>
      <c r="BX14" s="167">
        <v>15910.010628539781</v>
      </c>
      <c r="BY14" s="167">
        <v>14398.270035205725</v>
      </c>
      <c r="BZ14" s="167">
        <v>13446.437066919169</v>
      </c>
      <c r="CA14" s="167">
        <v>13956.767908036945</v>
      </c>
      <c r="CB14" s="167">
        <v>16078.357973075006</v>
      </c>
      <c r="CC14" s="167">
        <v>19678.102610071321</v>
      </c>
      <c r="CD14" s="167">
        <v>20000</v>
      </c>
      <c r="CE14" s="167">
        <v>20000</v>
      </c>
      <c r="CF14" s="167">
        <v>20000</v>
      </c>
      <c r="CG14" s="167">
        <v>20000</v>
      </c>
      <c r="CH14" s="167">
        <v>20000</v>
      </c>
      <c r="CI14" s="167">
        <v>20000</v>
      </c>
      <c r="CJ14" s="167">
        <v>20000</v>
      </c>
      <c r="CK14" s="167">
        <v>20000</v>
      </c>
      <c r="CL14" s="167">
        <v>20000</v>
      </c>
      <c r="CM14" s="167">
        <v>20000</v>
      </c>
      <c r="CN14" s="167">
        <v>20000</v>
      </c>
      <c r="CO14" s="167">
        <v>20000</v>
      </c>
      <c r="CP14" s="167">
        <v>20000</v>
      </c>
      <c r="CQ14" s="167">
        <v>20000</v>
      </c>
      <c r="CR14" s="167">
        <v>20000</v>
      </c>
      <c r="CS14" s="167">
        <v>20000</v>
      </c>
      <c r="CT14" s="167">
        <v>20000</v>
      </c>
      <c r="CU14" s="167">
        <v>20000</v>
      </c>
      <c r="CV14" s="167">
        <v>20000</v>
      </c>
      <c r="CW14" s="167">
        <v>20000</v>
      </c>
      <c r="CX14" s="167">
        <v>18654.661316749451</v>
      </c>
      <c r="CY14" s="167">
        <v>18366.666085047189</v>
      </c>
      <c r="CZ14" s="167">
        <v>19754.775751579022</v>
      </c>
      <c r="DA14" s="167">
        <v>20000</v>
      </c>
      <c r="DB14" s="167">
        <v>20000</v>
      </c>
      <c r="DC14" s="167">
        <v>20000</v>
      </c>
      <c r="DD14" s="167">
        <v>20000</v>
      </c>
      <c r="DE14" s="167">
        <v>20000</v>
      </c>
      <c r="DF14" s="167">
        <v>20000</v>
      </c>
      <c r="DG14" s="167">
        <v>20000</v>
      </c>
      <c r="DH14" s="167">
        <v>20000</v>
      </c>
      <c r="DI14" s="167">
        <v>20000</v>
      </c>
      <c r="DJ14" s="167">
        <v>20000</v>
      </c>
      <c r="DK14" s="167">
        <v>20000</v>
      </c>
      <c r="DL14" s="167">
        <v>20000</v>
      </c>
      <c r="DM14" s="167">
        <v>20000</v>
      </c>
      <c r="DN14" s="167">
        <v>20000</v>
      </c>
      <c r="DO14" s="167">
        <v>20000</v>
      </c>
      <c r="DP14" s="167">
        <v>20000</v>
      </c>
      <c r="DQ14" s="167">
        <v>20000</v>
      </c>
      <c r="DR14" s="167">
        <v>20000</v>
      </c>
      <c r="DS14" s="167">
        <v>20000</v>
      </c>
      <c r="DT14" s="167">
        <v>20000</v>
      </c>
      <c r="DU14" s="167">
        <v>20000</v>
      </c>
      <c r="DV14" s="167">
        <v>19684.236351519685</v>
      </c>
      <c r="DW14" s="167">
        <v>19952.301425014346</v>
      </c>
      <c r="DX14" s="167">
        <v>20000</v>
      </c>
      <c r="DY14" s="167">
        <v>20000</v>
      </c>
      <c r="DZ14" s="167">
        <v>20000</v>
      </c>
      <c r="EA14" s="167">
        <v>20000</v>
      </c>
      <c r="EB14" s="167">
        <v>20000</v>
      </c>
      <c r="EC14" s="167">
        <v>20000</v>
      </c>
      <c r="ED14" s="167">
        <v>20000</v>
      </c>
      <c r="EE14" s="167">
        <v>20000</v>
      </c>
      <c r="EF14" s="167">
        <v>20000</v>
      </c>
      <c r="EG14" s="167">
        <v>20000</v>
      </c>
      <c r="EH14" s="167">
        <v>20000</v>
      </c>
      <c r="EI14" s="167">
        <v>20000</v>
      </c>
      <c r="EJ14" s="167">
        <v>20000</v>
      </c>
      <c r="EK14" s="167">
        <v>20000</v>
      </c>
      <c r="EL14" s="167">
        <v>20000</v>
      </c>
      <c r="EM14" s="167">
        <v>20000</v>
      </c>
      <c r="EN14" s="167">
        <v>20000</v>
      </c>
      <c r="EO14" s="167">
        <v>20000</v>
      </c>
      <c r="EP14" t="str">
        <f t="shared" si="0"/>
        <v>0y 294d</v>
      </c>
    </row>
    <row r="15" spans="2:154" x14ac:dyDescent="0.25">
      <c r="B15" s="65">
        <v>12</v>
      </c>
      <c r="D15">
        <v>3365337.0117240311</v>
      </c>
      <c r="E15" s="12">
        <v>-130792146642.76733</v>
      </c>
      <c r="F15" s="12">
        <v>68441505417.083649</v>
      </c>
      <c r="G15" s="12">
        <v>0</v>
      </c>
      <c r="H15" s="12">
        <v>13386092.019318221</v>
      </c>
      <c r="I15" s="12">
        <v>369941644645.96112</v>
      </c>
      <c r="J15" s="12">
        <v>67132287277.278061</v>
      </c>
      <c r="K15" s="12">
        <v>-13049517686.907715</v>
      </c>
      <c r="L15" s="12"/>
      <c r="M15" s="12"/>
      <c r="N15" s="12"/>
      <c r="O15" s="12"/>
      <c r="P15" s="12">
        <v>1440152.2804122458</v>
      </c>
      <c r="Q15" s="12">
        <v>153601754619.74994</v>
      </c>
      <c r="R15" s="12">
        <v>-23759939268.911053</v>
      </c>
      <c r="S15" s="12">
        <v>0</v>
      </c>
      <c r="T15" s="12">
        <v>1790872.4712355549</v>
      </c>
      <c r="U15" s="12">
        <v>92186170208.630066</v>
      </c>
      <c r="V15" s="12">
        <v>232705973201.42856</v>
      </c>
      <c r="W15" s="12">
        <v>-75642395.667045474</v>
      </c>
      <c r="X15" s="12"/>
      <c r="Y15" s="12"/>
      <c r="Z15" s="12"/>
      <c r="AA15" s="12"/>
      <c r="AB15" s="12"/>
      <c r="AC15" s="12"/>
      <c r="AD15" s="12"/>
      <c r="AE15" s="12"/>
      <c r="AG15" s="27">
        <v>131754207359.66066</v>
      </c>
      <c r="AH15" s="27">
        <v>-74992875178.376678</v>
      </c>
      <c r="AI15" s="27">
        <v>0</v>
      </c>
      <c r="AS15" s="6">
        <v>26628644.363698013</v>
      </c>
      <c r="AT15" s="167">
        <v>20000</v>
      </c>
      <c r="AU15" s="167">
        <v>20000</v>
      </c>
      <c r="AV15" s="167">
        <v>17773.858967159875</v>
      </c>
      <c r="AW15" s="167">
        <v>15738.378915448866</v>
      </c>
      <c r="AX15" s="167">
        <v>14300.177148029255</v>
      </c>
      <c r="AY15" s="167">
        <v>13663.74548950699</v>
      </c>
      <c r="AZ15" s="167">
        <v>14063.26380289474</v>
      </c>
      <c r="BA15" s="167">
        <v>15636.659119390277</v>
      </c>
      <c r="BB15" s="167">
        <v>18381.906222712831</v>
      </c>
      <c r="BC15" s="167">
        <v>20000</v>
      </c>
      <c r="BD15" s="167">
        <v>20000</v>
      </c>
      <c r="BE15" s="167">
        <v>20000</v>
      </c>
      <c r="BF15" s="167">
        <v>20000</v>
      </c>
      <c r="BG15" s="167">
        <v>20000</v>
      </c>
      <c r="BH15" s="167">
        <v>20000</v>
      </c>
      <c r="BI15" s="167">
        <v>20000</v>
      </c>
      <c r="BJ15" s="167">
        <v>20000</v>
      </c>
      <c r="BK15" s="167">
        <v>20000</v>
      </c>
      <c r="BL15" s="167">
        <v>20000</v>
      </c>
      <c r="BM15" s="167">
        <v>20000</v>
      </c>
      <c r="BN15" s="167">
        <v>20000</v>
      </c>
      <c r="BO15" s="167">
        <v>20000</v>
      </c>
      <c r="BP15" s="167">
        <v>20000</v>
      </c>
      <c r="BQ15" s="167">
        <v>20000</v>
      </c>
      <c r="BR15" s="167">
        <v>20000</v>
      </c>
      <c r="BS15" s="167">
        <v>20000</v>
      </c>
      <c r="BT15" s="167">
        <v>20000</v>
      </c>
      <c r="BU15" s="167">
        <v>20000</v>
      </c>
      <c r="BV15" s="167">
        <v>18602.894200973817</v>
      </c>
      <c r="BW15" s="167">
        <v>16713.442003253298</v>
      </c>
      <c r="BX15" s="167">
        <v>15023.121550850701</v>
      </c>
      <c r="BY15" s="167">
        <v>13820.065754844472</v>
      </c>
      <c r="BZ15" s="167">
        <v>12877.488148982811</v>
      </c>
      <c r="CA15" s="167">
        <v>13447.570481578725</v>
      </c>
      <c r="CB15" s="167">
        <v>15610.44520323172</v>
      </c>
      <c r="CC15" s="167">
        <v>19207.432079820646</v>
      </c>
      <c r="CD15" s="167">
        <v>20000</v>
      </c>
      <c r="CE15" s="167">
        <v>20000</v>
      </c>
      <c r="CF15" s="167">
        <v>20000</v>
      </c>
      <c r="CG15" s="167">
        <v>20000</v>
      </c>
      <c r="CH15" s="167">
        <v>20000</v>
      </c>
      <c r="CI15" s="167">
        <v>20000</v>
      </c>
      <c r="CJ15" s="167">
        <v>20000</v>
      </c>
      <c r="CK15" s="167">
        <v>20000</v>
      </c>
      <c r="CL15" s="167">
        <v>20000</v>
      </c>
      <c r="CM15" s="167">
        <v>20000</v>
      </c>
      <c r="CN15" s="167">
        <v>20000</v>
      </c>
      <c r="CO15" s="167">
        <v>20000</v>
      </c>
      <c r="CP15" s="167">
        <v>20000</v>
      </c>
      <c r="CQ15" s="167">
        <v>20000</v>
      </c>
      <c r="CR15" s="167">
        <v>20000</v>
      </c>
      <c r="CS15" s="167">
        <v>20000</v>
      </c>
      <c r="CT15" s="167">
        <v>20000</v>
      </c>
      <c r="CU15" s="167">
        <v>20000</v>
      </c>
      <c r="CV15" s="167">
        <v>20000</v>
      </c>
      <c r="CW15" s="167">
        <v>19148.776323412018</v>
      </c>
      <c r="CX15" s="167">
        <v>17660.40354125225</v>
      </c>
      <c r="CY15" s="167">
        <v>17499.140686033639</v>
      </c>
      <c r="CZ15" s="167">
        <v>18968.255226315188</v>
      </c>
      <c r="DA15" s="167">
        <v>20000</v>
      </c>
      <c r="DB15" s="167">
        <v>20000</v>
      </c>
      <c r="DC15" s="167">
        <v>20000</v>
      </c>
      <c r="DD15" s="167">
        <v>20000</v>
      </c>
      <c r="DE15" s="167">
        <v>20000</v>
      </c>
      <c r="DF15" s="167">
        <v>20000</v>
      </c>
      <c r="DG15" s="167">
        <v>20000</v>
      </c>
      <c r="DH15" s="167">
        <v>20000</v>
      </c>
      <c r="DI15" s="167">
        <v>20000</v>
      </c>
      <c r="DJ15" s="167">
        <v>20000</v>
      </c>
      <c r="DK15" s="167">
        <v>20000</v>
      </c>
      <c r="DL15" s="167">
        <v>20000</v>
      </c>
      <c r="DM15" s="167">
        <v>20000</v>
      </c>
      <c r="DN15" s="167">
        <v>20000</v>
      </c>
      <c r="DO15" s="167">
        <v>20000</v>
      </c>
      <c r="DP15" s="167">
        <v>20000</v>
      </c>
      <c r="DQ15" s="167">
        <v>20000</v>
      </c>
      <c r="DR15" s="167">
        <v>20000</v>
      </c>
      <c r="DS15" s="167">
        <v>20000</v>
      </c>
      <c r="DT15" s="167">
        <v>20000</v>
      </c>
      <c r="DU15" s="167">
        <v>20000</v>
      </c>
      <c r="DV15" s="167">
        <v>18668.452613534908</v>
      </c>
      <c r="DW15" s="167">
        <v>19034.925452616553</v>
      </c>
      <c r="DX15" s="167">
        <v>20000</v>
      </c>
      <c r="DY15" s="167">
        <v>20000</v>
      </c>
      <c r="DZ15" s="167">
        <v>20000</v>
      </c>
      <c r="EA15" s="167">
        <v>20000</v>
      </c>
      <c r="EB15" s="167">
        <v>20000</v>
      </c>
      <c r="EC15" s="167">
        <v>20000</v>
      </c>
      <c r="ED15" s="167">
        <v>20000</v>
      </c>
      <c r="EE15" s="167">
        <v>20000</v>
      </c>
      <c r="EF15" s="167">
        <v>20000</v>
      </c>
      <c r="EG15" s="167">
        <v>20000</v>
      </c>
      <c r="EH15" s="167">
        <v>20000</v>
      </c>
      <c r="EI15" s="167">
        <v>20000</v>
      </c>
      <c r="EJ15" s="167">
        <v>20000</v>
      </c>
      <c r="EK15" s="167">
        <v>20000</v>
      </c>
      <c r="EL15" s="167">
        <v>20000</v>
      </c>
      <c r="EM15" s="167">
        <v>20000</v>
      </c>
      <c r="EN15" s="167">
        <v>20000</v>
      </c>
      <c r="EO15" s="167">
        <v>20000</v>
      </c>
      <c r="EP15" t="str">
        <f t="shared" si="0"/>
        <v>0y 308d</v>
      </c>
    </row>
    <row r="16" spans="2:154" x14ac:dyDescent="0.25">
      <c r="B16" s="65">
        <v>13</v>
      </c>
      <c r="D16">
        <v>3672933.5445916653</v>
      </c>
      <c r="E16" s="12">
        <v>-134921331682.16199</v>
      </c>
      <c r="F16" s="12">
        <v>60133966568.506813</v>
      </c>
      <c r="G16" s="12">
        <v>0</v>
      </c>
      <c r="H16" s="12">
        <v>14564730.146227932</v>
      </c>
      <c r="I16" s="12">
        <v>364656333517.25586</v>
      </c>
      <c r="J16" s="12">
        <v>90140574969.219223</v>
      </c>
      <c r="K16" s="12">
        <v>-13989348926.704527</v>
      </c>
      <c r="L16" s="12"/>
      <c r="M16" s="12"/>
      <c r="N16" s="12"/>
      <c r="O16" s="12"/>
      <c r="P16" s="12">
        <v>1575840.7382545907</v>
      </c>
      <c r="Q16" s="12">
        <v>154914663716.23257</v>
      </c>
      <c r="R16" s="12">
        <v>-19092244969.504726</v>
      </c>
      <c r="S16" s="12">
        <v>0</v>
      </c>
      <c r="T16" s="12">
        <v>1970895.4797858221</v>
      </c>
      <c r="U16" s="12">
        <v>89293752789.921066</v>
      </c>
      <c r="V16" s="12">
        <v>236172771786.98367</v>
      </c>
      <c r="W16" s="12">
        <v>-83161769.782189459</v>
      </c>
      <c r="X16" s="12"/>
      <c r="Y16" s="12"/>
      <c r="Z16" s="12"/>
      <c r="AA16" s="12"/>
      <c r="AB16" s="12"/>
      <c r="AC16" s="12"/>
      <c r="AD16" s="12"/>
      <c r="AE16" s="12"/>
      <c r="AG16" s="27">
        <v>340416578179.14612</v>
      </c>
      <c r="AH16" s="27">
        <v>-193760931568.13834</v>
      </c>
      <c r="AI16" s="27">
        <v>-3.0920132994651794E-3</v>
      </c>
      <c r="AS16" s="6">
        <v>27816306.905740883</v>
      </c>
      <c r="AT16" s="167">
        <v>20000</v>
      </c>
      <c r="AU16" s="167">
        <v>18698.959687794475</v>
      </c>
      <c r="AV16" s="167">
        <v>16594.341129779623</v>
      </c>
      <c r="AW16" s="167">
        <v>14866.229255292643</v>
      </c>
      <c r="AX16" s="167">
        <v>13621.740003513816</v>
      </c>
      <c r="AY16" s="167">
        <v>13076.943845092133</v>
      </c>
      <c r="AZ16" s="167">
        <v>13548.841177142625</v>
      </c>
      <c r="BA16" s="167">
        <v>15179.636142183126</v>
      </c>
      <c r="BB16" s="167">
        <v>17946.219211833264</v>
      </c>
      <c r="BC16" s="167">
        <v>20000</v>
      </c>
      <c r="BD16" s="167">
        <v>20000</v>
      </c>
      <c r="BE16" s="167">
        <v>20000</v>
      </c>
      <c r="BF16" s="167">
        <v>20000</v>
      </c>
      <c r="BG16" s="167">
        <v>20000</v>
      </c>
      <c r="BH16" s="167">
        <v>20000</v>
      </c>
      <c r="BI16" s="167">
        <v>20000</v>
      </c>
      <c r="BJ16" s="167">
        <v>20000</v>
      </c>
      <c r="BK16" s="167">
        <v>20000</v>
      </c>
      <c r="BL16" s="167">
        <v>20000</v>
      </c>
      <c r="BM16" s="167">
        <v>20000</v>
      </c>
      <c r="BN16" s="167">
        <v>20000</v>
      </c>
      <c r="BO16" s="167">
        <v>20000</v>
      </c>
      <c r="BP16" s="167">
        <v>20000</v>
      </c>
      <c r="BQ16" s="167">
        <v>20000</v>
      </c>
      <c r="BR16" s="167">
        <v>20000</v>
      </c>
      <c r="BS16" s="167">
        <v>20000</v>
      </c>
      <c r="BT16" s="167">
        <v>20000</v>
      </c>
      <c r="BU16" s="167">
        <v>19060.338560950153</v>
      </c>
      <c r="BV16" s="167">
        <v>17677.281446038189</v>
      </c>
      <c r="BW16" s="167">
        <v>15856.065936153153</v>
      </c>
      <c r="BX16" s="167">
        <v>14257.107844938486</v>
      </c>
      <c r="BY16" s="167">
        <v>13155.401662433549</v>
      </c>
      <c r="BZ16" s="167">
        <v>12391.377325159734</v>
      </c>
      <c r="CA16" s="167">
        <v>13009.342741389206</v>
      </c>
      <c r="CB16" s="167">
        <v>15204.280225906401</v>
      </c>
      <c r="CC16" s="167">
        <v>18790.675176627516</v>
      </c>
      <c r="CD16" s="167">
        <v>20000</v>
      </c>
      <c r="CE16" s="167">
        <v>20000</v>
      </c>
      <c r="CF16" s="167">
        <v>20000</v>
      </c>
      <c r="CG16" s="167">
        <v>20000</v>
      </c>
      <c r="CH16" s="167">
        <v>20000</v>
      </c>
      <c r="CI16" s="167">
        <v>20000</v>
      </c>
      <c r="CJ16" s="167">
        <v>20000</v>
      </c>
      <c r="CK16" s="167">
        <v>20000</v>
      </c>
      <c r="CL16" s="167">
        <v>20000</v>
      </c>
      <c r="CM16" s="167">
        <v>20000</v>
      </c>
      <c r="CN16" s="167">
        <v>20000</v>
      </c>
      <c r="CO16" s="167">
        <v>20000</v>
      </c>
      <c r="CP16" s="167">
        <v>20000</v>
      </c>
      <c r="CQ16" s="167">
        <v>20000</v>
      </c>
      <c r="CR16" s="167">
        <v>20000</v>
      </c>
      <c r="CS16" s="167">
        <v>20000</v>
      </c>
      <c r="CT16" s="167">
        <v>20000</v>
      </c>
      <c r="CU16" s="167">
        <v>20000</v>
      </c>
      <c r="CV16" s="167">
        <v>20000</v>
      </c>
      <c r="CW16" s="167">
        <v>18202.555421165431</v>
      </c>
      <c r="CX16" s="167">
        <v>16800.029475355488</v>
      </c>
      <c r="CY16" s="167">
        <v>16733.279954065445</v>
      </c>
      <c r="CZ16" s="167">
        <v>18266.579951648924</v>
      </c>
      <c r="DA16" s="167">
        <v>20000</v>
      </c>
      <c r="DB16" s="167">
        <v>20000</v>
      </c>
      <c r="DC16" s="167">
        <v>20000</v>
      </c>
      <c r="DD16" s="167">
        <v>20000</v>
      </c>
      <c r="DE16" s="167">
        <v>20000</v>
      </c>
      <c r="DF16" s="167">
        <v>20000</v>
      </c>
      <c r="DG16" s="167">
        <v>20000</v>
      </c>
      <c r="DH16" s="167">
        <v>20000</v>
      </c>
      <c r="DI16" s="167">
        <v>20000</v>
      </c>
      <c r="DJ16" s="167">
        <v>20000</v>
      </c>
      <c r="DK16" s="167">
        <v>20000</v>
      </c>
      <c r="DL16" s="167">
        <v>20000</v>
      </c>
      <c r="DM16" s="167">
        <v>20000</v>
      </c>
      <c r="DN16" s="167">
        <v>20000</v>
      </c>
      <c r="DO16" s="167">
        <v>20000</v>
      </c>
      <c r="DP16" s="167">
        <v>20000</v>
      </c>
      <c r="DQ16" s="167">
        <v>20000</v>
      </c>
      <c r="DR16" s="167">
        <v>20000</v>
      </c>
      <c r="DS16" s="167">
        <v>20000</v>
      </c>
      <c r="DT16" s="167">
        <v>20000</v>
      </c>
      <c r="DU16" s="167">
        <v>19087.641339823393</v>
      </c>
      <c r="DV16" s="167">
        <v>17769.023879926805</v>
      </c>
      <c r="DW16" s="167">
        <v>18214.713675468483</v>
      </c>
      <c r="DX16" s="167">
        <v>20000</v>
      </c>
      <c r="DY16" s="167">
        <v>20000</v>
      </c>
      <c r="DZ16" s="167">
        <v>20000</v>
      </c>
      <c r="EA16" s="167">
        <v>20000</v>
      </c>
      <c r="EB16" s="167">
        <v>20000</v>
      </c>
      <c r="EC16" s="167">
        <v>20000</v>
      </c>
      <c r="ED16" s="167">
        <v>20000</v>
      </c>
      <c r="EE16" s="167">
        <v>20000</v>
      </c>
      <c r="EF16" s="167">
        <v>20000</v>
      </c>
      <c r="EG16" s="167">
        <v>20000</v>
      </c>
      <c r="EH16" s="167">
        <v>20000</v>
      </c>
      <c r="EI16" s="167">
        <v>20000</v>
      </c>
      <c r="EJ16" s="167">
        <v>20000</v>
      </c>
      <c r="EK16" s="167">
        <v>20000</v>
      </c>
      <c r="EL16" s="167">
        <v>20000</v>
      </c>
      <c r="EM16" s="167">
        <v>20000</v>
      </c>
      <c r="EN16" s="167">
        <v>20000</v>
      </c>
      <c r="EO16" s="167">
        <v>20000</v>
      </c>
      <c r="EP16" t="str">
        <f t="shared" si="0"/>
        <v>0y 322d</v>
      </c>
    </row>
    <row r="17" spans="2:154" x14ac:dyDescent="0.25">
      <c r="B17" s="65">
        <v>14</v>
      </c>
      <c r="D17">
        <v>3980955.1703366735</v>
      </c>
      <c r="E17" s="12">
        <v>-138529926258.73917</v>
      </c>
      <c r="F17" s="12">
        <v>51580382709.924683</v>
      </c>
      <c r="G17" s="12">
        <v>0</v>
      </c>
      <c r="H17" s="12">
        <v>15741950.38840526</v>
      </c>
      <c r="I17" s="12">
        <v>358114964284.44</v>
      </c>
      <c r="J17" s="12">
        <v>112809131716.15939</v>
      </c>
      <c r="K17" s="12">
        <v>-14879619753.182487</v>
      </c>
      <c r="L17" s="12"/>
      <c r="M17" s="12"/>
      <c r="N17" s="12"/>
      <c r="O17" s="12"/>
      <c r="P17" s="12">
        <v>1712725.0529422921</v>
      </c>
      <c r="Q17" s="12">
        <v>156138346428.43488</v>
      </c>
      <c r="R17" s="12">
        <v>-14370992766.98023</v>
      </c>
      <c r="S17" s="12">
        <v>0</v>
      </c>
      <c r="T17" s="12">
        <v>2154090.4535249462</v>
      </c>
      <c r="U17" s="12">
        <v>86325892740.166214</v>
      </c>
      <c r="V17" s="12">
        <v>239635905993.46109</v>
      </c>
      <c r="W17" s="12">
        <v>-90790831.6101446</v>
      </c>
      <c r="X17" s="12"/>
      <c r="Y17" s="12"/>
      <c r="Z17" s="12"/>
      <c r="AA17" s="12"/>
      <c r="AB17" s="12"/>
      <c r="AC17" s="12"/>
      <c r="AD17" s="12"/>
      <c r="AE17" s="12"/>
      <c r="AG17" s="254" t="s">
        <v>37</v>
      </c>
      <c r="AH17" s="254"/>
      <c r="AI17" s="254"/>
      <c r="AS17" s="6">
        <v>29003969.447783753</v>
      </c>
      <c r="AT17" s="167">
        <v>19690.621788595054</v>
      </c>
      <c r="AU17" s="167">
        <v>17551.780500655088</v>
      </c>
      <c r="AV17" s="167">
        <v>15686.447631322739</v>
      </c>
      <c r="AW17" s="167">
        <v>14097.14892467979</v>
      </c>
      <c r="AX17" s="167">
        <v>13041.81028808629</v>
      </c>
      <c r="AY17" s="167">
        <v>12651.458406786332</v>
      </c>
      <c r="AZ17" s="167">
        <v>13147.790973968764</v>
      </c>
      <c r="BA17" s="167">
        <v>14811.208150588674</v>
      </c>
      <c r="BB17" s="167">
        <v>17579.202397020294</v>
      </c>
      <c r="BC17" s="167">
        <v>20000</v>
      </c>
      <c r="BD17" s="167">
        <v>20000</v>
      </c>
      <c r="BE17" s="167">
        <v>20000</v>
      </c>
      <c r="BF17" s="167">
        <v>20000</v>
      </c>
      <c r="BG17" s="167">
        <v>20000</v>
      </c>
      <c r="BH17" s="167">
        <v>20000</v>
      </c>
      <c r="BI17" s="167">
        <v>20000</v>
      </c>
      <c r="BJ17" s="167">
        <v>20000</v>
      </c>
      <c r="BK17" s="167">
        <v>20000</v>
      </c>
      <c r="BL17" s="167">
        <v>20000</v>
      </c>
      <c r="BM17" s="167">
        <v>20000</v>
      </c>
      <c r="BN17" s="167">
        <v>20000</v>
      </c>
      <c r="BO17" s="167">
        <v>20000</v>
      </c>
      <c r="BP17" s="167">
        <v>20000</v>
      </c>
      <c r="BQ17" s="167">
        <v>20000</v>
      </c>
      <c r="BR17" s="167">
        <v>20000</v>
      </c>
      <c r="BS17" s="167">
        <v>20000</v>
      </c>
      <c r="BT17" s="167">
        <v>19398.534879774201</v>
      </c>
      <c r="BU17" s="167">
        <v>18107.242952806177</v>
      </c>
      <c r="BV17" s="167">
        <v>16890.062239083516</v>
      </c>
      <c r="BW17" s="167">
        <v>15121.962091793357</v>
      </c>
      <c r="BX17" s="167">
        <v>13598.358560148123</v>
      </c>
      <c r="BY17" s="167">
        <v>12581.682373831976</v>
      </c>
      <c r="BZ17" s="167">
        <v>11978.555172843888</v>
      </c>
      <c r="CA17" s="167">
        <v>12633.166508941933</v>
      </c>
      <c r="CB17" s="167">
        <v>14851.045710460485</v>
      </c>
      <c r="CC17" s="167">
        <v>18419.137501182675</v>
      </c>
      <c r="CD17" s="167">
        <v>20000</v>
      </c>
      <c r="CE17" s="167">
        <v>20000</v>
      </c>
      <c r="CF17" s="167">
        <v>20000</v>
      </c>
      <c r="CG17" s="167">
        <v>20000</v>
      </c>
      <c r="CH17" s="167">
        <v>20000</v>
      </c>
      <c r="CI17" s="167">
        <v>20000</v>
      </c>
      <c r="CJ17" s="167">
        <v>20000</v>
      </c>
      <c r="CK17" s="167">
        <v>20000</v>
      </c>
      <c r="CL17" s="167">
        <v>20000</v>
      </c>
      <c r="CM17" s="167">
        <v>20000</v>
      </c>
      <c r="CN17" s="167">
        <v>20000</v>
      </c>
      <c r="CO17" s="167">
        <v>20000</v>
      </c>
      <c r="CP17" s="167">
        <v>20000</v>
      </c>
      <c r="CQ17" s="167">
        <v>20000</v>
      </c>
      <c r="CR17" s="167">
        <v>20000</v>
      </c>
      <c r="CS17" s="167">
        <v>20000</v>
      </c>
      <c r="CT17" s="167">
        <v>20000</v>
      </c>
      <c r="CU17" s="167">
        <v>20000</v>
      </c>
      <c r="CV17" s="167">
        <v>19323.725053368533</v>
      </c>
      <c r="CW17" s="167">
        <v>17433.015639083322</v>
      </c>
      <c r="CX17" s="167">
        <v>16058.160517300708</v>
      </c>
      <c r="CY17" s="167">
        <v>16055.661911753734</v>
      </c>
      <c r="CZ17" s="167">
        <v>17638.810437367269</v>
      </c>
      <c r="DA17" s="167">
        <v>20000</v>
      </c>
      <c r="DB17" s="167">
        <v>20000</v>
      </c>
      <c r="DC17" s="167">
        <v>20000</v>
      </c>
      <c r="DD17" s="167">
        <v>20000</v>
      </c>
      <c r="DE17" s="167">
        <v>20000</v>
      </c>
      <c r="DF17" s="167">
        <v>20000</v>
      </c>
      <c r="DG17" s="167">
        <v>20000</v>
      </c>
      <c r="DH17" s="167">
        <v>20000</v>
      </c>
      <c r="DI17" s="167">
        <v>20000</v>
      </c>
      <c r="DJ17" s="167">
        <v>20000</v>
      </c>
      <c r="DK17" s="167">
        <v>20000</v>
      </c>
      <c r="DL17" s="167">
        <v>20000</v>
      </c>
      <c r="DM17" s="167">
        <v>20000</v>
      </c>
      <c r="DN17" s="167">
        <v>20000</v>
      </c>
      <c r="DO17" s="167">
        <v>20000</v>
      </c>
      <c r="DP17" s="167">
        <v>20000</v>
      </c>
      <c r="DQ17" s="167">
        <v>20000</v>
      </c>
      <c r="DR17" s="167">
        <v>20000</v>
      </c>
      <c r="DS17" s="167">
        <v>20000</v>
      </c>
      <c r="DT17" s="167">
        <v>19644.425444606477</v>
      </c>
      <c r="DU17" s="167">
        <v>18110.435283281651</v>
      </c>
      <c r="DV17" s="167">
        <v>16970.715727972038</v>
      </c>
      <c r="DW17" s="167">
        <v>17479.378356124238</v>
      </c>
      <c r="DX17" s="167">
        <v>19605.985297513769</v>
      </c>
      <c r="DY17" s="167">
        <v>20000</v>
      </c>
      <c r="DZ17" s="167">
        <v>20000</v>
      </c>
      <c r="EA17" s="167">
        <v>20000</v>
      </c>
      <c r="EB17" s="167">
        <v>20000</v>
      </c>
      <c r="EC17" s="167">
        <v>20000</v>
      </c>
      <c r="ED17" s="167">
        <v>20000</v>
      </c>
      <c r="EE17" s="167">
        <v>20000</v>
      </c>
      <c r="EF17" s="167">
        <v>20000</v>
      </c>
      <c r="EG17" s="167">
        <v>20000</v>
      </c>
      <c r="EH17" s="167">
        <v>20000</v>
      </c>
      <c r="EI17" s="167">
        <v>20000</v>
      </c>
      <c r="EJ17" s="167">
        <v>20000</v>
      </c>
      <c r="EK17" s="167">
        <v>20000</v>
      </c>
      <c r="EL17" s="167">
        <v>20000</v>
      </c>
      <c r="EM17" s="167">
        <v>20000</v>
      </c>
      <c r="EN17" s="167">
        <v>20000</v>
      </c>
      <c r="EO17" s="167">
        <v>19784.593616610659</v>
      </c>
      <c r="EP17" t="str">
        <f t="shared" si="0"/>
        <v>0y 336d</v>
      </c>
    </row>
    <row r="18" spans="2:154" x14ac:dyDescent="0.25">
      <c r="B18" s="65">
        <v>15</v>
      </c>
      <c r="D18">
        <v>4289431.908976065</v>
      </c>
      <c r="E18" s="12">
        <v>-141603068156.97623</v>
      </c>
      <c r="F18" s="12">
        <v>42812809098.248756</v>
      </c>
      <c r="G18" s="12">
        <v>0</v>
      </c>
      <c r="H18" s="12">
        <v>16918894.069183018</v>
      </c>
      <c r="I18" s="12">
        <v>350335207833.93091</v>
      </c>
      <c r="J18" s="12">
        <v>135081778520.35332</v>
      </c>
      <c r="K18" s="12">
        <v>-15718162865.997257</v>
      </c>
      <c r="L18" s="12"/>
      <c r="M18" s="12"/>
      <c r="N18" s="12"/>
      <c r="O18" s="12"/>
      <c r="P18" s="12">
        <v>1850904.953208002</v>
      </c>
      <c r="Q18" s="12">
        <v>157271521390.85022</v>
      </c>
      <c r="R18" s="12">
        <v>-9595660901.2008228</v>
      </c>
      <c r="S18" s="12">
        <v>0</v>
      </c>
      <c r="T18" s="12">
        <v>2340532.1068262695</v>
      </c>
      <c r="U18" s="12">
        <v>83281560110.795258</v>
      </c>
      <c r="V18" s="12">
        <v>243094136448.75247</v>
      </c>
      <c r="W18" s="12">
        <v>-98529985.96121037</v>
      </c>
      <c r="X18" s="12"/>
      <c r="Y18" s="12"/>
      <c r="Z18" s="12"/>
      <c r="AA18" s="12"/>
      <c r="AB18" s="12"/>
      <c r="AC18" s="12"/>
      <c r="AD18" s="12"/>
      <c r="AE18" s="12"/>
      <c r="AG18" s="65" t="s">
        <v>22</v>
      </c>
      <c r="AH18" s="65" t="s">
        <v>23</v>
      </c>
      <c r="AI18" s="65" t="s">
        <v>26</v>
      </c>
      <c r="AS18" s="6">
        <v>30191631.989826623</v>
      </c>
      <c r="AT18" s="167">
        <v>18647.584629478319</v>
      </c>
      <c r="AU18" s="167">
        <v>16590.795185717117</v>
      </c>
      <c r="AV18" s="167">
        <v>14923.944816398038</v>
      </c>
      <c r="AW18" s="167">
        <v>13456.67545290797</v>
      </c>
      <c r="AX18" s="167">
        <v>12528.430538584362</v>
      </c>
      <c r="AY18" s="167">
        <v>12388.630708295424</v>
      </c>
      <c r="AZ18" s="167">
        <v>12858.820169366443</v>
      </c>
      <c r="BA18" s="167">
        <v>14523.231622346859</v>
      </c>
      <c r="BB18" s="167">
        <v>17270.317682928784</v>
      </c>
      <c r="BC18" s="167">
        <v>20000</v>
      </c>
      <c r="BD18" s="167">
        <v>20000</v>
      </c>
      <c r="BE18" s="167">
        <v>20000</v>
      </c>
      <c r="BF18" s="167">
        <v>20000</v>
      </c>
      <c r="BG18" s="167">
        <v>20000</v>
      </c>
      <c r="BH18" s="167">
        <v>20000</v>
      </c>
      <c r="BI18" s="167">
        <v>20000</v>
      </c>
      <c r="BJ18" s="167">
        <v>20000</v>
      </c>
      <c r="BK18" s="167">
        <v>20000</v>
      </c>
      <c r="BL18" s="167">
        <v>20000</v>
      </c>
      <c r="BM18" s="167">
        <v>20000</v>
      </c>
      <c r="BN18" s="167">
        <v>20000</v>
      </c>
      <c r="BO18" s="167">
        <v>20000</v>
      </c>
      <c r="BP18" s="167">
        <v>20000</v>
      </c>
      <c r="BQ18" s="167">
        <v>20000</v>
      </c>
      <c r="BR18" s="167">
        <v>20000</v>
      </c>
      <c r="BS18" s="167">
        <v>20000</v>
      </c>
      <c r="BT18" s="167">
        <v>18781.09463019278</v>
      </c>
      <c r="BU18" s="167">
        <v>17346.750516114163</v>
      </c>
      <c r="BV18" s="167">
        <v>16227.694284415535</v>
      </c>
      <c r="BW18" s="167">
        <v>14498.553509844996</v>
      </c>
      <c r="BX18" s="167">
        <v>13035.594102877287</v>
      </c>
      <c r="BY18" s="167">
        <v>12089.144632505395</v>
      </c>
      <c r="BZ18" s="167">
        <v>11630.8285779986</v>
      </c>
      <c r="CA18" s="167">
        <v>12311.202827434638</v>
      </c>
      <c r="CB18" s="167">
        <v>14543.036938290072</v>
      </c>
      <c r="CC18" s="167">
        <v>18085.457814743455</v>
      </c>
      <c r="CD18" s="167">
        <v>20000</v>
      </c>
      <c r="CE18" s="167">
        <v>20000</v>
      </c>
      <c r="CF18" s="167">
        <v>20000</v>
      </c>
      <c r="CG18" s="167">
        <v>20000</v>
      </c>
      <c r="CH18" s="167">
        <v>20000</v>
      </c>
      <c r="CI18" s="167">
        <v>20000</v>
      </c>
      <c r="CJ18" s="167">
        <v>20000</v>
      </c>
      <c r="CK18" s="167">
        <v>20000</v>
      </c>
      <c r="CL18" s="167">
        <v>20000</v>
      </c>
      <c r="CM18" s="167">
        <v>20000</v>
      </c>
      <c r="CN18" s="167">
        <v>20000</v>
      </c>
      <c r="CO18" s="167">
        <v>20000</v>
      </c>
      <c r="CP18" s="167">
        <v>20000</v>
      </c>
      <c r="CQ18" s="167">
        <v>20000</v>
      </c>
      <c r="CR18" s="167">
        <v>20000</v>
      </c>
      <c r="CS18" s="167">
        <v>20000</v>
      </c>
      <c r="CT18" s="167">
        <v>20000</v>
      </c>
      <c r="CU18" s="167">
        <v>20000</v>
      </c>
      <c r="CV18" s="167">
        <v>18346.36130296718</v>
      </c>
      <c r="CW18" s="167">
        <v>16684.342704113762</v>
      </c>
      <c r="CX18" s="167">
        <v>15423.011507188299</v>
      </c>
      <c r="CY18" s="167">
        <v>15455.662740279575</v>
      </c>
      <c r="CZ18" s="167">
        <v>17076.146382794192</v>
      </c>
      <c r="DA18" s="167">
        <v>20000</v>
      </c>
      <c r="DB18" s="167">
        <v>20000</v>
      </c>
      <c r="DC18" s="167">
        <v>20000</v>
      </c>
      <c r="DD18" s="167">
        <v>20000</v>
      </c>
      <c r="DE18" s="167">
        <v>20000</v>
      </c>
      <c r="DF18" s="167">
        <v>20000</v>
      </c>
      <c r="DG18" s="167">
        <v>20000</v>
      </c>
      <c r="DH18" s="167">
        <v>20000</v>
      </c>
      <c r="DI18" s="167">
        <v>20000</v>
      </c>
      <c r="DJ18" s="167">
        <v>20000</v>
      </c>
      <c r="DK18" s="167">
        <v>20000</v>
      </c>
      <c r="DL18" s="167">
        <v>20000</v>
      </c>
      <c r="DM18" s="167">
        <v>20000</v>
      </c>
      <c r="DN18" s="167">
        <v>20000</v>
      </c>
      <c r="DO18" s="167">
        <v>20000</v>
      </c>
      <c r="DP18" s="167">
        <v>20000</v>
      </c>
      <c r="DQ18" s="167">
        <v>20000</v>
      </c>
      <c r="DR18" s="167">
        <v>20000</v>
      </c>
      <c r="DS18" s="167">
        <v>20000</v>
      </c>
      <c r="DT18" s="167">
        <v>18521.989928058782</v>
      </c>
      <c r="DU18" s="167">
        <v>17155.279511825236</v>
      </c>
      <c r="DV18" s="167">
        <v>16261.847998665824</v>
      </c>
      <c r="DW18" s="167">
        <v>16819.285643389077</v>
      </c>
      <c r="DX18" s="167">
        <v>18987.954422957711</v>
      </c>
      <c r="DY18" s="167">
        <v>20000</v>
      </c>
      <c r="DZ18" s="167">
        <v>20000</v>
      </c>
      <c r="EA18" s="167">
        <v>20000</v>
      </c>
      <c r="EB18" s="167">
        <v>20000</v>
      </c>
      <c r="EC18" s="167">
        <v>20000</v>
      </c>
      <c r="ED18" s="167">
        <v>20000</v>
      </c>
      <c r="EE18" s="167">
        <v>20000</v>
      </c>
      <c r="EF18" s="167">
        <v>20000</v>
      </c>
      <c r="EG18" s="167">
        <v>20000</v>
      </c>
      <c r="EH18" s="167">
        <v>20000</v>
      </c>
      <c r="EI18" s="167">
        <v>20000</v>
      </c>
      <c r="EJ18" s="167">
        <v>20000</v>
      </c>
      <c r="EK18" s="167">
        <v>20000</v>
      </c>
      <c r="EL18" s="167">
        <v>20000</v>
      </c>
      <c r="EM18" s="167">
        <v>20000</v>
      </c>
      <c r="EN18" s="167">
        <v>20000</v>
      </c>
      <c r="EO18" s="167">
        <v>18746.370274649064</v>
      </c>
      <c r="EP18" t="str">
        <f t="shared" si="0"/>
        <v>0y 349d</v>
      </c>
    </row>
    <row r="19" spans="2:154" x14ac:dyDescent="0.25">
      <c r="B19" s="65">
        <v>16</v>
      </c>
      <c r="D19">
        <v>4598392.1745049842</v>
      </c>
      <c r="E19" s="12">
        <v>-144127801126.7424</v>
      </c>
      <c r="F19" s="12">
        <v>33864233119.740311</v>
      </c>
      <c r="G19" s="12">
        <v>0</v>
      </c>
      <c r="H19" s="12">
        <v>18096702.398348972</v>
      </c>
      <c r="I19" s="12">
        <v>341336011132.84851</v>
      </c>
      <c r="J19" s="12">
        <v>156902796310.31207</v>
      </c>
      <c r="K19" s="12">
        <v>-16502866708.942411</v>
      </c>
      <c r="L19" s="12"/>
      <c r="M19" s="12"/>
      <c r="N19" s="12"/>
      <c r="O19" s="12"/>
      <c r="P19" s="12">
        <v>1990482.7863369829</v>
      </c>
      <c r="Q19" s="12">
        <v>158312794319.23172</v>
      </c>
      <c r="R19" s="12">
        <v>-4765714123.3838892</v>
      </c>
      <c r="S19" s="12">
        <v>0</v>
      </c>
      <c r="T19" s="12">
        <v>2530296.5572145386</v>
      </c>
      <c r="U19" s="12">
        <v>80159733396.814194</v>
      </c>
      <c r="V19" s="12">
        <v>246546166252.2623</v>
      </c>
      <c r="W19" s="12">
        <v>-106379572.14104825</v>
      </c>
      <c r="X19" s="12"/>
      <c r="Y19" s="12"/>
      <c r="Z19" s="12"/>
      <c r="AA19" s="12"/>
      <c r="AB19" s="12"/>
      <c r="AC19" s="12"/>
      <c r="AD19" s="12"/>
      <c r="AE19" s="12"/>
      <c r="AG19" s="27">
        <v>0</v>
      </c>
      <c r="AH19" s="27">
        <v>0</v>
      </c>
      <c r="AI19" s="27">
        <v>0</v>
      </c>
      <c r="AS19" s="6">
        <v>31379294.531869493</v>
      </c>
      <c r="AT19" s="167">
        <v>17776.529372810437</v>
      </c>
      <c r="AU19" s="167">
        <v>15794.631348860807</v>
      </c>
      <c r="AV19" s="167">
        <v>14296.825835728005</v>
      </c>
      <c r="AW19" s="167">
        <v>12935.945004994937</v>
      </c>
      <c r="AX19" s="167">
        <v>12118.576816639179</v>
      </c>
      <c r="AY19" s="167">
        <v>12076.537193246466</v>
      </c>
      <c r="AZ19" s="167">
        <v>12683.789701245945</v>
      </c>
      <c r="BA19" s="167">
        <v>14308.664953651401</v>
      </c>
      <c r="BB19" s="167">
        <v>17010.474063447255</v>
      </c>
      <c r="BC19" s="167">
        <v>20000</v>
      </c>
      <c r="BD19" s="167">
        <v>20000</v>
      </c>
      <c r="BE19" s="167">
        <v>20000</v>
      </c>
      <c r="BF19" s="167">
        <v>20000</v>
      </c>
      <c r="BG19" s="167">
        <v>20000</v>
      </c>
      <c r="BH19" s="167">
        <v>20000</v>
      </c>
      <c r="BI19" s="167">
        <v>20000</v>
      </c>
      <c r="BJ19" s="167">
        <v>20000</v>
      </c>
      <c r="BK19" s="167">
        <v>20000</v>
      </c>
      <c r="BL19" s="167">
        <v>20000</v>
      </c>
      <c r="BM19" s="167">
        <v>20000</v>
      </c>
      <c r="BN19" s="167">
        <v>20000</v>
      </c>
      <c r="BO19" s="167">
        <v>20000</v>
      </c>
      <c r="BP19" s="167">
        <v>20000</v>
      </c>
      <c r="BQ19" s="167">
        <v>20000</v>
      </c>
      <c r="BR19" s="167">
        <v>20000</v>
      </c>
      <c r="BS19" s="167">
        <v>20000</v>
      </c>
      <c r="BT19" s="167">
        <v>18309.761519823638</v>
      </c>
      <c r="BU19" s="167">
        <v>16749.279789296812</v>
      </c>
      <c r="BV19" s="167">
        <v>15678.656918758033</v>
      </c>
      <c r="BW19" s="167">
        <v>13975.194648530658</v>
      </c>
      <c r="BX19" s="167">
        <v>12559.257845050401</v>
      </c>
      <c r="BY19" s="167">
        <v>11669.428222136885</v>
      </c>
      <c r="BZ19" s="167">
        <v>11340.957637110232</v>
      </c>
      <c r="CA19" s="167">
        <v>12036.44263062553</v>
      </c>
      <c r="CB19" s="167">
        <v>14273.508360305719</v>
      </c>
      <c r="CC19" s="167">
        <v>17783.424696674629</v>
      </c>
      <c r="CD19" s="167">
        <v>20000</v>
      </c>
      <c r="CE19" s="167">
        <v>20000</v>
      </c>
      <c r="CF19" s="167">
        <v>20000</v>
      </c>
      <c r="CG19" s="167">
        <v>20000</v>
      </c>
      <c r="CH19" s="167">
        <v>20000</v>
      </c>
      <c r="CI19" s="167">
        <v>20000</v>
      </c>
      <c r="CJ19" s="167">
        <v>20000</v>
      </c>
      <c r="CK19" s="167">
        <v>20000</v>
      </c>
      <c r="CL19" s="167">
        <v>20000</v>
      </c>
      <c r="CM19" s="167">
        <v>20000</v>
      </c>
      <c r="CN19" s="167">
        <v>20000</v>
      </c>
      <c r="CO19" s="167">
        <v>20000</v>
      </c>
      <c r="CP19" s="167">
        <v>20000</v>
      </c>
      <c r="CQ19" s="167">
        <v>20000</v>
      </c>
      <c r="CR19" s="167">
        <v>20000</v>
      </c>
      <c r="CS19" s="167">
        <v>20000</v>
      </c>
      <c r="CT19" s="167">
        <v>20000</v>
      </c>
      <c r="CU19" s="167">
        <v>19399.681978901641</v>
      </c>
      <c r="CV19" s="167">
        <v>17460.352386077866</v>
      </c>
      <c r="CW19" s="167">
        <v>15889.869331167678</v>
      </c>
      <c r="CX19" s="167">
        <v>14885.94039651723</v>
      </c>
      <c r="CY19" s="167">
        <v>14924.910189399396</v>
      </c>
      <c r="CZ19" s="167">
        <v>16571.462724196812</v>
      </c>
      <c r="DA19" s="167">
        <v>19641.760410094463</v>
      </c>
      <c r="DB19" s="167">
        <v>20000</v>
      </c>
      <c r="DC19" s="167">
        <v>20000</v>
      </c>
      <c r="DD19" s="167">
        <v>20000</v>
      </c>
      <c r="DE19" s="167">
        <v>20000</v>
      </c>
      <c r="DF19" s="167">
        <v>20000</v>
      </c>
      <c r="DG19" s="167">
        <v>20000</v>
      </c>
      <c r="DH19" s="167">
        <v>20000</v>
      </c>
      <c r="DI19" s="167">
        <v>20000</v>
      </c>
      <c r="DJ19" s="167">
        <v>20000</v>
      </c>
      <c r="DK19" s="167">
        <v>20000</v>
      </c>
      <c r="DL19" s="167">
        <v>20000</v>
      </c>
      <c r="DM19" s="167">
        <v>20000</v>
      </c>
      <c r="DN19" s="167">
        <v>20000</v>
      </c>
      <c r="DO19" s="167">
        <v>20000</v>
      </c>
      <c r="DP19" s="167">
        <v>20000</v>
      </c>
      <c r="DQ19" s="167">
        <v>20000</v>
      </c>
      <c r="DR19" s="167">
        <v>20000</v>
      </c>
      <c r="DS19" s="167">
        <v>19457.809065928661</v>
      </c>
      <c r="DT19" s="167">
        <v>17512.456937169118</v>
      </c>
      <c r="DU19" s="167">
        <v>16294.766295075151</v>
      </c>
      <c r="DV19" s="167">
        <v>15633.598164435427</v>
      </c>
      <c r="DW19" s="167">
        <v>16226.882516298927</v>
      </c>
      <c r="DX19" s="167">
        <v>18434.19277609748</v>
      </c>
      <c r="DY19" s="167">
        <v>20000</v>
      </c>
      <c r="DZ19" s="167">
        <v>20000</v>
      </c>
      <c r="EA19" s="167">
        <v>20000</v>
      </c>
      <c r="EB19" s="167">
        <v>20000</v>
      </c>
      <c r="EC19" s="167">
        <v>20000</v>
      </c>
      <c r="ED19" s="167">
        <v>20000</v>
      </c>
      <c r="EE19" s="167">
        <v>20000</v>
      </c>
      <c r="EF19" s="167">
        <v>20000</v>
      </c>
      <c r="EG19" s="167">
        <v>20000</v>
      </c>
      <c r="EH19" s="167">
        <v>20000</v>
      </c>
      <c r="EI19" s="167">
        <v>20000</v>
      </c>
      <c r="EJ19" s="167">
        <v>20000</v>
      </c>
      <c r="EK19" s="167">
        <v>20000</v>
      </c>
      <c r="EL19" s="167">
        <v>20000</v>
      </c>
      <c r="EM19" s="167">
        <v>20000</v>
      </c>
      <c r="EN19" s="167">
        <v>19984.894845129151</v>
      </c>
      <c r="EO19" s="167">
        <v>17880.911114818635</v>
      </c>
      <c r="EP19" t="str">
        <f t="shared" si="0"/>
        <v>0y 363d</v>
      </c>
    </row>
    <row r="20" spans="2:154" x14ac:dyDescent="0.25">
      <c r="B20" s="65">
        <v>17</v>
      </c>
      <c r="D20">
        <v>4907862.6621237835</v>
      </c>
      <c r="E20" s="12">
        <v>-146093137945.45966</v>
      </c>
      <c r="F20" s="12">
        <v>24768469229.853001</v>
      </c>
      <c r="G20" s="12">
        <v>0</v>
      </c>
      <c r="H20" s="12">
        <v>19276516.938568383</v>
      </c>
      <c r="I20" s="12">
        <v>331137648953.28638</v>
      </c>
      <c r="J20" s="12">
        <v>178216792717.49261</v>
      </c>
      <c r="K20" s="12">
        <v>-17231670593.036766</v>
      </c>
      <c r="L20" s="12"/>
      <c r="M20" s="12"/>
      <c r="N20" s="12"/>
      <c r="O20" s="12"/>
      <c r="P20" s="12">
        <v>2131563.7377995681</v>
      </c>
      <c r="Q20" s="12">
        <v>159260654691.29453</v>
      </c>
      <c r="R20" s="12">
        <v>119393203.30875751</v>
      </c>
      <c r="S20" s="12">
        <v>0</v>
      </c>
      <c r="T20" s="12">
        <v>2723461.3200902045</v>
      </c>
      <c r="U20" s="12">
        <v>76959401626.893661</v>
      </c>
      <c r="V20" s="12">
        <v>249990639228.09171</v>
      </c>
      <c r="W20" s="12">
        <v>-114339859.21378574</v>
      </c>
      <c r="X20" s="12"/>
      <c r="Y20" s="12"/>
      <c r="Z20" s="12"/>
      <c r="AA20" s="12"/>
      <c r="AB20" s="12"/>
      <c r="AC20" s="12"/>
      <c r="AD20" s="12"/>
      <c r="AE20" s="12"/>
      <c r="AG20" s="27">
        <v>-128246079029.4131</v>
      </c>
      <c r="AH20" s="27">
        <v>72996091658.122559</v>
      </c>
      <c r="AI20" s="27">
        <v>0</v>
      </c>
      <c r="AS20" s="6">
        <v>32566957.073912363</v>
      </c>
      <c r="AT20" s="167">
        <v>17068.832094510082</v>
      </c>
      <c r="AU20" s="167">
        <v>15150.166512008087</v>
      </c>
      <c r="AV20" s="167">
        <v>13797.643087605558</v>
      </c>
      <c r="AW20" s="167">
        <v>12528.14946116566</v>
      </c>
      <c r="AX20" s="167">
        <v>11806.017278560486</v>
      </c>
      <c r="AY20" s="167">
        <v>11845.941813226518</v>
      </c>
      <c r="AZ20" s="167">
        <v>12628.921408810291</v>
      </c>
      <c r="BA20" s="167">
        <v>14162.042676309198</v>
      </c>
      <c r="BB20" s="167">
        <v>16792.17096155123</v>
      </c>
      <c r="BC20" s="167">
        <v>20000</v>
      </c>
      <c r="BD20" s="167">
        <v>20000</v>
      </c>
      <c r="BE20" s="167">
        <v>20000</v>
      </c>
      <c r="BF20" s="167">
        <v>20000</v>
      </c>
      <c r="BG20" s="167">
        <v>20000</v>
      </c>
      <c r="BH20" s="167">
        <v>20000</v>
      </c>
      <c r="BI20" s="167">
        <v>20000</v>
      </c>
      <c r="BJ20" s="167">
        <v>20000</v>
      </c>
      <c r="BK20" s="167">
        <v>20000</v>
      </c>
      <c r="BL20" s="167">
        <v>20000</v>
      </c>
      <c r="BM20" s="167">
        <v>20000</v>
      </c>
      <c r="BN20" s="167">
        <v>20000</v>
      </c>
      <c r="BO20" s="167">
        <v>20000</v>
      </c>
      <c r="BP20" s="167">
        <v>20000</v>
      </c>
      <c r="BQ20" s="167">
        <v>20000</v>
      </c>
      <c r="BR20" s="167">
        <v>20000</v>
      </c>
      <c r="BS20" s="167">
        <v>19951.843702314221</v>
      </c>
      <c r="BT20" s="167">
        <v>17971.277836900968</v>
      </c>
      <c r="BU20" s="167">
        <v>16293.153505975846</v>
      </c>
      <c r="BV20" s="167">
        <v>15232.852381067976</v>
      </c>
      <c r="BW20" s="167">
        <v>13542.628018648997</v>
      </c>
      <c r="BX20" s="167">
        <v>12161.031163700372</v>
      </c>
      <c r="BY20" s="167">
        <v>11315.171942665675</v>
      </c>
      <c r="BZ20" s="167">
        <v>11102.374351490093</v>
      </c>
      <c r="CA20" s="167">
        <v>11802.555247882799</v>
      </c>
      <c r="CB20" s="167">
        <v>14036.574256281598</v>
      </c>
      <c r="CC20" s="167">
        <v>17507.828042759604</v>
      </c>
      <c r="CD20" s="167">
        <v>20000</v>
      </c>
      <c r="CE20" s="167">
        <v>20000</v>
      </c>
      <c r="CF20" s="167">
        <v>20000</v>
      </c>
      <c r="CG20" s="167">
        <v>20000</v>
      </c>
      <c r="CH20" s="167">
        <v>20000</v>
      </c>
      <c r="CI20" s="167">
        <v>20000</v>
      </c>
      <c r="CJ20" s="167">
        <v>20000</v>
      </c>
      <c r="CK20" s="167">
        <v>20000</v>
      </c>
      <c r="CL20" s="167">
        <v>20000</v>
      </c>
      <c r="CM20" s="167">
        <v>20000</v>
      </c>
      <c r="CN20" s="167">
        <v>20000</v>
      </c>
      <c r="CO20" s="167">
        <v>20000</v>
      </c>
      <c r="CP20" s="167">
        <v>20000</v>
      </c>
      <c r="CQ20" s="167">
        <v>20000</v>
      </c>
      <c r="CR20" s="167">
        <v>20000</v>
      </c>
      <c r="CS20" s="167">
        <v>20000</v>
      </c>
      <c r="CT20" s="167">
        <v>19845.289939460694</v>
      </c>
      <c r="CU20" s="167">
        <v>18518.207165698121</v>
      </c>
      <c r="CV20" s="167">
        <v>16649.804066829452</v>
      </c>
      <c r="CW20" s="167">
        <v>15178.02833919847</v>
      </c>
      <c r="CX20" s="167">
        <v>14441.144199310555</v>
      </c>
      <c r="CY20" s="167">
        <v>14456.866172593338</v>
      </c>
      <c r="CZ20" s="167">
        <v>16118.951091039551</v>
      </c>
      <c r="DA20" s="167">
        <v>19197.230640803726</v>
      </c>
      <c r="DB20" s="167">
        <v>20000</v>
      </c>
      <c r="DC20" s="167">
        <v>20000</v>
      </c>
      <c r="DD20" s="167">
        <v>20000</v>
      </c>
      <c r="DE20" s="167">
        <v>20000</v>
      </c>
      <c r="DF20" s="167">
        <v>20000</v>
      </c>
      <c r="DG20" s="167">
        <v>20000</v>
      </c>
      <c r="DH20" s="167">
        <v>20000</v>
      </c>
      <c r="DI20" s="167">
        <v>20000</v>
      </c>
      <c r="DJ20" s="167">
        <v>20000</v>
      </c>
      <c r="DK20" s="167">
        <v>20000</v>
      </c>
      <c r="DL20" s="167">
        <v>20000</v>
      </c>
      <c r="DM20" s="167">
        <v>20000</v>
      </c>
      <c r="DN20" s="167">
        <v>20000</v>
      </c>
      <c r="DO20" s="167">
        <v>20000</v>
      </c>
      <c r="DP20" s="167">
        <v>20000</v>
      </c>
      <c r="DQ20" s="167">
        <v>20000</v>
      </c>
      <c r="DR20" s="167">
        <v>20000</v>
      </c>
      <c r="DS20" s="167">
        <v>18425.027165401105</v>
      </c>
      <c r="DT20" s="167">
        <v>16602.852900725135</v>
      </c>
      <c r="DU20" s="167">
        <v>15517.872838526717</v>
      </c>
      <c r="DV20" s="167">
        <v>15079.499236343647</v>
      </c>
      <c r="DW20" s="167">
        <v>15696.242934357222</v>
      </c>
      <c r="DX20" s="167">
        <v>17939.137938505773</v>
      </c>
      <c r="DY20" s="167">
        <v>20000</v>
      </c>
      <c r="DZ20" s="167">
        <v>20000</v>
      </c>
      <c r="EA20" s="167">
        <v>20000</v>
      </c>
      <c r="EB20" s="167">
        <v>20000</v>
      </c>
      <c r="EC20" s="167">
        <v>20000</v>
      </c>
      <c r="ED20" s="167">
        <v>20000</v>
      </c>
      <c r="EE20" s="167">
        <v>20000</v>
      </c>
      <c r="EF20" s="167">
        <v>20000</v>
      </c>
      <c r="EG20" s="167">
        <v>20000</v>
      </c>
      <c r="EH20" s="167">
        <v>20000</v>
      </c>
      <c r="EI20" s="167">
        <v>20000</v>
      </c>
      <c r="EJ20" s="167">
        <v>20000</v>
      </c>
      <c r="EK20" s="167">
        <v>20000</v>
      </c>
      <c r="EL20" s="167">
        <v>20000</v>
      </c>
      <c r="EM20" s="167">
        <v>20000</v>
      </c>
      <c r="EN20" s="167">
        <v>19275.056807160101</v>
      </c>
      <c r="EO20" s="167">
        <v>17179.854148975104</v>
      </c>
      <c r="EP20" t="str">
        <f t="shared" si="0"/>
        <v>1y 12d</v>
      </c>
    </row>
    <row r="21" spans="2:154" x14ac:dyDescent="0.25">
      <c r="B21" s="65">
        <v>18</v>
      </c>
      <c r="D21">
        <v>5217868.2393564759</v>
      </c>
      <c r="E21" s="12">
        <v>-147490118744.71606</v>
      </c>
      <c r="F21" s="12">
        <v>15560049065.616484</v>
      </c>
      <c r="G21" s="12">
        <v>0</v>
      </c>
      <c r="H21" s="12">
        <v>20459480.047320064</v>
      </c>
      <c r="I21" s="12">
        <v>319761800560.5047</v>
      </c>
      <c r="J21" s="12">
        <v>198968578965.47714</v>
      </c>
      <c r="K21" s="12">
        <v>-17902560962.526539</v>
      </c>
      <c r="L21" s="12"/>
      <c r="M21" s="12"/>
      <c r="N21" s="12"/>
      <c r="O21" s="12"/>
      <c r="P21" s="12">
        <v>2274256.0592127498</v>
      </c>
      <c r="Q21" s="12">
        <v>160113472272.26437</v>
      </c>
      <c r="R21" s="12">
        <v>5060213806.2604122</v>
      </c>
      <c r="S21" s="12">
        <v>0</v>
      </c>
      <c r="T21" s="12">
        <v>2920105.3002501703</v>
      </c>
      <c r="U21" s="12">
        <v>73679566587.394745</v>
      </c>
      <c r="V21" s="12">
        <v>253426138176.32199</v>
      </c>
      <c r="W21" s="12">
        <v>-122411041.06266344</v>
      </c>
      <c r="X21" s="12"/>
      <c r="Y21" s="12"/>
      <c r="Z21" s="12"/>
      <c r="AA21" s="12"/>
      <c r="AB21" s="12"/>
      <c r="AC21" s="12"/>
      <c r="AD21" s="12"/>
      <c r="AE21" s="12"/>
      <c r="AG21" s="27">
        <v>-410717391154.69312</v>
      </c>
      <c r="AH21" s="27">
        <v>233775290107.90295</v>
      </c>
      <c r="AI21" s="27">
        <v>3.6307182163000107E-3</v>
      </c>
      <c r="AS21" s="6">
        <v>33754619.615955234</v>
      </c>
      <c r="AT21" s="167">
        <v>16518.4141733498</v>
      </c>
      <c r="AU21" s="167">
        <v>14648.789466211281</v>
      </c>
      <c r="AV21" s="167">
        <v>13367.500968071821</v>
      </c>
      <c r="AW21" s="167">
        <v>12227.66134978749</v>
      </c>
      <c r="AX21" s="167">
        <v>11584.935759411153</v>
      </c>
      <c r="AY21" s="167">
        <v>11690.017003159352</v>
      </c>
      <c r="AZ21" s="167">
        <v>12673.693393250742</v>
      </c>
      <c r="BA21" s="167">
        <v>14080.181502931346</v>
      </c>
      <c r="BB21" s="167">
        <v>16609.620255339167</v>
      </c>
      <c r="BC21" s="167">
        <v>19979.206614081078</v>
      </c>
      <c r="BD21" s="167">
        <v>20000</v>
      </c>
      <c r="BE21" s="167">
        <v>20000</v>
      </c>
      <c r="BF21" s="167">
        <v>20000</v>
      </c>
      <c r="BG21" s="167">
        <v>20000</v>
      </c>
      <c r="BH21" s="167">
        <v>20000</v>
      </c>
      <c r="BI21" s="167">
        <v>20000</v>
      </c>
      <c r="BJ21" s="167">
        <v>20000</v>
      </c>
      <c r="BK21" s="167">
        <v>20000</v>
      </c>
      <c r="BL21" s="167">
        <v>20000</v>
      </c>
      <c r="BM21" s="167">
        <v>20000</v>
      </c>
      <c r="BN21" s="167">
        <v>20000</v>
      </c>
      <c r="BO21" s="167">
        <v>20000</v>
      </c>
      <c r="BP21" s="167">
        <v>20000</v>
      </c>
      <c r="BQ21" s="167">
        <v>20000</v>
      </c>
      <c r="BR21" s="167">
        <v>20000</v>
      </c>
      <c r="BS21" s="167">
        <v>19856.296110711406</v>
      </c>
      <c r="BT21" s="167">
        <v>17753.353745864613</v>
      </c>
      <c r="BU21" s="167">
        <v>15961.298293627764</v>
      </c>
      <c r="BV21" s="167">
        <v>14717.196249044744</v>
      </c>
      <c r="BW21" s="167">
        <v>13192.553162303851</v>
      </c>
      <c r="BX21" s="167">
        <v>11833.461594777409</v>
      </c>
      <c r="BY21" s="167">
        <v>11019.724085040023</v>
      </c>
      <c r="BZ21" s="167">
        <v>10909.001706262563</v>
      </c>
      <c r="CA21" s="167">
        <v>11603.810679574173</v>
      </c>
      <c r="CB21" s="167">
        <v>13827.138138840868</v>
      </c>
      <c r="CC21" s="167">
        <v>17254.325797493835</v>
      </c>
      <c r="CD21" s="167">
        <v>20000</v>
      </c>
      <c r="CE21" s="167">
        <v>20000</v>
      </c>
      <c r="CF21" s="167">
        <v>20000</v>
      </c>
      <c r="CG21" s="167">
        <v>20000</v>
      </c>
      <c r="CH21" s="167">
        <v>20000</v>
      </c>
      <c r="CI21" s="167">
        <v>20000</v>
      </c>
      <c r="CJ21" s="167">
        <v>20000</v>
      </c>
      <c r="CK21" s="167">
        <v>20000</v>
      </c>
      <c r="CL21" s="167">
        <v>20000</v>
      </c>
      <c r="CM21" s="167">
        <v>20000</v>
      </c>
      <c r="CN21" s="167">
        <v>20000</v>
      </c>
      <c r="CO21" s="167">
        <v>20000</v>
      </c>
      <c r="CP21" s="167">
        <v>20000</v>
      </c>
      <c r="CQ21" s="167">
        <v>20000</v>
      </c>
      <c r="CR21" s="167">
        <v>20000</v>
      </c>
      <c r="CS21" s="167">
        <v>20000</v>
      </c>
      <c r="CT21" s="167">
        <v>19021.943844577887</v>
      </c>
      <c r="CU21" s="167">
        <v>17728.870339340327</v>
      </c>
      <c r="CV21" s="167">
        <v>15923.270168569756</v>
      </c>
      <c r="CW21" s="167">
        <v>14539.615203329377</v>
      </c>
      <c r="CX21" s="167">
        <v>13978.209619847174</v>
      </c>
      <c r="CY21" s="167">
        <v>14046.510621459362</v>
      </c>
      <c r="CZ21" s="167">
        <v>15713.841166320841</v>
      </c>
      <c r="DA21" s="167">
        <v>18796.759905202587</v>
      </c>
      <c r="DB21" s="167">
        <v>20000</v>
      </c>
      <c r="DC21" s="167">
        <v>20000</v>
      </c>
      <c r="DD21" s="167">
        <v>20000</v>
      </c>
      <c r="DE21" s="167">
        <v>20000</v>
      </c>
      <c r="DF21" s="167">
        <v>20000</v>
      </c>
      <c r="DG21" s="167">
        <v>20000</v>
      </c>
      <c r="DH21" s="167">
        <v>20000</v>
      </c>
      <c r="DI21" s="167">
        <v>20000</v>
      </c>
      <c r="DJ21" s="167">
        <v>20000</v>
      </c>
      <c r="DK21" s="167">
        <v>20000</v>
      </c>
      <c r="DL21" s="167">
        <v>20000</v>
      </c>
      <c r="DM21" s="167">
        <v>20000</v>
      </c>
      <c r="DN21" s="167">
        <v>20000</v>
      </c>
      <c r="DO21" s="167">
        <v>20000</v>
      </c>
      <c r="DP21" s="167">
        <v>20000</v>
      </c>
      <c r="DQ21" s="167">
        <v>20000</v>
      </c>
      <c r="DR21" s="167">
        <v>19598.424363353082</v>
      </c>
      <c r="DS21" s="167">
        <v>17493.784823821796</v>
      </c>
      <c r="DT21" s="167">
        <v>15782.548904578844</v>
      </c>
      <c r="DU21" s="167">
        <v>14815.786014743713</v>
      </c>
      <c r="DV21" s="167">
        <v>14595.088353242989</v>
      </c>
      <c r="DW21" s="167">
        <v>15222.697207103931</v>
      </c>
      <c r="DX21" s="167">
        <v>17498.007202038851</v>
      </c>
      <c r="DY21" s="167">
        <v>20000</v>
      </c>
      <c r="DZ21" s="167">
        <v>20000</v>
      </c>
      <c r="EA21" s="167">
        <v>20000</v>
      </c>
      <c r="EB21" s="167">
        <v>20000</v>
      </c>
      <c r="EC21" s="167">
        <v>20000</v>
      </c>
      <c r="ED21" s="167">
        <v>20000</v>
      </c>
      <c r="EE21" s="167">
        <v>20000</v>
      </c>
      <c r="EF21" s="167">
        <v>20000</v>
      </c>
      <c r="EG21" s="167">
        <v>20000</v>
      </c>
      <c r="EH21" s="167">
        <v>20000</v>
      </c>
      <c r="EI21" s="167">
        <v>20000</v>
      </c>
      <c r="EJ21" s="167">
        <v>20000</v>
      </c>
      <c r="EK21" s="167">
        <v>20000</v>
      </c>
      <c r="EL21" s="167">
        <v>20000</v>
      </c>
      <c r="EM21" s="167">
        <v>20000</v>
      </c>
      <c r="EN21" s="167">
        <v>18737.067712726297</v>
      </c>
      <c r="EO21" s="167">
        <v>16637.298781828846</v>
      </c>
      <c r="EP21" t="str">
        <f t="shared" si="0"/>
        <v>1y 25d</v>
      </c>
    </row>
    <row r="22" spans="2:154" x14ac:dyDescent="0.25">
      <c r="B22" s="65">
        <v>19</v>
      </c>
      <c r="D22">
        <v>5528431.8415198419</v>
      </c>
      <c r="E22" s="12">
        <v>-148311864175.52502</v>
      </c>
      <c r="F22" s="12">
        <v>6274106797.888979</v>
      </c>
      <c r="G22" s="12">
        <v>0</v>
      </c>
      <c r="H22" s="12">
        <v>21646735.261814553</v>
      </c>
      <c r="I22" s="12">
        <v>307231650613.79895</v>
      </c>
      <c r="J22" s="12">
        <v>219103059064.13629</v>
      </c>
      <c r="K22" s="12">
        <v>-18513568886.737652</v>
      </c>
      <c r="L22" s="12"/>
      <c r="M22" s="12"/>
      <c r="N22" s="12"/>
      <c r="O22" s="12"/>
      <c r="P22" s="12">
        <v>2418671.3052654131</v>
      </c>
      <c r="Q22" s="12">
        <v>160869493485.22971</v>
      </c>
      <c r="R22" s="12">
        <v>10057303984.172506</v>
      </c>
      <c r="S22" s="12">
        <v>0</v>
      </c>
      <c r="T22" s="12">
        <v>3120308.7799464827</v>
      </c>
      <c r="U22" s="12">
        <v>70319245185.35022</v>
      </c>
      <c r="V22" s="12">
        <v>256851183127.67639</v>
      </c>
      <c r="W22" s="12">
        <v>-130593231.24555461</v>
      </c>
      <c r="X22" s="12"/>
      <c r="Y22" s="12"/>
      <c r="Z22" s="12"/>
      <c r="AA22" s="12"/>
      <c r="AB22" s="12"/>
      <c r="AC22" s="12"/>
      <c r="AD22" s="12"/>
      <c r="AE22" s="12"/>
      <c r="AS22" s="6">
        <v>34942282.1579981</v>
      </c>
      <c r="AT22" s="167">
        <v>16120.743216505794</v>
      </c>
      <c r="AU22" s="167">
        <v>14284.327735516295</v>
      </c>
      <c r="AV22" s="167">
        <v>13048.564835161142</v>
      </c>
      <c r="AW22" s="167">
        <v>12029.207680851312</v>
      </c>
      <c r="AX22" s="167">
        <v>11449.302423238696</v>
      </c>
      <c r="AY22" s="167">
        <v>11601.512668225372</v>
      </c>
      <c r="AZ22" s="167">
        <v>12565.63928604676</v>
      </c>
      <c r="BA22" s="167">
        <v>14063.09805378843</v>
      </c>
      <c r="BB22" s="167">
        <v>16458.848182233716</v>
      </c>
      <c r="BC22" s="167">
        <v>19707.812156268337</v>
      </c>
      <c r="BD22" s="167">
        <v>20000</v>
      </c>
      <c r="BE22" s="167">
        <v>20000</v>
      </c>
      <c r="BF22" s="167">
        <v>20000</v>
      </c>
      <c r="BG22" s="167">
        <v>20000</v>
      </c>
      <c r="BH22" s="167">
        <v>20000</v>
      </c>
      <c r="BI22" s="167">
        <v>20000</v>
      </c>
      <c r="BJ22" s="167">
        <v>20000</v>
      </c>
      <c r="BK22" s="167">
        <v>20000</v>
      </c>
      <c r="BL22" s="167">
        <v>20000</v>
      </c>
      <c r="BM22" s="167">
        <v>20000</v>
      </c>
      <c r="BN22" s="167">
        <v>20000</v>
      </c>
      <c r="BO22" s="167">
        <v>20000</v>
      </c>
      <c r="BP22" s="167">
        <v>20000</v>
      </c>
      <c r="BQ22" s="167">
        <v>20000</v>
      </c>
      <c r="BR22" s="167">
        <v>20000</v>
      </c>
      <c r="BS22" s="167">
        <v>19876.017595237121</v>
      </c>
      <c r="BT22" s="167">
        <v>17644.267550609085</v>
      </c>
      <c r="BU22" s="167">
        <v>15739.403881347531</v>
      </c>
      <c r="BV22" s="167">
        <v>14304.334378459331</v>
      </c>
      <c r="BW22" s="167">
        <v>12917.313418009793</v>
      </c>
      <c r="BX22" s="167">
        <v>11569.699120938858</v>
      </c>
      <c r="BY22" s="167">
        <v>10776.954914352271</v>
      </c>
      <c r="BZ22" s="167">
        <v>10755.14935886911</v>
      </c>
      <c r="CA22" s="167">
        <v>11435.048108071305</v>
      </c>
      <c r="CB22" s="167">
        <v>13640.834491959435</v>
      </c>
      <c r="CC22" s="167">
        <v>17019.326722348993</v>
      </c>
      <c r="CD22" s="167">
        <v>20000</v>
      </c>
      <c r="CE22" s="167">
        <v>20000</v>
      </c>
      <c r="CF22" s="167">
        <v>20000</v>
      </c>
      <c r="CG22" s="167">
        <v>20000</v>
      </c>
      <c r="CH22" s="167">
        <v>20000</v>
      </c>
      <c r="CI22" s="167">
        <v>20000</v>
      </c>
      <c r="CJ22" s="167">
        <v>20000</v>
      </c>
      <c r="CK22" s="167">
        <v>20000</v>
      </c>
      <c r="CL22" s="167">
        <v>20000</v>
      </c>
      <c r="CM22" s="167">
        <v>20000</v>
      </c>
      <c r="CN22" s="167">
        <v>20000</v>
      </c>
      <c r="CO22" s="167">
        <v>20000</v>
      </c>
      <c r="CP22" s="167">
        <v>20000</v>
      </c>
      <c r="CQ22" s="167">
        <v>20000</v>
      </c>
      <c r="CR22" s="167">
        <v>20000</v>
      </c>
      <c r="CS22" s="167">
        <v>20000</v>
      </c>
      <c r="CT22" s="167">
        <v>18288.249462452975</v>
      </c>
      <c r="CU22" s="167">
        <v>17022.792071533066</v>
      </c>
      <c r="CV22" s="167">
        <v>15272.267105323142</v>
      </c>
      <c r="CW22" s="167">
        <v>13966.966858356531</v>
      </c>
      <c r="CX22" s="167">
        <v>13489.301707033852</v>
      </c>
      <c r="CY22" s="167">
        <v>13690.104794014091</v>
      </c>
      <c r="CZ22" s="167">
        <v>15352.180461912663</v>
      </c>
      <c r="DA22" s="167">
        <v>18436.073501360697</v>
      </c>
      <c r="DB22" s="167">
        <v>20000</v>
      </c>
      <c r="DC22" s="167">
        <v>20000</v>
      </c>
      <c r="DD22" s="167">
        <v>20000</v>
      </c>
      <c r="DE22" s="167">
        <v>20000</v>
      </c>
      <c r="DF22" s="167">
        <v>20000</v>
      </c>
      <c r="DG22" s="167">
        <v>20000</v>
      </c>
      <c r="DH22" s="167">
        <v>20000</v>
      </c>
      <c r="DI22" s="167">
        <v>20000</v>
      </c>
      <c r="DJ22" s="167">
        <v>20000</v>
      </c>
      <c r="DK22" s="167">
        <v>20000</v>
      </c>
      <c r="DL22" s="167">
        <v>20000</v>
      </c>
      <c r="DM22" s="167">
        <v>20000</v>
      </c>
      <c r="DN22" s="167">
        <v>20000</v>
      </c>
      <c r="DO22" s="167">
        <v>20000</v>
      </c>
      <c r="DP22" s="167">
        <v>20000</v>
      </c>
      <c r="DQ22" s="167">
        <v>19772.040052155986</v>
      </c>
      <c r="DR22" s="167">
        <v>18684.964669484045</v>
      </c>
      <c r="DS22" s="167">
        <v>16654.571859631364</v>
      </c>
      <c r="DT22" s="167">
        <v>15042.918685820954</v>
      </c>
      <c r="DU22" s="167">
        <v>14181.535954061514</v>
      </c>
      <c r="DV22" s="167">
        <v>14177.680872802746</v>
      </c>
      <c r="DW22" s="167">
        <v>14802.519338329243</v>
      </c>
      <c r="DX22" s="167">
        <v>17106.526859864774</v>
      </c>
      <c r="DY22" s="167">
        <v>20000</v>
      </c>
      <c r="DZ22" s="167">
        <v>20000</v>
      </c>
      <c r="EA22" s="167">
        <v>20000</v>
      </c>
      <c r="EB22" s="167">
        <v>20000</v>
      </c>
      <c r="EC22" s="167">
        <v>20000</v>
      </c>
      <c r="ED22" s="167">
        <v>20000</v>
      </c>
      <c r="EE22" s="167">
        <v>20000</v>
      </c>
      <c r="EF22" s="167">
        <v>20000</v>
      </c>
      <c r="EG22" s="167">
        <v>20000</v>
      </c>
      <c r="EH22" s="167">
        <v>20000</v>
      </c>
      <c r="EI22" s="167">
        <v>20000</v>
      </c>
      <c r="EJ22" s="167">
        <v>20000</v>
      </c>
      <c r="EK22" s="167">
        <v>20000</v>
      </c>
      <c r="EL22" s="167">
        <v>20000</v>
      </c>
      <c r="EM22" s="167">
        <v>20000</v>
      </c>
      <c r="EN22" s="167">
        <v>18367.724210083095</v>
      </c>
      <c r="EO22" s="167">
        <v>16248.803831721389</v>
      </c>
      <c r="EP22" t="str">
        <f t="shared" si="0"/>
        <v>1y 39d</v>
      </c>
    </row>
    <row r="23" spans="2:154" x14ac:dyDescent="0.25">
      <c r="B23" s="65">
        <v>20</v>
      </c>
      <c r="D23">
        <v>5839574.372027738</v>
      </c>
      <c r="E23" s="12">
        <v>-148553622962.46402</v>
      </c>
      <c r="F23" s="12">
        <v>-3053740167.5056281</v>
      </c>
      <c r="G23" s="12">
        <v>0</v>
      </c>
      <c r="H23" s="12">
        <v>22839427.593869641</v>
      </c>
      <c r="I23" s="12">
        <v>293572013485.03125</v>
      </c>
      <c r="J23" s="12">
        <v>238565133552.94601</v>
      </c>
      <c r="K23" s="12">
        <v>-19062768861.97126</v>
      </c>
      <c r="L23" s="12"/>
      <c r="M23" s="12"/>
      <c r="N23" s="12"/>
      <c r="O23" s="12"/>
      <c r="P23" s="12">
        <v>2564924.5802564621</v>
      </c>
      <c r="Q23" s="12">
        <v>161526837627.34833</v>
      </c>
      <c r="R23" s="12">
        <v>15111219839.932657</v>
      </c>
      <c r="S23" s="12">
        <v>0</v>
      </c>
      <c r="T23" s="12">
        <v>3324153.4032117622</v>
      </c>
      <c r="U23" s="12">
        <v>66877471955.396873</v>
      </c>
      <c r="V23" s="12">
        <v>260264229607.31137</v>
      </c>
      <c r="W23" s="12">
        <v>-138886457.64315489</v>
      </c>
      <c r="X23" s="12"/>
      <c r="Y23" s="12"/>
      <c r="Z23" s="12"/>
      <c r="AA23" s="12"/>
      <c r="AB23" s="12"/>
      <c r="AC23" s="12"/>
      <c r="AD23" s="12"/>
      <c r="AE23" s="12"/>
      <c r="AS23" s="6">
        <v>36129944.700040966</v>
      </c>
      <c r="AT23" s="167">
        <v>15871.802773421405</v>
      </c>
      <c r="AU23" s="167">
        <v>14051.593024904902</v>
      </c>
      <c r="AV23" s="167">
        <v>12839.731798805295</v>
      </c>
      <c r="AW23" s="167">
        <v>11927.192452307852</v>
      </c>
      <c r="AX23" s="167">
        <v>11392.516043005449</v>
      </c>
      <c r="AY23" s="167">
        <v>11549.557928775761</v>
      </c>
      <c r="AZ23" s="167">
        <v>12504.071423427706</v>
      </c>
      <c r="BA23" s="167">
        <v>14115.195730569931</v>
      </c>
      <c r="BB23" s="167">
        <v>16337.807146033585</v>
      </c>
      <c r="BC23" s="167">
        <v>19452.418017775213</v>
      </c>
      <c r="BD23" s="167">
        <v>20000</v>
      </c>
      <c r="BE23" s="167">
        <v>20000</v>
      </c>
      <c r="BF23" s="167">
        <v>20000</v>
      </c>
      <c r="BG23" s="167">
        <v>20000</v>
      </c>
      <c r="BH23" s="167">
        <v>20000</v>
      </c>
      <c r="BI23" s="167">
        <v>20000</v>
      </c>
      <c r="BJ23" s="167">
        <v>20000</v>
      </c>
      <c r="BK23" s="167">
        <v>20000</v>
      </c>
      <c r="BL23" s="167">
        <v>20000</v>
      </c>
      <c r="BM23" s="167">
        <v>20000</v>
      </c>
      <c r="BN23" s="167">
        <v>20000</v>
      </c>
      <c r="BO23" s="167">
        <v>20000</v>
      </c>
      <c r="BP23" s="167">
        <v>20000</v>
      </c>
      <c r="BQ23" s="167">
        <v>20000</v>
      </c>
      <c r="BR23" s="167">
        <v>20000</v>
      </c>
      <c r="BS23" s="167">
        <v>19998.395326694023</v>
      </c>
      <c r="BT23" s="167">
        <v>17632.723013753937</v>
      </c>
      <c r="BU23" s="167">
        <v>15614.902204342405</v>
      </c>
      <c r="BV23" s="167">
        <v>14023.324047006154</v>
      </c>
      <c r="BW23" s="167">
        <v>12709.695218575869</v>
      </c>
      <c r="BX23" s="167">
        <v>11363.334426516267</v>
      </c>
      <c r="BY23" s="167">
        <v>10581.157003387296</v>
      </c>
      <c r="BZ23" s="167">
        <v>10615.714594184388</v>
      </c>
      <c r="CA23" s="167">
        <v>11291.670005696858</v>
      </c>
      <c r="CB23" s="167">
        <v>13473.974579209247</v>
      </c>
      <c r="CC23" s="167">
        <v>16799.88509250163</v>
      </c>
      <c r="CD23" s="167">
        <v>20000</v>
      </c>
      <c r="CE23" s="167">
        <v>20000</v>
      </c>
      <c r="CF23" s="167">
        <v>20000</v>
      </c>
      <c r="CG23" s="167">
        <v>20000</v>
      </c>
      <c r="CH23" s="167">
        <v>20000</v>
      </c>
      <c r="CI23" s="167">
        <v>20000</v>
      </c>
      <c r="CJ23" s="167">
        <v>20000</v>
      </c>
      <c r="CK23" s="167">
        <v>20000</v>
      </c>
      <c r="CL23" s="167">
        <v>20000</v>
      </c>
      <c r="CM23" s="167">
        <v>20000</v>
      </c>
      <c r="CN23" s="167">
        <v>20000</v>
      </c>
      <c r="CO23" s="167">
        <v>20000</v>
      </c>
      <c r="CP23" s="167">
        <v>20000</v>
      </c>
      <c r="CQ23" s="167">
        <v>20000</v>
      </c>
      <c r="CR23" s="167">
        <v>20000</v>
      </c>
      <c r="CS23" s="167">
        <v>19500.751633823827</v>
      </c>
      <c r="CT23" s="167">
        <v>17636.384167943244</v>
      </c>
      <c r="CU23" s="167">
        <v>16392.490391159834</v>
      </c>
      <c r="CV23" s="167">
        <v>14689.67176942339</v>
      </c>
      <c r="CW23" s="167">
        <v>13453.7047736192</v>
      </c>
      <c r="CX23" s="167">
        <v>13050.172026920685</v>
      </c>
      <c r="CY23" s="167">
        <v>13385.018235236077</v>
      </c>
      <c r="CZ23" s="167">
        <v>15030.660646627872</v>
      </c>
      <c r="DA23" s="167">
        <v>18111.376259971847</v>
      </c>
      <c r="DB23" s="167">
        <v>20000</v>
      </c>
      <c r="DC23" s="167">
        <v>20000</v>
      </c>
      <c r="DD23" s="167">
        <v>20000</v>
      </c>
      <c r="DE23" s="167">
        <v>20000</v>
      </c>
      <c r="DF23" s="167">
        <v>20000</v>
      </c>
      <c r="DG23" s="167">
        <v>20000</v>
      </c>
      <c r="DH23" s="167">
        <v>20000</v>
      </c>
      <c r="DI23" s="167">
        <v>20000</v>
      </c>
      <c r="DJ23" s="167">
        <v>20000</v>
      </c>
      <c r="DK23" s="167">
        <v>20000</v>
      </c>
      <c r="DL23" s="167">
        <v>20000</v>
      </c>
      <c r="DM23" s="167">
        <v>20000</v>
      </c>
      <c r="DN23" s="167">
        <v>20000</v>
      </c>
      <c r="DO23" s="167">
        <v>20000</v>
      </c>
      <c r="DP23" s="167">
        <v>20000</v>
      </c>
      <c r="DQ23" s="167">
        <v>18932.055947002154</v>
      </c>
      <c r="DR23" s="167">
        <v>17864.254768478917</v>
      </c>
      <c r="DS23" s="167">
        <v>15899.643696194726</v>
      </c>
      <c r="DT23" s="167">
        <v>14377.052484042637</v>
      </c>
      <c r="DU23" s="167">
        <v>13609.68653965538</v>
      </c>
      <c r="DV23" s="167">
        <v>13826.256666711428</v>
      </c>
      <c r="DW23" s="167">
        <v>14432.655733017353</v>
      </c>
      <c r="DX23" s="167">
        <v>16760.722142580151</v>
      </c>
      <c r="DY23" s="167">
        <v>20000</v>
      </c>
      <c r="DZ23" s="167">
        <v>20000</v>
      </c>
      <c r="EA23" s="167">
        <v>20000</v>
      </c>
      <c r="EB23" s="167">
        <v>20000</v>
      </c>
      <c r="EC23" s="167">
        <v>20000</v>
      </c>
      <c r="ED23" s="167">
        <v>20000</v>
      </c>
      <c r="EE23" s="167">
        <v>20000</v>
      </c>
      <c r="EF23" s="167">
        <v>20000</v>
      </c>
      <c r="EG23" s="167">
        <v>20000</v>
      </c>
      <c r="EH23" s="167">
        <v>20000</v>
      </c>
      <c r="EI23" s="167">
        <v>20000</v>
      </c>
      <c r="EJ23" s="167">
        <v>20000</v>
      </c>
      <c r="EK23" s="167">
        <v>20000</v>
      </c>
      <c r="EL23" s="167">
        <v>20000</v>
      </c>
      <c r="EM23" s="167">
        <v>20000</v>
      </c>
      <c r="EN23" s="167">
        <v>18163.990810628115</v>
      </c>
      <c r="EO23" s="167">
        <v>16010.35207504149</v>
      </c>
      <c r="EP23" t="str">
        <f t="shared" si="0"/>
        <v>1y 53d</v>
      </c>
    </row>
    <row r="24" spans="2:154" x14ac:dyDescent="0.25">
      <c r="B24" s="65">
        <v>21</v>
      </c>
      <c r="D24">
        <v>6151314.6080384906</v>
      </c>
      <c r="E24" s="12">
        <v>-148212813377.1337</v>
      </c>
      <c r="F24" s="12">
        <v>-12387514984.073704</v>
      </c>
      <c r="G24" s="12">
        <v>0</v>
      </c>
      <c r="H24" s="12">
        <v>24038703.700960159</v>
      </c>
      <c r="I24" s="12">
        <v>278809480128.97968</v>
      </c>
      <c r="J24" s="12">
        <v>257299620116.59915</v>
      </c>
      <c r="K24" s="12">
        <v>-19548279009.451859</v>
      </c>
      <c r="L24" s="12"/>
      <c r="M24" s="12"/>
      <c r="N24" s="12"/>
      <c r="O24" s="12"/>
      <c r="P24" s="12">
        <v>2713134.7949091685</v>
      </c>
      <c r="Q24" s="12">
        <v>162083492934.08777</v>
      </c>
      <c r="R24" s="12">
        <v>20222513237.153648</v>
      </c>
      <c r="S24" s="12">
        <v>0</v>
      </c>
      <c r="T24" s="12">
        <v>3531722.1561676059</v>
      </c>
      <c r="U24" s="12">
        <v>63353301715.542442</v>
      </c>
      <c r="V24" s="12">
        <v>263663666914.05707</v>
      </c>
      <c r="W24" s="12">
        <v>-147290656.89832976</v>
      </c>
      <c r="X24" s="12"/>
      <c r="Y24" s="12"/>
      <c r="Z24" s="12"/>
      <c r="AA24" s="12"/>
      <c r="AB24" s="12"/>
      <c r="AC24" s="12"/>
      <c r="AD24" s="12"/>
      <c r="AE24" s="12"/>
      <c r="AS24" s="6">
        <v>37317607.242083833</v>
      </c>
      <c r="AT24" s="167">
        <v>15767.145805503016</v>
      </c>
      <c r="AU24" s="167">
        <v>13945.285496302346</v>
      </c>
      <c r="AV24" s="167">
        <v>12736.723083293589</v>
      </c>
      <c r="AW24" s="167">
        <v>11915.282419701913</v>
      </c>
      <c r="AX24" s="167">
        <v>11398.183234153767</v>
      </c>
      <c r="AY24" s="167">
        <v>11540.458508874026</v>
      </c>
      <c r="AZ24" s="167">
        <v>12481.829271479241</v>
      </c>
      <c r="BA24" s="167">
        <v>14240.459404508691</v>
      </c>
      <c r="BB24" s="167">
        <v>16246.540609341517</v>
      </c>
      <c r="BC24" s="167">
        <v>19211.45973068025</v>
      </c>
      <c r="BD24" s="167">
        <v>20000</v>
      </c>
      <c r="BE24" s="167">
        <v>20000</v>
      </c>
      <c r="BF24" s="167">
        <v>20000</v>
      </c>
      <c r="BG24" s="167">
        <v>20000</v>
      </c>
      <c r="BH24" s="167">
        <v>20000</v>
      </c>
      <c r="BI24" s="167">
        <v>20000</v>
      </c>
      <c r="BJ24" s="167">
        <v>20000</v>
      </c>
      <c r="BK24" s="167">
        <v>20000</v>
      </c>
      <c r="BL24" s="167">
        <v>20000</v>
      </c>
      <c r="BM24" s="167">
        <v>20000</v>
      </c>
      <c r="BN24" s="167">
        <v>20000</v>
      </c>
      <c r="BO24" s="167">
        <v>20000</v>
      </c>
      <c r="BP24" s="167">
        <v>20000</v>
      </c>
      <c r="BQ24" s="167">
        <v>20000</v>
      </c>
      <c r="BR24" s="167">
        <v>20000</v>
      </c>
      <c r="BS24" s="167">
        <v>20000</v>
      </c>
      <c r="BT24" s="167">
        <v>17707.89969347095</v>
      </c>
      <c r="BU24" s="167">
        <v>15576.441614728219</v>
      </c>
      <c r="BV24" s="167">
        <v>13850.152723054105</v>
      </c>
      <c r="BW24" s="167">
        <v>12562.835303659323</v>
      </c>
      <c r="BX24" s="167">
        <v>11208.325182406521</v>
      </c>
      <c r="BY24" s="167">
        <v>10427.010450053607</v>
      </c>
      <c r="BZ24" s="167">
        <v>10459.29115544295</v>
      </c>
      <c r="CA24" s="167">
        <v>11169.648161309189</v>
      </c>
      <c r="CB24" s="167">
        <v>13323.491112958503</v>
      </c>
      <c r="CC24" s="167">
        <v>16593.60716008571</v>
      </c>
      <c r="CD24" s="167">
        <v>20000</v>
      </c>
      <c r="CE24" s="167">
        <v>20000</v>
      </c>
      <c r="CF24" s="167">
        <v>20000</v>
      </c>
      <c r="CG24" s="167">
        <v>20000</v>
      </c>
      <c r="CH24" s="167">
        <v>20000</v>
      </c>
      <c r="CI24" s="167">
        <v>20000</v>
      </c>
      <c r="CJ24" s="167">
        <v>20000</v>
      </c>
      <c r="CK24" s="167">
        <v>20000</v>
      </c>
      <c r="CL24" s="167">
        <v>20000</v>
      </c>
      <c r="CM24" s="167">
        <v>20000</v>
      </c>
      <c r="CN24" s="167">
        <v>20000</v>
      </c>
      <c r="CO24" s="167">
        <v>20000</v>
      </c>
      <c r="CP24" s="167">
        <v>20000</v>
      </c>
      <c r="CQ24" s="167">
        <v>20000</v>
      </c>
      <c r="CR24" s="167">
        <v>20000</v>
      </c>
      <c r="CS24" s="167">
        <v>18947.348547469985</v>
      </c>
      <c r="CT24" s="167">
        <v>17059.774877147542</v>
      </c>
      <c r="CU24" s="167">
        <v>15831.66783503463</v>
      </c>
      <c r="CV24" s="167">
        <v>14169.510083388972</v>
      </c>
      <c r="CW24" s="167">
        <v>12994.522387515583</v>
      </c>
      <c r="CX24" s="167">
        <v>12656.497838827685</v>
      </c>
      <c r="CY24" s="167">
        <v>13129.611660913972</v>
      </c>
      <c r="CZ24" s="167">
        <v>14746.481301637034</v>
      </c>
      <c r="DA24" s="167">
        <v>17819.254176794249</v>
      </c>
      <c r="DB24" s="167">
        <v>20000</v>
      </c>
      <c r="DC24" s="167">
        <v>20000</v>
      </c>
      <c r="DD24" s="167">
        <v>20000</v>
      </c>
      <c r="DE24" s="167">
        <v>20000</v>
      </c>
      <c r="DF24" s="167">
        <v>20000</v>
      </c>
      <c r="DG24" s="167">
        <v>20000</v>
      </c>
      <c r="DH24" s="167">
        <v>20000</v>
      </c>
      <c r="DI24" s="167">
        <v>20000</v>
      </c>
      <c r="DJ24" s="167">
        <v>20000</v>
      </c>
      <c r="DK24" s="167">
        <v>20000</v>
      </c>
      <c r="DL24" s="167">
        <v>20000</v>
      </c>
      <c r="DM24" s="167">
        <v>20000</v>
      </c>
      <c r="DN24" s="167">
        <v>20000</v>
      </c>
      <c r="DO24" s="167">
        <v>20000</v>
      </c>
      <c r="DP24" s="167">
        <v>20000</v>
      </c>
      <c r="DQ24" s="167">
        <v>18187.911507250479</v>
      </c>
      <c r="DR24" s="167">
        <v>17000.491472727263</v>
      </c>
      <c r="DS24" s="167">
        <v>15222.79448844356</v>
      </c>
      <c r="DT24" s="167">
        <v>13779.510016784083</v>
      </c>
      <c r="DU24" s="167">
        <v>13096.065726535409</v>
      </c>
      <c r="DV24" s="167">
        <v>13427.13542911836</v>
      </c>
      <c r="DW24" s="167">
        <v>14110.491421974422</v>
      </c>
      <c r="DX24" s="167">
        <v>16456.766922643717</v>
      </c>
      <c r="DY24" s="167">
        <v>19948.609440842683</v>
      </c>
      <c r="DZ24" s="167">
        <v>20000</v>
      </c>
      <c r="EA24" s="167">
        <v>20000</v>
      </c>
      <c r="EB24" s="167">
        <v>20000</v>
      </c>
      <c r="EC24" s="167">
        <v>20000</v>
      </c>
      <c r="ED24" s="167">
        <v>20000</v>
      </c>
      <c r="EE24" s="167">
        <v>20000</v>
      </c>
      <c r="EF24" s="167">
        <v>20000</v>
      </c>
      <c r="EG24" s="167">
        <v>20000</v>
      </c>
      <c r="EH24" s="167">
        <v>20000</v>
      </c>
      <c r="EI24" s="167">
        <v>20000</v>
      </c>
      <c r="EJ24" s="167">
        <v>20000</v>
      </c>
      <c r="EK24" s="167">
        <v>20000</v>
      </c>
      <c r="EL24" s="167">
        <v>20000</v>
      </c>
      <c r="EM24" s="167">
        <v>20000</v>
      </c>
      <c r="EN24" s="167">
        <v>18122.038224869804</v>
      </c>
      <c r="EO24" s="167">
        <v>15917.409373023613</v>
      </c>
      <c r="EP24" t="str">
        <f t="shared" si="0"/>
        <v>1y 67d</v>
      </c>
    </row>
    <row r="25" spans="2:154" x14ac:dyDescent="0.25">
      <c r="B25" s="65">
        <v>22</v>
      </c>
      <c r="D25">
        <v>6463669.1119737523</v>
      </c>
      <c r="E25" s="12">
        <v>-147289058146.50034</v>
      </c>
      <c r="F25" s="12">
        <v>-21691009447.417336</v>
      </c>
      <c r="G25" s="12">
        <v>0</v>
      </c>
      <c r="H25" s="12">
        <v>25245711.898667991</v>
      </c>
      <c r="I25" s="12">
        <v>262972586535.07721</v>
      </c>
      <c r="J25" s="12">
        <v>275251193497.81903</v>
      </c>
      <c r="K25" s="12">
        <v>-19968262757.322384</v>
      </c>
      <c r="L25" s="12"/>
      <c r="M25" s="12"/>
      <c r="N25" s="12"/>
      <c r="O25" s="12"/>
      <c r="P25" s="12">
        <v>2863424.9341380517</v>
      </c>
      <c r="Q25" s="12">
        <v>162537312495.12949</v>
      </c>
      <c r="R25" s="12">
        <v>25391727450.35704</v>
      </c>
      <c r="S25" s="12">
        <v>0</v>
      </c>
      <c r="T25" s="12">
        <v>3743099.3430193132</v>
      </c>
      <c r="U25" s="12">
        <v>59745812376.500282</v>
      </c>
      <c r="V25" s="12">
        <v>267047816422.01779</v>
      </c>
      <c r="W25" s="12">
        <v>-155805668.64587632</v>
      </c>
      <c r="X25" s="12"/>
      <c r="Y25" s="12"/>
      <c r="Z25" s="12"/>
      <c r="AA25" s="12"/>
      <c r="AB25" s="12"/>
      <c r="AC25" s="12"/>
      <c r="AD25" s="12"/>
      <c r="AE25" s="12"/>
      <c r="AS25" s="6">
        <v>38505269.784126699</v>
      </c>
      <c r="AT25" s="167">
        <v>15801.216164813581</v>
      </c>
      <c r="AU25" s="167">
        <v>13959.283737794434</v>
      </c>
      <c r="AV25" s="167">
        <v>12734.033282164301</v>
      </c>
      <c r="AW25" s="167">
        <v>11982.28160174092</v>
      </c>
      <c r="AX25" s="167">
        <v>11441.787891808674</v>
      </c>
      <c r="AY25" s="167">
        <v>11581.954866747703</v>
      </c>
      <c r="AZ25" s="167">
        <v>12492.65627180202</v>
      </c>
      <c r="BA25" s="167">
        <v>14189.905254790521</v>
      </c>
      <c r="BB25" s="167">
        <v>16187.468096684141</v>
      </c>
      <c r="BC25" s="167">
        <v>18984.379514640248</v>
      </c>
      <c r="BD25" s="167">
        <v>20000</v>
      </c>
      <c r="BE25" s="167">
        <v>20000</v>
      </c>
      <c r="BF25" s="167">
        <v>20000</v>
      </c>
      <c r="BG25" s="167">
        <v>20000</v>
      </c>
      <c r="BH25" s="167">
        <v>20000</v>
      </c>
      <c r="BI25" s="167">
        <v>20000</v>
      </c>
      <c r="BJ25" s="167">
        <v>20000</v>
      </c>
      <c r="BK25" s="167">
        <v>20000</v>
      </c>
      <c r="BL25" s="167">
        <v>20000</v>
      </c>
      <c r="BM25" s="167">
        <v>20000</v>
      </c>
      <c r="BN25" s="167">
        <v>20000</v>
      </c>
      <c r="BO25" s="167">
        <v>20000</v>
      </c>
      <c r="BP25" s="167">
        <v>20000</v>
      </c>
      <c r="BQ25" s="167">
        <v>20000</v>
      </c>
      <c r="BR25" s="167">
        <v>20000</v>
      </c>
      <c r="BS25" s="167">
        <v>20000</v>
      </c>
      <c r="BT25" s="167">
        <v>17859.608123650876</v>
      </c>
      <c r="BU25" s="167">
        <v>15613.668242186042</v>
      </c>
      <c r="BV25" s="167">
        <v>13766.678866062703</v>
      </c>
      <c r="BW25" s="167">
        <v>12470.213731795031</v>
      </c>
      <c r="BX25" s="167">
        <v>11098.989647798207</v>
      </c>
      <c r="BY25" s="167">
        <v>10309.592224320621</v>
      </c>
      <c r="BZ25" s="167">
        <v>10330.895535685479</v>
      </c>
      <c r="CA25" s="167">
        <v>11065.536699981045</v>
      </c>
      <c r="CB25" s="167">
        <v>13186.888065424993</v>
      </c>
      <c r="CC25" s="167">
        <v>16398.569360586338</v>
      </c>
      <c r="CD25" s="167">
        <v>20000</v>
      </c>
      <c r="CE25" s="167">
        <v>20000</v>
      </c>
      <c r="CF25" s="167">
        <v>20000</v>
      </c>
      <c r="CG25" s="167">
        <v>20000</v>
      </c>
      <c r="CH25" s="167">
        <v>20000</v>
      </c>
      <c r="CI25" s="167">
        <v>20000</v>
      </c>
      <c r="CJ25" s="167">
        <v>20000</v>
      </c>
      <c r="CK25" s="167">
        <v>20000</v>
      </c>
      <c r="CL25" s="167">
        <v>20000</v>
      </c>
      <c r="CM25" s="167">
        <v>20000</v>
      </c>
      <c r="CN25" s="167">
        <v>20000</v>
      </c>
      <c r="CO25" s="167">
        <v>20000</v>
      </c>
      <c r="CP25" s="167">
        <v>20000</v>
      </c>
      <c r="CQ25" s="167">
        <v>20000</v>
      </c>
      <c r="CR25" s="167">
        <v>20000</v>
      </c>
      <c r="CS25" s="167">
        <v>18469.663431940058</v>
      </c>
      <c r="CT25" s="167">
        <v>16552.90013380169</v>
      </c>
      <c r="CU25" s="167">
        <v>15335.02964127489</v>
      </c>
      <c r="CV25" s="167">
        <v>13706.777628977332</v>
      </c>
      <c r="CW25" s="167">
        <v>12585.005752062105</v>
      </c>
      <c r="CX25" s="167">
        <v>12304.69527457338</v>
      </c>
      <c r="CY25" s="167">
        <v>12923.169820313406</v>
      </c>
      <c r="CZ25" s="167">
        <v>14497.245822910452</v>
      </c>
      <c r="DA25" s="167">
        <v>17556.60364891162</v>
      </c>
      <c r="DB25" s="167">
        <v>20000</v>
      </c>
      <c r="DC25" s="167">
        <v>20000</v>
      </c>
      <c r="DD25" s="167">
        <v>20000</v>
      </c>
      <c r="DE25" s="167">
        <v>20000</v>
      </c>
      <c r="DF25" s="167">
        <v>20000</v>
      </c>
      <c r="DG25" s="167">
        <v>20000</v>
      </c>
      <c r="DH25" s="167">
        <v>20000</v>
      </c>
      <c r="DI25" s="167">
        <v>20000</v>
      </c>
      <c r="DJ25" s="167">
        <v>20000</v>
      </c>
      <c r="DK25" s="167">
        <v>20000</v>
      </c>
      <c r="DL25" s="167">
        <v>20000</v>
      </c>
      <c r="DM25" s="167">
        <v>20000</v>
      </c>
      <c r="DN25" s="167">
        <v>20000</v>
      </c>
      <c r="DO25" s="167">
        <v>20000</v>
      </c>
      <c r="DP25" s="167">
        <v>19535.36059566871</v>
      </c>
      <c r="DQ25" s="167">
        <v>17534.28189766275</v>
      </c>
      <c r="DR25" s="167">
        <v>16232.20470189194</v>
      </c>
      <c r="DS25" s="167">
        <v>14619.15645772608</v>
      </c>
      <c r="DT25" s="167">
        <v>13246.099710075678</v>
      </c>
      <c r="DU25" s="167">
        <v>12637.520458716121</v>
      </c>
      <c r="DV25" s="167">
        <v>13032.05061834717</v>
      </c>
      <c r="DW25" s="167">
        <v>13833.653101209984</v>
      </c>
      <c r="DX25" s="167">
        <v>16190.892701260829</v>
      </c>
      <c r="DY25" s="167">
        <v>19674.743496544921</v>
      </c>
      <c r="DZ25" s="167">
        <v>20000</v>
      </c>
      <c r="EA25" s="167">
        <v>20000</v>
      </c>
      <c r="EB25" s="167">
        <v>20000</v>
      </c>
      <c r="EC25" s="167">
        <v>20000</v>
      </c>
      <c r="ED25" s="167">
        <v>20000</v>
      </c>
      <c r="EE25" s="167">
        <v>20000</v>
      </c>
      <c r="EF25" s="167">
        <v>20000</v>
      </c>
      <c r="EG25" s="167">
        <v>20000</v>
      </c>
      <c r="EH25" s="167">
        <v>20000</v>
      </c>
      <c r="EI25" s="167">
        <v>20000</v>
      </c>
      <c r="EJ25" s="167">
        <v>20000</v>
      </c>
      <c r="EK25" s="167">
        <v>20000</v>
      </c>
      <c r="EL25" s="167">
        <v>20000</v>
      </c>
      <c r="EM25" s="167">
        <v>20000</v>
      </c>
      <c r="EN25" s="167">
        <v>18236.619048412871</v>
      </c>
      <c r="EO25" s="167">
        <v>15964.270271249106</v>
      </c>
      <c r="EP25" t="str">
        <f t="shared" si="0"/>
        <v>1y 80d</v>
      </c>
    </row>
    <row r="26" spans="2:154" x14ac:dyDescent="0.25">
      <c r="B26" s="65">
        <v>23</v>
      </c>
      <c r="D26">
        <v>6776652.1494542267</v>
      </c>
      <c r="E26" s="12">
        <v>-145784212302.45569</v>
      </c>
      <c r="F26" s="12">
        <v>-30927916104.096874</v>
      </c>
      <c r="G26" s="12">
        <v>0</v>
      </c>
      <c r="H26" s="12">
        <v>26461601.978570465</v>
      </c>
      <c r="I26" s="12">
        <v>246092002645.24197</v>
      </c>
      <c r="J26" s="12">
        <v>292364347251.56665</v>
      </c>
      <c r="K26" s="12">
        <v>-20320932096.411121</v>
      </c>
      <c r="L26" s="12"/>
      <c r="M26" s="12"/>
      <c r="N26" s="12"/>
      <c r="O26" s="12"/>
      <c r="P26" s="12">
        <v>3015922.3364560432</v>
      </c>
      <c r="Q26" s="12">
        <v>162886010027.11783</v>
      </c>
      <c r="R26" s="12">
        <v>30619392476.335266</v>
      </c>
      <c r="S26" s="12">
        <v>0</v>
      </c>
      <c r="T26" s="12">
        <v>3958370.5574279353</v>
      </c>
      <c r="U26" s="12">
        <v>56054107909.143814</v>
      </c>
      <c r="V26" s="12">
        <v>270414929912.05481</v>
      </c>
      <c r="W26" s="12">
        <v>-164431229.53278792</v>
      </c>
      <c r="X26" s="12"/>
      <c r="Y26" s="12"/>
      <c r="Z26" s="12"/>
      <c r="AA26" s="12"/>
      <c r="AB26" s="12"/>
      <c r="AC26" s="12"/>
      <c r="AD26" s="12"/>
      <c r="AE26" s="12"/>
      <c r="AG26" s="254" t="s">
        <v>61</v>
      </c>
      <c r="AH26" s="254"/>
      <c r="AI26" s="254"/>
      <c r="AJ26" s="254"/>
      <c r="AK26" s="254"/>
      <c r="AL26" s="254"/>
      <c r="AS26" s="6">
        <v>39692932.326169565</v>
      </c>
      <c r="AT26" s="167">
        <v>15967.104747990856</v>
      </c>
      <c r="AU26" s="167">
        <v>14086.398980762919</v>
      </c>
      <c r="AV26" s="167">
        <v>12825.039836221227</v>
      </c>
      <c r="AW26" s="167">
        <v>12091.050876780226</v>
      </c>
      <c r="AX26" s="167">
        <v>11547.549110370839</v>
      </c>
      <c r="AY26" s="167">
        <v>11667.226961827426</v>
      </c>
      <c r="AZ26" s="167">
        <v>12531.324592133949</v>
      </c>
      <c r="BA26" s="167">
        <v>14155.51221795932</v>
      </c>
      <c r="BB26" s="167">
        <v>16165.86972345418</v>
      </c>
      <c r="BC26" s="167">
        <v>18771.600808453972</v>
      </c>
      <c r="BD26" s="167">
        <v>20000</v>
      </c>
      <c r="BE26" s="167">
        <v>20000</v>
      </c>
      <c r="BF26" s="167">
        <v>20000</v>
      </c>
      <c r="BG26" s="167">
        <v>20000</v>
      </c>
      <c r="BH26" s="167">
        <v>20000</v>
      </c>
      <c r="BI26" s="167">
        <v>20000</v>
      </c>
      <c r="BJ26" s="167">
        <v>20000</v>
      </c>
      <c r="BK26" s="167">
        <v>20000</v>
      </c>
      <c r="BL26" s="167">
        <v>20000</v>
      </c>
      <c r="BM26" s="167">
        <v>20000</v>
      </c>
      <c r="BN26" s="167">
        <v>20000</v>
      </c>
      <c r="BO26" s="167">
        <v>20000</v>
      </c>
      <c r="BP26" s="167">
        <v>20000</v>
      </c>
      <c r="BQ26" s="167">
        <v>20000</v>
      </c>
      <c r="BR26" s="167">
        <v>20000</v>
      </c>
      <c r="BS26" s="167">
        <v>20000</v>
      </c>
      <c r="BT26" s="167">
        <v>18078.471684779492</v>
      </c>
      <c r="BU26" s="167">
        <v>15717.170879629752</v>
      </c>
      <c r="BV26" s="167">
        <v>13758.563325383675</v>
      </c>
      <c r="BW26" s="167">
        <v>12369.885243439947</v>
      </c>
      <c r="BX26" s="167">
        <v>11030.040693038763</v>
      </c>
      <c r="BY26" s="167">
        <v>10224.404371193521</v>
      </c>
      <c r="BZ26" s="167">
        <v>10226.806864638687</v>
      </c>
      <c r="CA26" s="167">
        <v>10976.496937124088</v>
      </c>
      <c r="CB26" s="167">
        <v>13062.192298673839</v>
      </c>
      <c r="CC26" s="167">
        <v>16213.248218672128</v>
      </c>
      <c r="CD26" s="167">
        <v>20000</v>
      </c>
      <c r="CE26" s="167">
        <v>20000</v>
      </c>
      <c r="CF26" s="167">
        <v>20000</v>
      </c>
      <c r="CG26" s="167">
        <v>20000</v>
      </c>
      <c r="CH26" s="167">
        <v>20000</v>
      </c>
      <c r="CI26" s="167">
        <v>20000</v>
      </c>
      <c r="CJ26" s="167">
        <v>20000</v>
      </c>
      <c r="CK26" s="167">
        <v>20000</v>
      </c>
      <c r="CL26" s="167">
        <v>20000</v>
      </c>
      <c r="CM26" s="167">
        <v>20000</v>
      </c>
      <c r="CN26" s="167">
        <v>20000</v>
      </c>
      <c r="CO26" s="167">
        <v>20000</v>
      </c>
      <c r="CP26" s="167">
        <v>20000</v>
      </c>
      <c r="CQ26" s="167">
        <v>20000</v>
      </c>
      <c r="CR26" s="167">
        <v>20000</v>
      </c>
      <c r="CS26" s="167">
        <v>18063.090844465707</v>
      </c>
      <c r="CT26" s="167">
        <v>16111.116423819873</v>
      </c>
      <c r="CU26" s="167">
        <v>14898.127193840191</v>
      </c>
      <c r="CV26" s="167">
        <v>13297.284307669832</v>
      </c>
      <c r="CW26" s="167">
        <v>12221.480072025162</v>
      </c>
      <c r="CX26" s="167">
        <v>11991.773409895573</v>
      </c>
      <c r="CY26" s="167">
        <v>12765.886400163261</v>
      </c>
      <c r="CZ26" s="167">
        <v>14280.886819649964</v>
      </c>
      <c r="DA26" s="167">
        <v>17320.585251836419</v>
      </c>
      <c r="DB26" s="167">
        <v>20000</v>
      </c>
      <c r="DC26" s="167">
        <v>20000</v>
      </c>
      <c r="DD26" s="167">
        <v>20000</v>
      </c>
      <c r="DE26" s="167">
        <v>20000</v>
      </c>
      <c r="DF26" s="167">
        <v>20000</v>
      </c>
      <c r="DG26" s="167">
        <v>20000</v>
      </c>
      <c r="DH26" s="167">
        <v>20000</v>
      </c>
      <c r="DI26" s="167">
        <v>20000</v>
      </c>
      <c r="DJ26" s="167">
        <v>20000</v>
      </c>
      <c r="DK26" s="167">
        <v>20000</v>
      </c>
      <c r="DL26" s="167">
        <v>20000</v>
      </c>
      <c r="DM26" s="167">
        <v>20000</v>
      </c>
      <c r="DN26" s="167">
        <v>20000</v>
      </c>
      <c r="DO26" s="167">
        <v>20000</v>
      </c>
      <c r="DP26" s="167">
        <v>19015.481576556631</v>
      </c>
      <c r="DQ26" s="167">
        <v>16967.15641745938</v>
      </c>
      <c r="DR26" s="167">
        <v>15564.723510385549</v>
      </c>
      <c r="DS26" s="167">
        <v>14085.014323175077</v>
      </c>
      <c r="DT26" s="167">
        <v>12773.670080368214</v>
      </c>
      <c r="DU26" s="167">
        <v>12231.682462008952</v>
      </c>
      <c r="DV26" s="167">
        <v>12683.149808099992</v>
      </c>
      <c r="DW26" s="167">
        <v>13599.858679516481</v>
      </c>
      <c r="DX26" s="167">
        <v>15959.352665388004</v>
      </c>
      <c r="DY26" s="167">
        <v>19427.489452821821</v>
      </c>
      <c r="DZ26" s="167">
        <v>20000</v>
      </c>
      <c r="EA26" s="167">
        <v>20000</v>
      </c>
      <c r="EB26" s="167">
        <v>20000</v>
      </c>
      <c r="EC26" s="167">
        <v>20000</v>
      </c>
      <c r="ED26" s="167">
        <v>20000</v>
      </c>
      <c r="EE26" s="167">
        <v>20000</v>
      </c>
      <c r="EF26" s="167">
        <v>20000</v>
      </c>
      <c r="EG26" s="167">
        <v>20000</v>
      </c>
      <c r="EH26" s="167">
        <v>20000</v>
      </c>
      <c r="EI26" s="167">
        <v>20000</v>
      </c>
      <c r="EJ26" s="167">
        <v>20000</v>
      </c>
      <c r="EK26" s="167">
        <v>20000</v>
      </c>
      <c r="EL26" s="167">
        <v>20000</v>
      </c>
      <c r="EM26" s="167">
        <v>20000</v>
      </c>
      <c r="EN26" s="167">
        <v>18500.947054393597</v>
      </c>
      <c r="EO26" s="167">
        <v>16143.853560366395</v>
      </c>
      <c r="EP26" t="str">
        <f t="shared" si="0"/>
        <v>1y 94d</v>
      </c>
    </row>
    <row r="27" spans="2:154" ht="15.75" thickBot="1" x14ac:dyDescent="0.3">
      <c r="B27" s="65">
        <v>24</v>
      </c>
      <c r="D27">
        <v>7090275.6142104659</v>
      </c>
      <c r="E27" s="12">
        <v>-143702383476.04099</v>
      </c>
      <c r="F27" s="12">
        <v>-40061964065.261749</v>
      </c>
      <c r="G27" s="12">
        <v>0</v>
      </c>
      <c r="H27" s="12">
        <v>27687524.794272956</v>
      </c>
      <c r="I27" s="12">
        <v>228200740430.95374</v>
      </c>
      <c r="J27" s="12">
        <v>308583380015.2843</v>
      </c>
      <c r="K27" s="12">
        <v>-20604552500.501995</v>
      </c>
      <c r="L27" s="12"/>
      <c r="M27" s="12"/>
      <c r="N27" s="12"/>
      <c r="O27" s="12"/>
      <c r="P27" s="12">
        <v>3170758.9857188812</v>
      </c>
      <c r="Q27" s="12">
        <v>163127155510.30768</v>
      </c>
      <c r="R27" s="12">
        <v>35906019972.137413</v>
      </c>
      <c r="S27" s="12">
        <v>0</v>
      </c>
      <c r="T27" s="12">
        <v>4177622.6489381096</v>
      </c>
      <c r="U27" s="12">
        <v>52277321474.411942</v>
      </c>
      <c r="V27" s="12">
        <v>273763187941.30225</v>
      </c>
      <c r="W27" s="12">
        <v>-173166967.03002021</v>
      </c>
      <c r="X27" s="12"/>
      <c r="Y27" s="12"/>
      <c r="Z27" s="12"/>
      <c r="AA27" s="12"/>
      <c r="AB27" s="12"/>
      <c r="AC27" s="12"/>
      <c r="AD27" s="12"/>
      <c r="AE27" s="12"/>
      <c r="AS27" s="6">
        <v>40880594.868212432</v>
      </c>
      <c r="AT27" s="167">
        <v>16256.779209748975</v>
      </c>
      <c r="AU27" s="167">
        <v>14318.5811818558</v>
      </c>
      <c r="AV27" s="167">
        <v>13002.400757972115</v>
      </c>
      <c r="AW27" s="167">
        <v>12272.842055452656</v>
      </c>
      <c r="AX27" s="167">
        <v>11708.198012150764</v>
      </c>
      <c r="AY27" s="167">
        <v>11790.342402209031</v>
      </c>
      <c r="AZ27" s="167">
        <v>12593.653611905178</v>
      </c>
      <c r="BA27" s="167">
        <v>14134.725721402507</v>
      </c>
      <c r="BB27" s="167">
        <v>16190.688990440365</v>
      </c>
      <c r="BC27" s="167">
        <v>18574.563361120054</v>
      </c>
      <c r="BD27" s="167">
        <v>20000</v>
      </c>
      <c r="BE27" s="167">
        <v>20000</v>
      </c>
      <c r="BF27" s="167">
        <v>20000</v>
      </c>
      <c r="BG27" s="167">
        <v>20000</v>
      </c>
      <c r="BH27" s="167">
        <v>20000</v>
      </c>
      <c r="BI27" s="167">
        <v>20000</v>
      </c>
      <c r="BJ27" s="167">
        <v>20000</v>
      </c>
      <c r="BK27" s="167">
        <v>20000</v>
      </c>
      <c r="BL27" s="167">
        <v>20000</v>
      </c>
      <c r="BM27" s="167">
        <v>20000</v>
      </c>
      <c r="BN27" s="167">
        <v>20000</v>
      </c>
      <c r="BO27" s="167">
        <v>20000</v>
      </c>
      <c r="BP27" s="167">
        <v>20000</v>
      </c>
      <c r="BQ27" s="167">
        <v>20000</v>
      </c>
      <c r="BR27" s="167">
        <v>20000</v>
      </c>
      <c r="BS27" s="167">
        <v>20000</v>
      </c>
      <c r="BT27" s="167">
        <v>18356.066443529959</v>
      </c>
      <c r="BU27" s="167">
        <v>15878.496725981488</v>
      </c>
      <c r="BV27" s="167">
        <v>13814.139256995355</v>
      </c>
      <c r="BW27" s="167">
        <v>12259.119419564733</v>
      </c>
      <c r="BX27" s="167">
        <v>10996.633335481472</v>
      </c>
      <c r="BY27" s="167">
        <v>10167.401601545875</v>
      </c>
      <c r="BZ27" s="167">
        <v>10143.776918052281</v>
      </c>
      <c r="CA27" s="167">
        <v>10900.350445356111</v>
      </c>
      <c r="CB27" s="167">
        <v>12947.915738880351</v>
      </c>
      <c r="CC27" s="167">
        <v>16036.461735958012</v>
      </c>
      <c r="CD27" s="167">
        <v>19988.042923212684</v>
      </c>
      <c r="CE27" s="167">
        <v>20000</v>
      </c>
      <c r="CF27" s="167">
        <v>20000</v>
      </c>
      <c r="CG27" s="167">
        <v>20000</v>
      </c>
      <c r="CH27" s="167">
        <v>20000</v>
      </c>
      <c r="CI27" s="167">
        <v>20000</v>
      </c>
      <c r="CJ27" s="167">
        <v>20000</v>
      </c>
      <c r="CK27" s="167">
        <v>20000</v>
      </c>
      <c r="CL27" s="167">
        <v>20000</v>
      </c>
      <c r="CM27" s="167">
        <v>20000</v>
      </c>
      <c r="CN27" s="167">
        <v>20000</v>
      </c>
      <c r="CO27" s="167">
        <v>20000</v>
      </c>
      <c r="CP27" s="167">
        <v>20000</v>
      </c>
      <c r="CQ27" s="167">
        <v>20000</v>
      </c>
      <c r="CR27" s="167">
        <v>20000</v>
      </c>
      <c r="CS27" s="167">
        <v>17723.680412218182</v>
      </c>
      <c r="CT27" s="167">
        <v>15730.503808033174</v>
      </c>
      <c r="CU27" s="167">
        <v>14517.21821462369</v>
      </c>
      <c r="CV27" s="167">
        <v>12937.520281973628</v>
      </c>
      <c r="CW27" s="167">
        <v>11900.875707528123</v>
      </c>
      <c r="CX27" s="167">
        <v>11715.208218313614</v>
      </c>
      <c r="CY27" s="167">
        <v>12635.349779818813</v>
      </c>
      <c r="CZ27" s="167">
        <v>14095.61756424703</v>
      </c>
      <c r="DA27" s="167">
        <v>17108.596107605579</v>
      </c>
      <c r="DB27" s="167">
        <v>20000</v>
      </c>
      <c r="DC27" s="167">
        <v>20000</v>
      </c>
      <c r="DD27" s="167">
        <v>20000</v>
      </c>
      <c r="DE27" s="167">
        <v>20000</v>
      </c>
      <c r="DF27" s="167">
        <v>20000</v>
      </c>
      <c r="DG27" s="167">
        <v>20000</v>
      </c>
      <c r="DH27" s="167">
        <v>20000</v>
      </c>
      <c r="DI27" s="167">
        <v>20000</v>
      </c>
      <c r="DJ27" s="167">
        <v>20000</v>
      </c>
      <c r="DK27" s="167">
        <v>20000</v>
      </c>
      <c r="DL27" s="167">
        <v>20000</v>
      </c>
      <c r="DM27" s="167">
        <v>20000</v>
      </c>
      <c r="DN27" s="167">
        <v>20000</v>
      </c>
      <c r="DO27" s="167">
        <v>20000</v>
      </c>
      <c r="DP27" s="167">
        <v>18585.234971655977</v>
      </c>
      <c r="DQ27" s="167">
        <v>16483.630006190029</v>
      </c>
      <c r="DR27" s="167">
        <v>14990.444838011044</v>
      </c>
      <c r="DS27" s="167">
        <v>13617.62136785779</v>
      </c>
      <c r="DT27" s="167">
        <v>12359.902434212716</v>
      </c>
      <c r="DU27" s="167">
        <v>11876.740800917536</v>
      </c>
      <c r="DV27" s="167">
        <v>12378.629514672475</v>
      </c>
      <c r="DW27" s="167">
        <v>13406.823639108414</v>
      </c>
      <c r="DX27" s="167">
        <v>15758.430853496247</v>
      </c>
      <c r="DY27" s="167">
        <v>19202.939699472401</v>
      </c>
      <c r="DZ27" s="167">
        <v>20000</v>
      </c>
      <c r="EA27" s="167">
        <v>20000</v>
      </c>
      <c r="EB27" s="167">
        <v>20000</v>
      </c>
      <c r="EC27" s="167">
        <v>20000</v>
      </c>
      <c r="ED27" s="167">
        <v>20000</v>
      </c>
      <c r="EE27" s="167">
        <v>20000</v>
      </c>
      <c r="EF27" s="167">
        <v>20000</v>
      </c>
      <c r="EG27" s="167">
        <v>20000</v>
      </c>
      <c r="EH27" s="167">
        <v>20000</v>
      </c>
      <c r="EI27" s="167">
        <v>20000</v>
      </c>
      <c r="EJ27" s="167">
        <v>20000</v>
      </c>
      <c r="EK27" s="167">
        <v>20000</v>
      </c>
      <c r="EL27" s="167">
        <v>20000</v>
      </c>
      <c r="EM27" s="167">
        <v>20000</v>
      </c>
      <c r="EN27" s="167">
        <v>18907.079046190061</v>
      </c>
      <c r="EO27" s="167">
        <v>16447.973574289143</v>
      </c>
      <c r="EP27" t="str">
        <f t="shared" si="0"/>
        <v>1y 108d</v>
      </c>
    </row>
    <row r="28" spans="2:154" x14ac:dyDescent="0.25">
      <c r="B28" s="65">
        <v>25</v>
      </c>
      <c r="D28">
        <v>7404548.9605348688</v>
      </c>
      <c r="E28" s="12">
        <v>-141049944143.87982</v>
      </c>
      <c r="F28" s="12">
        <v>-49057058141.906471</v>
      </c>
      <c r="G28" s="12">
        <v>0</v>
      </c>
      <c r="H28" s="12">
        <v>28924631.576881085</v>
      </c>
      <c r="I28" s="12">
        <v>209334379578.40918</v>
      </c>
      <c r="J28" s="12">
        <v>323852409103.88269</v>
      </c>
      <c r="K28" s="12">
        <v>-20817449601.605019</v>
      </c>
      <c r="L28" s="12"/>
      <c r="M28" s="12"/>
      <c r="N28" s="12"/>
      <c r="O28" s="12"/>
      <c r="P28" s="12">
        <v>3328071.8159101261</v>
      </c>
      <c r="Q28" s="12">
        <v>163258170698.26605</v>
      </c>
      <c r="R28" s="12">
        <v>41252097782.546928</v>
      </c>
      <c r="S28" s="12">
        <v>0</v>
      </c>
      <c r="T28" s="12">
        <v>4400943.6841283217</v>
      </c>
      <c r="U28" s="12">
        <v>48414618719.731392</v>
      </c>
      <c r="V28" s="12">
        <v>277090698259.52185</v>
      </c>
      <c r="W28" s="12">
        <v>-182012393.03775489</v>
      </c>
      <c r="X28" s="12"/>
      <c r="Y28" s="12"/>
      <c r="Z28" s="12"/>
      <c r="AA28" s="12"/>
      <c r="AB28" s="12"/>
      <c r="AC28" s="12"/>
      <c r="AD28" s="12"/>
      <c r="AE28" s="12"/>
      <c r="AG28" s="254" t="s">
        <v>63</v>
      </c>
      <c r="AH28" s="254"/>
      <c r="AI28" s="254"/>
      <c r="AJ28" s="254" t="s">
        <v>70</v>
      </c>
      <c r="AK28" s="254"/>
      <c r="AL28" s="254"/>
      <c r="AQ28" s="1"/>
      <c r="AS28" s="6">
        <v>42068257.410255298</v>
      </c>
      <c r="AT28" s="167">
        <v>16661.659855727961</v>
      </c>
      <c r="AU28" s="167">
        <v>14647.43249555217</v>
      </c>
      <c r="AV28" s="167">
        <v>13258.61262838931</v>
      </c>
      <c r="AW28" s="167">
        <v>12520.056705067054</v>
      </c>
      <c r="AX28" s="167">
        <v>11917.225794295215</v>
      </c>
      <c r="AY28" s="167">
        <v>11946.38388680181</v>
      </c>
      <c r="AZ28" s="167">
        <v>12676.450152040303</v>
      </c>
      <c r="BA28" s="167">
        <v>14125.767409836244</v>
      </c>
      <c r="BB28" s="167">
        <v>16261.658959011764</v>
      </c>
      <c r="BC28" s="167">
        <v>18395.837461920972</v>
      </c>
      <c r="BD28" s="167">
        <v>20000</v>
      </c>
      <c r="BE28" s="167">
        <v>20000</v>
      </c>
      <c r="BF28" s="167">
        <v>20000</v>
      </c>
      <c r="BG28" s="167">
        <v>20000</v>
      </c>
      <c r="BH28" s="167">
        <v>20000</v>
      </c>
      <c r="BI28" s="167">
        <v>20000</v>
      </c>
      <c r="BJ28" s="167">
        <v>20000</v>
      </c>
      <c r="BK28" s="167">
        <v>20000</v>
      </c>
      <c r="BL28" s="167">
        <v>20000</v>
      </c>
      <c r="BM28" s="167">
        <v>20000</v>
      </c>
      <c r="BN28" s="167">
        <v>20000</v>
      </c>
      <c r="BO28" s="167">
        <v>20000</v>
      </c>
      <c r="BP28" s="167">
        <v>20000</v>
      </c>
      <c r="BQ28" s="167">
        <v>20000</v>
      </c>
      <c r="BR28" s="167">
        <v>20000</v>
      </c>
      <c r="BS28" s="167">
        <v>20000</v>
      </c>
      <c r="BT28" s="167">
        <v>18684.994484001902</v>
      </c>
      <c r="BU28" s="167">
        <v>16090.173020631624</v>
      </c>
      <c r="BV28" s="167">
        <v>13923.766821346742</v>
      </c>
      <c r="BW28" s="167">
        <v>12235.255045671536</v>
      </c>
      <c r="BX28" s="167">
        <v>10994.406986311913</v>
      </c>
      <c r="BY28" s="167">
        <v>10135.00841173753</v>
      </c>
      <c r="BZ28" s="167">
        <v>10079.014500105723</v>
      </c>
      <c r="CA28" s="167">
        <v>10835.693329087579</v>
      </c>
      <c r="CB28" s="167">
        <v>12843.031487878276</v>
      </c>
      <c r="CC28" s="167">
        <v>15867.321899683635</v>
      </c>
      <c r="CD28" s="167">
        <v>19743.151412828425</v>
      </c>
      <c r="CE28" s="167">
        <v>20000</v>
      </c>
      <c r="CF28" s="167">
        <v>20000</v>
      </c>
      <c r="CG28" s="167">
        <v>20000</v>
      </c>
      <c r="CH28" s="167">
        <v>20000</v>
      </c>
      <c r="CI28" s="167">
        <v>20000</v>
      </c>
      <c r="CJ28" s="167">
        <v>20000</v>
      </c>
      <c r="CK28" s="167">
        <v>20000</v>
      </c>
      <c r="CL28" s="167">
        <v>20000</v>
      </c>
      <c r="CM28" s="167">
        <v>20000</v>
      </c>
      <c r="CN28" s="167">
        <v>20000</v>
      </c>
      <c r="CO28" s="167">
        <v>20000</v>
      </c>
      <c r="CP28" s="167">
        <v>20000</v>
      </c>
      <c r="CQ28" s="167">
        <v>20000</v>
      </c>
      <c r="CR28" s="167">
        <v>19863.72916032881</v>
      </c>
      <c r="CS28" s="167">
        <v>17447.985288252203</v>
      </c>
      <c r="CT28" s="167">
        <v>15407.725578713489</v>
      </c>
      <c r="CU28" s="167">
        <v>14124.293584171017</v>
      </c>
      <c r="CV28" s="167">
        <v>12624.533646701062</v>
      </c>
      <c r="CW28" s="167">
        <v>11620.609814886217</v>
      </c>
      <c r="CX28" s="167">
        <v>11472.832676280275</v>
      </c>
      <c r="CY28" s="167">
        <v>12424.077856340367</v>
      </c>
      <c r="CZ28" s="167">
        <v>13939.912325426081</v>
      </c>
      <c r="DA28" s="167">
        <v>16918.25619591655</v>
      </c>
      <c r="DB28" s="167">
        <v>20000</v>
      </c>
      <c r="DC28" s="167">
        <v>20000</v>
      </c>
      <c r="DD28" s="167">
        <v>20000</v>
      </c>
      <c r="DE28" s="167">
        <v>20000</v>
      </c>
      <c r="DF28" s="167">
        <v>20000</v>
      </c>
      <c r="DG28" s="167">
        <v>20000</v>
      </c>
      <c r="DH28" s="167">
        <v>20000</v>
      </c>
      <c r="DI28" s="167">
        <v>20000</v>
      </c>
      <c r="DJ28" s="167">
        <v>20000</v>
      </c>
      <c r="DK28" s="167">
        <v>20000</v>
      </c>
      <c r="DL28" s="167">
        <v>20000</v>
      </c>
      <c r="DM28" s="167">
        <v>20000</v>
      </c>
      <c r="DN28" s="167">
        <v>20000</v>
      </c>
      <c r="DO28" s="167">
        <v>20000</v>
      </c>
      <c r="DP28" s="167">
        <v>18243.036249589124</v>
      </c>
      <c r="DQ28" s="167">
        <v>16081.689859854117</v>
      </c>
      <c r="DR28" s="167">
        <v>14503.939183200739</v>
      </c>
      <c r="DS28" s="167">
        <v>13215.007919991571</v>
      </c>
      <c r="DT28" s="167">
        <v>12003.099224820447</v>
      </c>
      <c r="DU28" s="167">
        <v>11571.217358143667</v>
      </c>
      <c r="DV28" s="167">
        <v>12116.679533078555</v>
      </c>
      <c r="DW28" s="167">
        <v>13252.233989921024</v>
      </c>
      <c r="DX28" s="167">
        <v>15584.485519680493</v>
      </c>
      <c r="DY28" s="167">
        <v>18997.545877000819</v>
      </c>
      <c r="DZ28" s="167">
        <v>20000</v>
      </c>
      <c r="EA28" s="167">
        <v>20000</v>
      </c>
      <c r="EB28" s="167">
        <v>20000</v>
      </c>
      <c r="EC28" s="167">
        <v>20000</v>
      </c>
      <c r="ED28" s="167">
        <v>20000</v>
      </c>
      <c r="EE28" s="167">
        <v>20000</v>
      </c>
      <c r="EF28" s="167">
        <v>20000</v>
      </c>
      <c r="EG28" s="167">
        <v>20000</v>
      </c>
      <c r="EH28" s="167">
        <v>20000</v>
      </c>
      <c r="EI28" s="167">
        <v>20000</v>
      </c>
      <c r="EJ28" s="167">
        <v>20000</v>
      </c>
      <c r="EK28" s="167">
        <v>20000</v>
      </c>
      <c r="EL28" s="167">
        <v>20000</v>
      </c>
      <c r="EM28" s="167">
        <v>20000</v>
      </c>
      <c r="EN28" s="167">
        <v>19446.618034333806</v>
      </c>
      <c r="EO28" s="167">
        <v>16867.945181581432</v>
      </c>
      <c r="EP28" t="str">
        <f t="shared" si="0"/>
        <v>1y 122d</v>
      </c>
      <c r="ES28" s="296" t="s">
        <v>89</v>
      </c>
      <c r="ET28" s="297"/>
      <c r="EU28" s="298"/>
      <c r="EV28" s="299" t="s">
        <v>90</v>
      </c>
      <c r="EW28" s="300"/>
      <c r="EX28" s="301"/>
    </row>
    <row r="29" spans="2:154" x14ac:dyDescent="0.25">
      <c r="B29" s="65">
        <v>26</v>
      </c>
      <c r="D29">
        <v>7719479.1438436154</v>
      </c>
      <c r="E29" s="12">
        <v>-137835535346.02997</v>
      </c>
      <c r="F29" s="12">
        <v>-57877420854.748833</v>
      </c>
      <c r="G29" s="12">
        <v>0</v>
      </c>
      <c r="H29" s="12">
        <v>30174072.939798985</v>
      </c>
      <c r="I29" s="12">
        <v>189531308927.85941</v>
      </c>
      <c r="J29" s="12">
        <v>338115414366.85852</v>
      </c>
      <c r="K29" s="12">
        <v>-20958017708.673157</v>
      </c>
      <c r="L29" s="12"/>
      <c r="M29" s="12"/>
      <c r="N29" s="12"/>
      <c r="O29" s="12"/>
      <c r="P29" s="12">
        <v>3488003.029672828</v>
      </c>
      <c r="Q29" s="12">
        <v>163276324512.22385</v>
      </c>
      <c r="R29" s="12">
        <v>46658084017.366577</v>
      </c>
      <c r="S29" s="12">
        <v>0</v>
      </c>
      <c r="T29" s="12">
        <v>4628422.9021385787</v>
      </c>
      <c r="U29" s="12">
        <v>44465201245.629593</v>
      </c>
      <c r="V29" s="12">
        <v>280395494281.84735</v>
      </c>
      <c r="W29" s="12">
        <v>-190966897.28743047</v>
      </c>
      <c r="X29" s="12"/>
      <c r="Y29" s="12"/>
      <c r="Z29" s="12"/>
      <c r="AA29" s="12"/>
      <c r="AB29" s="12"/>
      <c r="AC29" s="12"/>
      <c r="AD29" s="12"/>
      <c r="AE29" s="12"/>
      <c r="AG29" s="65" t="s">
        <v>22</v>
      </c>
      <c r="AH29" s="65" t="s">
        <v>23</v>
      </c>
      <c r="AI29" s="65" t="s">
        <v>26</v>
      </c>
      <c r="AJ29" s="65" t="s">
        <v>22</v>
      </c>
      <c r="AK29" s="65" t="s">
        <v>23</v>
      </c>
      <c r="AL29" s="65" t="s">
        <v>26</v>
      </c>
      <c r="AS29" s="6">
        <v>43255919.952298164</v>
      </c>
      <c r="AT29" s="167">
        <v>17173.314827960723</v>
      </c>
      <c r="AU29" s="167">
        <v>15064.813101651313</v>
      </c>
      <c r="AV29" s="167">
        <v>13586.555139553398</v>
      </c>
      <c r="AW29" s="167">
        <v>12825.824933925081</v>
      </c>
      <c r="AX29" s="167">
        <v>12169.095019123703</v>
      </c>
      <c r="AY29" s="167">
        <v>12131.459295721101</v>
      </c>
      <c r="AZ29" s="167">
        <v>12777.40170388488</v>
      </c>
      <c r="BA29" s="167">
        <v>14127.509127657237</v>
      </c>
      <c r="BB29" s="167">
        <v>16154.843099874768</v>
      </c>
      <c r="BC29" s="167">
        <v>18239.346420798778</v>
      </c>
      <c r="BD29" s="167">
        <v>20000</v>
      </c>
      <c r="BE29" s="167">
        <v>20000</v>
      </c>
      <c r="BF29" s="167">
        <v>20000</v>
      </c>
      <c r="BG29" s="167">
        <v>20000</v>
      </c>
      <c r="BH29" s="167">
        <v>20000</v>
      </c>
      <c r="BI29" s="167">
        <v>20000</v>
      </c>
      <c r="BJ29" s="167">
        <v>20000</v>
      </c>
      <c r="BK29" s="167">
        <v>20000</v>
      </c>
      <c r="BL29" s="167">
        <v>20000</v>
      </c>
      <c r="BM29" s="167">
        <v>20000</v>
      </c>
      <c r="BN29" s="167">
        <v>20000</v>
      </c>
      <c r="BO29" s="167">
        <v>20000</v>
      </c>
      <c r="BP29" s="167">
        <v>20000</v>
      </c>
      <c r="BQ29" s="167">
        <v>20000</v>
      </c>
      <c r="BR29" s="167">
        <v>20000</v>
      </c>
      <c r="BS29" s="167">
        <v>20000</v>
      </c>
      <c r="BT29" s="167">
        <v>19058.886889955287</v>
      </c>
      <c r="BU29" s="167">
        <v>16345.70278074067</v>
      </c>
      <c r="BV29" s="167">
        <v>14079.436022592272</v>
      </c>
      <c r="BW29" s="167">
        <v>12278.171448392703</v>
      </c>
      <c r="BX29" s="167">
        <v>11019.508150370833</v>
      </c>
      <c r="BY29" s="167">
        <v>10124.117583097388</v>
      </c>
      <c r="BZ29" s="167">
        <v>10030.157792734404</v>
      </c>
      <c r="CA29" s="167">
        <v>10782.132865086331</v>
      </c>
      <c r="CB29" s="167">
        <v>12746.970223393229</v>
      </c>
      <c r="CC29" s="167">
        <v>15705.197923225802</v>
      </c>
      <c r="CD29" s="167">
        <v>19505.454795699581</v>
      </c>
      <c r="CE29" s="167">
        <v>20000</v>
      </c>
      <c r="CF29" s="167">
        <v>20000</v>
      </c>
      <c r="CG29" s="167">
        <v>20000</v>
      </c>
      <c r="CH29" s="167">
        <v>20000</v>
      </c>
      <c r="CI29" s="167">
        <v>20000</v>
      </c>
      <c r="CJ29" s="167">
        <v>20000</v>
      </c>
      <c r="CK29" s="167">
        <v>20000</v>
      </c>
      <c r="CL29" s="167">
        <v>20000</v>
      </c>
      <c r="CM29" s="167">
        <v>20000</v>
      </c>
      <c r="CN29" s="167">
        <v>20000</v>
      </c>
      <c r="CO29" s="167">
        <v>20000</v>
      </c>
      <c r="CP29" s="167">
        <v>20000</v>
      </c>
      <c r="CQ29" s="167">
        <v>20000</v>
      </c>
      <c r="CR29" s="167">
        <v>19734.077066994068</v>
      </c>
      <c r="CS29" s="167">
        <v>17232.925184019863</v>
      </c>
      <c r="CT29" s="167">
        <v>15139.897556514929</v>
      </c>
      <c r="CU29" s="167">
        <v>13786.028141138519</v>
      </c>
      <c r="CV29" s="167">
        <v>12355.81961380441</v>
      </c>
      <c r="CW29" s="167">
        <v>11378.47902803004</v>
      </c>
      <c r="CX29" s="167">
        <v>11262.741274003876</v>
      </c>
      <c r="CY29" s="167">
        <v>12240.158433041332</v>
      </c>
      <c r="CZ29" s="167">
        <v>13812.510703737342</v>
      </c>
      <c r="DA29" s="167">
        <v>16747.404304296961</v>
      </c>
      <c r="DB29" s="167">
        <v>20000</v>
      </c>
      <c r="DC29" s="167">
        <v>20000</v>
      </c>
      <c r="DD29" s="167">
        <v>20000</v>
      </c>
      <c r="DE29" s="167">
        <v>20000</v>
      </c>
      <c r="DF29" s="167">
        <v>20000</v>
      </c>
      <c r="DG29" s="167">
        <v>20000</v>
      </c>
      <c r="DH29" s="167">
        <v>20000</v>
      </c>
      <c r="DI29" s="167">
        <v>20000</v>
      </c>
      <c r="DJ29" s="167">
        <v>20000</v>
      </c>
      <c r="DK29" s="167">
        <v>20000</v>
      </c>
      <c r="DL29" s="167">
        <v>20000</v>
      </c>
      <c r="DM29" s="167">
        <v>20000</v>
      </c>
      <c r="DN29" s="167">
        <v>20000</v>
      </c>
      <c r="DO29" s="167">
        <v>20000</v>
      </c>
      <c r="DP29" s="167">
        <v>17987.820381989208</v>
      </c>
      <c r="DQ29" s="167">
        <v>15759.990067419572</v>
      </c>
      <c r="DR29" s="167">
        <v>14101.328641738877</v>
      </c>
      <c r="DS29" s="167">
        <v>12875.775133864225</v>
      </c>
      <c r="DT29" s="167">
        <v>11701.964148797681</v>
      </c>
      <c r="DU29" s="167">
        <v>11313.755381142388</v>
      </c>
      <c r="DV29" s="167">
        <v>11895.348245161116</v>
      </c>
      <c r="DW29" s="167">
        <v>13133.79143839425</v>
      </c>
      <c r="DX29" s="167">
        <v>15434.004349967006</v>
      </c>
      <c r="DY29" s="167">
        <v>18808.132923994453</v>
      </c>
      <c r="DZ29" s="167">
        <v>20000</v>
      </c>
      <c r="EA29" s="167">
        <v>20000</v>
      </c>
      <c r="EB29" s="167">
        <v>20000</v>
      </c>
      <c r="EC29" s="167">
        <v>20000</v>
      </c>
      <c r="ED29" s="167">
        <v>20000</v>
      </c>
      <c r="EE29" s="167">
        <v>20000</v>
      </c>
      <c r="EF29" s="167">
        <v>20000</v>
      </c>
      <c r="EG29" s="167">
        <v>20000</v>
      </c>
      <c r="EH29" s="167">
        <v>20000</v>
      </c>
      <c r="EI29" s="167">
        <v>20000</v>
      </c>
      <c r="EJ29" s="167">
        <v>20000</v>
      </c>
      <c r="EK29" s="167">
        <v>20000</v>
      </c>
      <c r="EL29" s="167">
        <v>20000</v>
      </c>
      <c r="EM29" s="167">
        <v>20000</v>
      </c>
      <c r="EN29" s="167">
        <v>20000</v>
      </c>
      <c r="EO29" s="167">
        <v>17395.288511729974</v>
      </c>
      <c r="EP29" t="str">
        <f t="shared" si="0"/>
        <v>1y 135d</v>
      </c>
      <c r="ES29" s="278"/>
      <c r="ET29" s="279"/>
      <c r="EU29" s="280"/>
      <c r="EV29" s="302"/>
      <c r="EW29" s="303"/>
      <c r="EX29" s="304"/>
    </row>
    <row r="30" spans="2:154" x14ac:dyDescent="0.25">
      <c r="B30" s="65">
        <v>27</v>
      </c>
      <c r="D30">
        <v>8035070.569913323</v>
      </c>
      <c r="E30" s="12">
        <v>-134070061414.18352</v>
      </c>
      <c r="F30" s="12">
        <v>-66487736806.692337</v>
      </c>
      <c r="G30" s="12">
        <v>0</v>
      </c>
      <c r="H30" s="12">
        <v>31436997.531435356</v>
      </c>
      <c r="I30" s="12">
        <v>168832981447.07553</v>
      </c>
      <c r="J30" s="12">
        <v>351316315357.72711</v>
      </c>
      <c r="K30" s="12">
        <v>-21024730253.718987</v>
      </c>
      <c r="L30" s="12"/>
      <c r="M30" s="12"/>
      <c r="N30" s="12"/>
      <c r="O30" s="12"/>
      <c r="P30" s="12">
        <v>3650700.4312920454</v>
      </c>
      <c r="Q30" s="12">
        <v>163178728334.45557</v>
      </c>
      <c r="R30" s="12">
        <v>52124400636.080811</v>
      </c>
      <c r="S30" s="12">
        <v>0</v>
      </c>
      <c r="T30" s="12">
        <v>4860150.6642196393</v>
      </c>
      <c r="U30" s="12">
        <v>40428310245.881752</v>
      </c>
      <c r="V30" s="12">
        <v>283675533628.1239</v>
      </c>
      <c r="W30" s="12">
        <v>-200029740.54490525</v>
      </c>
      <c r="X30" s="12"/>
      <c r="Y30" s="12"/>
      <c r="Z30" s="12"/>
      <c r="AA30" s="12"/>
      <c r="AB30" s="12"/>
      <c r="AC30" s="12"/>
      <c r="AD30" s="12"/>
      <c r="AE30" s="12"/>
      <c r="AG30" s="27">
        <v>0</v>
      </c>
      <c r="AH30" s="27">
        <v>0</v>
      </c>
      <c r="AI30" s="27">
        <v>0</v>
      </c>
      <c r="AJ30" s="27">
        <v>0</v>
      </c>
      <c r="AK30" s="64">
        <v>0</v>
      </c>
      <c r="AL30" s="64">
        <v>0</v>
      </c>
      <c r="AS30" s="6">
        <v>44443582.494341031</v>
      </c>
      <c r="AT30" s="167">
        <v>17784.063699655773</v>
      </c>
      <c r="AU30" s="167">
        <v>15563.353306924291</v>
      </c>
      <c r="AV30" s="167">
        <v>13979.894976717955</v>
      </c>
      <c r="AW30" s="167">
        <v>13184.26272243345</v>
      </c>
      <c r="AX30" s="167">
        <v>12459.31170730052</v>
      </c>
      <c r="AY30" s="167">
        <v>12342.629554035992</v>
      </c>
      <c r="AZ30" s="167">
        <v>12894.948204898717</v>
      </c>
      <c r="BA30" s="167">
        <v>14139.354721724954</v>
      </c>
      <c r="BB30" s="167">
        <v>16054.467632255104</v>
      </c>
      <c r="BC30" s="167">
        <v>18110.74445534117</v>
      </c>
      <c r="BD30" s="167">
        <v>20000</v>
      </c>
      <c r="BE30" s="167">
        <v>20000</v>
      </c>
      <c r="BF30" s="167">
        <v>20000</v>
      </c>
      <c r="BG30" s="167">
        <v>20000</v>
      </c>
      <c r="BH30" s="167">
        <v>20000</v>
      </c>
      <c r="BI30" s="167">
        <v>20000</v>
      </c>
      <c r="BJ30" s="167">
        <v>20000</v>
      </c>
      <c r="BK30" s="167">
        <v>20000</v>
      </c>
      <c r="BL30" s="167">
        <v>20000</v>
      </c>
      <c r="BM30" s="167">
        <v>20000</v>
      </c>
      <c r="BN30" s="167">
        <v>20000</v>
      </c>
      <c r="BO30" s="167">
        <v>20000</v>
      </c>
      <c r="BP30" s="167">
        <v>20000</v>
      </c>
      <c r="BQ30" s="167">
        <v>20000</v>
      </c>
      <c r="BR30" s="167">
        <v>20000</v>
      </c>
      <c r="BS30" s="167">
        <v>20000</v>
      </c>
      <c r="BT30" s="167">
        <v>19472.351089258031</v>
      </c>
      <c r="BU30" s="167">
        <v>16639.525903652186</v>
      </c>
      <c r="BV30" s="167">
        <v>14274.494642285212</v>
      </c>
      <c r="BW30" s="167">
        <v>12373.52143505928</v>
      </c>
      <c r="BX30" s="167">
        <v>11068.591025794909</v>
      </c>
      <c r="BY30" s="167">
        <v>10132.072479466973</v>
      </c>
      <c r="BZ30" s="167">
        <v>9995.237335785132</v>
      </c>
      <c r="CA30" s="167">
        <v>10740.768238433875</v>
      </c>
      <c r="CB30" s="167">
        <v>12659.644954613706</v>
      </c>
      <c r="CC30" s="167">
        <v>15549.68994882749</v>
      </c>
      <c r="CD30" s="167">
        <v>19274.444397125066</v>
      </c>
      <c r="CE30" s="167">
        <v>20000</v>
      </c>
      <c r="CF30" s="167">
        <v>20000</v>
      </c>
      <c r="CG30" s="167">
        <v>20000</v>
      </c>
      <c r="CH30" s="167">
        <v>20000</v>
      </c>
      <c r="CI30" s="167">
        <v>20000</v>
      </c>
      <c r="CJ30" s="167">
        <v>20000</v>
      </c>
      <c r="CK30" s="167">
        <v>20000</v>
      </c>
      <c r="CL30" s="167">
        <v>20000</v>
      </c>
      <c r="CM30" s="167">
        <v>20000</v>
      </c>
      <c r="CN30" s="167">
        <v>20000</v>
      </c>
      <c r="CO30" s="167">
        <v>20000</v>
      </c>
      <c r="CP30" s="167">
        <v>20000</v>
      </c>
      <c r="CQ30" s="167">
        <v>20000</v>
      </c>
      <c r="CR30" s="167">
        <v>19667.090039086015</v>
      </c>
      <c r="CS30" s="167">
        <v>17075.66577197866</v>
      </c>
      <c r="CT30" s="167">
        <v>14924.470434233655</v>
      </c>
      <c r="CU30" s="167">
        <v>13501.108410066536</v>
      </c>
      <c r="CV30" s="167">
        <v>12129.218459058389</v>
      </c>
      <c r="CW30" s="167">
        <v>11172.563799613261</v>
      </c>
      <c r="CX30" s="167">
        <v>11083.207170653523</v>
      </c>
      <c r="CY30" s="167">
        <v>12081.811964738627</v>
      </c>
      <c r="CZ30" s="167">
        <v>13712.448294774355</v>
      </c>
      <c r="DA30" s="167">
        <v>16594.100010649403</v>
      </c>
      <c r="DB30" s="167">
        <v>20000</v>
      </c>
      <c r="DC30" s="167">
        <v>20000</v>
      </c>
      <c r="DD30" s="167">
        <v>20000</v>
      </c>
      <c r="DE30" s="167">
        <v>20000</v>
      </c>
      <c r="DF30" s="167">
        <v>20000</v>
      </c>
      <c r="DG30" s="167">
        <v>20000</v>
      </c>
      <c r="DH30" s="167">
        <v>20000</v>
      </c>
      <c r="DI30" s="167">
        <v>20000</v>
      </c>
      <c r="DJ30" s="167">
        <v>20000</v>
      </c>
      <c r="DK30" s="167">
        <v>20000</v>
      </c>
      <c r="DL30" s="167">
        <v>20000</v>
      </c>
      <c r="DM30" s="167">
        <v>20000</v>
      </c>
      <c r="DN30" s="167">
        <v>20000</v>
      </c>
      <c r="DO30" s="167">
        <v>20000</v>
      </c>
      <c r="DP30" s="167">
        <v>17818.794024791921</v>
      </c>
      <c r="DQ30" s="167">
        <v>15517.613215703161</v>
      </c>
      <c r="DR30" s="167">
        <v>13779.793997379969</v>
      </c>
      <c r="DS30" s="167">
        <v>12598.875877394596</v>
      </c>
      <c r="DT30" s="167">
        <v>11455.383237892829</v>
      </c>
      <c r="DU30" s="167">
        <v>11102.936578483761</v>
      </c>
      <c r="DV30" s="167">
        <v>11712.468449068721</v>
      </c>
      <c r="DW30" s="167">
        <v>13049.332841251347</v>
      </c>
      <c r="DX30" s="167">
        <v>15303.664238591395</v>
      </c>
      <c r="DY30" s="167">
        <v>18631.903703746972</v>
      </c>
      <c r="DZ30" s="167">
        <v>20000</v>
      </c>
      <c r="EA30" s="167">
        <v>20000</v>
      </c>
      <c r="EB30" s="167">
        <v>20000</v>
      </c>
      <c r="EC30" s="167">
        <v>20000</v>
      </c>
      <c r="ED30" s="167">
        <v>20000</v>
      </c>
      <c r="EE30" s="167">
        <v>20000</v>
      </c>
      <c r="EF30" s="167">
        <v>20000</v>
      </c>
      <c r="EG30" s="167">
        <v>20000</v>
      </c>
      <c r="EH30" s="167">
        <v>20000</v>
      </c>
      <c r="EI30" s="167">
        <v>20000</v>
      </c>
      <c r="EJ30" s="167">
        <v>20000</v>
      </c>
      <c r="EK30" s="167">
        <v>20000</v>
      </c>
      <c r="EL30" s="167">
        <v>20000</v>
      </c>
      <c r="EM30" s="167">
        <v>20000</v>
      </c>
      <c r="EN30" s="167">
        <v>20000</v>
      </c>
      <c r="EO30" s="167">
        <v>18022.325257716384</v>
      </c>
      <c r="EP30" t="str">
        <f t="shared" si="0"/>
        <v>1y 149d</v>
      </c>
      <c r="ES30" s="278"/>
      <c r="ET30" s="279"/>
      <c r="EU30" s="280"/>
      <c r="EV30" s="302"/>
      <c r="EW30" s="303"/>
      <c r="EX30" s="304"/>
    </row>
    <row r="31" spans="2:154" x14ac:dyDescent="0.25">
      <c r="B31" s="65">
        <v>28</v>
      </c>
      <c r="D31">
        <v>8351325.0533468453</v>
      </c>
      <c r="E31" s="12">
        <v>-129766675277.32092</v>
      </c>
      <c r="F31" s="12">
        <v>-74853298840.635712</v>
      </c>
      <c r="G31" s="12">
        <v>0</v>
      </c>
      <c r="H31" s="12">
        <v>32714550.293314151</v>
      </c>
      <c r="I31" s="12">
        <v>147284180085.39566</v>
      </c>
      <c r="J31" s="12">
        <v>363399084950.53693</v>
      </c>
      <c r="K31" s="12">
        <v>-21016152241.664448</v>
      </c>
      <c r="L31" s="12"/>
      <c r="M31" s="12"/>
      <c r="N31" s="12"/>
      <c r="O31" s="12"/>
      <c r="P31" s="12">
        <v>3816317.7748247911</v>
      </c>
      <c r="Q31" s="12">
        <v>162962331218.24185</v>
      </c>
      <c r="R31" s="12">
        <v>57651426494.52858</v>
      </c>
      <c r="S31" s="12">
        <v>0</v>
      </c>
      <c r="T31" s="12">
        <v>5096218.3969377344</v>
      </c>
      <c r="U31" s="12">
        <v>36303230324.016571</v>
      </c>
      <c r="V31" s="12">
        <v>286928696739.83575</v>
      </c>
      <c r="W31" s="12">
        <v>-209200047.62061945</v>
      </c>
      <c r="X31" s="12"/>
      <c r="Y31" s="12"/>
      <c r="Z31" s="12"/>
      <c r="AA31" s="12"/>
      <c r="AB31" s="12"/>
      <c r="AC31" s="12"/>
      <c r="AD31" s="12"/>
      <c r="AE31" s="12"/>
      <c r="AG31" s="27">
        <v>10575425089.701818</v>
      </c>
      <c r="AH31" s="27">
        <v>-8550791727.1340122</v>
      </c>
      <c r="AI31" s="27">
        <v>0</v>
      </c>
      <c r="AJ31">
        <v>11024240166.2528</v>
      </c>
      <c r="AK31" s="64">
        <v>7963779488.7538528</v>
      </c>
      <c r="AL31" s="64">
        <v>0</v>
      </c>
      <c r="AS31" s="6">
        <v>45631245.036383897</v>
      </c>
      <c r="AT31" s="167">
        <v>18487.372068265926</v>
      </c>
      <c r="AU31" s="167">
        <v>16136.775603234819</v>
      </c>
      <c r="AV31" s="167">
        <v>14433.303312285563</v>
      </c>
      <c r="AW31" s="167">
        <v>13590.5695057059</v>
      </c>
      <c r="AX31" s="167">
        <v>12784.38516319076</v>
      </c>
      <c r="AY31" s="167">
        <v>12577.789555428091</v>
      </c>
      <c r="AZ31" s="167">
        <v>13028.15088243605</v>
      </c>
      <c r="BA31" s="167">
        <v>14161.134351395685</v>
      </c>
      <c r="BB31" s="167">
        <v>15960.738823787871</v>
      </c>
      <c r="BC31" s="167">
        <v>18018.02792226772</v>
      </c>
      <c r="BD31" s="167">
        <v>20000</v>
      </c>
      <c r="BE31" s="167">
        <v>20000</v>
      </c>
      <c r="BF31" s="167">
        <v>20000</v>
      </c>
      <c r="BG31" s="167">
        <v>20000</v>
      </c>
      <c r="BH31" s="167">
        <v>20000</v>
      </c>
      <c r="BI31" s="167">
        <v>20000</v>
      </c>
      <c r="BJ31" s="167">
        <v>20000</v>
      </c>
      <c r="BK31" s="167">
        <v>20000</v>
      </c>
      <c r="BL31" s="167">
        <v>20000</v>
      </c>
      <c r="BM31" s="167">
        <v>20000</v>
      </c>
      <c r="BN31" s="167">
        <v>20000</v>
      </c>
      <c r="BO31" s="167">
        <v>20000</v>
      </c>
      <c r="BP31" s="167">
        <v>20000</v>
      </c>
      <c r="BQ31" s="167">
        <v>20000</v>
      </c>
      <c r="BR31" s="167">
        <v>20000</v>
      </c>
      <c r="BS31" s="167">
        <v>20000</v>
      </c>
      <c r="BT31" s="167">
        <v>19920.882542911859</v>
      </c>
      <c r="BU31" s="167">
        <v>16966.950711205536</v>
      </c>
      <c r="BV31" s="167">
        <v>14503.43987979373</v>
      </c>
      <c r="BW31" s="167">
        <v>12510.81251415869</v>
      </c>
      <c r="BX31" s="167">
        <v>11068.328897151283</v>
      </c>
      <c r="BY31" s="167">
        <v>10156.635773234295</v>
      </c>
      <c r="BZ31" s="167">
        <v>9972.6337676018866</v>
      </c>
      <c r="CA31" s="167">
        <v>10715.158134298015</v>
      </c>
      <c r="CB31" s="167">
        <v>12581.515830208538</v>
      </c>
      <c r="CC31" s="167">
        <v>15400.61322273533</v>
      </c>
      <c r="CD31" s="167">
        <v>19049.744095092195</v>
      </c>
      <c r="CE31" s="167">
        <v>20000</v>
      </c>
      <c r="CF31" s="167">
        <v>20000</v>
      </c>
      <c r="CG31" s="167">
        <v>20000</v>
      </c>
      <c r="CH31" s="167">
        <v>20000</v>
      </c>
      <c r="CI31" s="167">
        <v>20000</v>
      </c>
      <c r="CJ31" s="167">
        <v>20000</v>
      </c>
      <c r="CK31" s="167">
        <v>20000</v>
      </c>
      <c r="CL31" s="167">
        <v>20000</v>
      </c>
      <c r="CM31" s="167">
        <v>20000</v>
      </c>
      <c r="CN31" s="167">
        <v>20000</v>
      </c>
      <c r="CO31" s="167">
        <v>20000</v>
      </c>
      <c r="CP31" s="167">
        <v>20000</v>
      </c>
      <c r="CQ31" s="167">
        <v>20000</v>
      </c>
      <c r="CR31" s="167">
        <v>19659.478118522533</v>
      </c>
      <c r="CS31" s="167">
        <v>16973.521686105589</v>
      </c>
      <c r="CT31" s="167">
        <v>14759.122846589535</v>
      </c>
      <c r="CU31" s="167">
        <v>13266.124704949827</v>
      </c>
      <c r="CV31" s="167">
        <v>11942.821544523998</v>
      </c>
      <c r="CW31" s="167">
        <v>11001.142177804586</v>
      </c>
      <c r="CX31" s="167">
        <v>10932.61577390676</v>
      </c>
      <c r="CY31" s="167">
        <v>11947.311082588049</v>
      </c>
      <c r="CZ31" s="167">
        <v>13639.112760678845</v>
      </c>
      <c r="DA31" s="167">
        <v>16456.628991911472</v>
      </c>
      <c r="DB31" s="167">
        <v>20000</v>
      </c>
      <c r="DC31" s="167">
        <v>20000</v>
      </c>
      <c r="DD31" s="167">
        <v>20000</v>
      </c>
      <c r="DE31" s="167">
        <v>20000</v>
      </c>
      <c r="DF31" s="167">
        <v>20000</v>
      </c>
      <c r="DG31" s="167">
        <v>20000</v>
      </c>
      <c r="DH31" s="167">
        <v>20000</v>
      </c>
      <c r="DI31" s="167">
        <v>20000</v>
      </c>
      <c r="DJ31" s="167">
        <v>20000</v>
      </c>
      <c r="DK31" s="167">
        <v>20000</v>
      </c>
      <c r="DL31" s="167">
        <v>20000</v>
      </c>
      <c r="DM31" s="167">
        <v>20000</v>
      </c>
      <c r="DN31" s="167">
        <v>20000</v>
      </c>
      <c r="DO31" s="167">
        <v>20000</v>
      </c>
      <c r="DP31" s="167">
        <v>17735.202529333455</v>
      </c>
      <c r="DQ31" s="167">
        <v>15353.829925009537</v>
      </c>
      <c r="DR31" s="167">
        <v>13537.164833390916</v>
      </c>
      <c r="DS31" s="167">
        <v>12383.393570092108</v>
      </c>
      <c r="DT31" s="167">
        <v>11262.223041225734</v>
      </c>
      <c r="DU31" s="167">
        <v>10937.146142998487</v>
      </c>
      <c r="DV31" s="167">
        <v>11565.648921616619</v>
      </c>
      <c r="DW31" s="167">
        <v>12997.028334478007</v>
      </c>
      <c r="DX31" s="167">
        <v>15190.379203306373</v>
      </c>
      <c r="DY31" s="167">
        <v>18466.43509706702</v>
      </c>
      <c r="DZ31" s="167">
        <v>20000</v>
      </c>
      <c r="EA31" s="167">
        <v>20000</v>
      </c>
      <c r="EB31" s="167">
        <v>20000</v>
      </c>
      <c r="EC31" s="167">
        <v>20000</v>
      </c>
      <c r="ED31" s="167">
        <v>20000</v>
      </c>
      <c r="EE31" s="167">
        <v>20000</v>
      </c>
      <c r="EF31" s="167">
        <v>20000</v>
      </c>
      <c r="EG31" s="167">
        <v>20000</v>
      </c>
      <c r="EH31" s="167">
        <v>20000</v>
      </c>
      <c r="EI31" s="167">
        <v>20000</v>
      </c>
      <c r="EJ31" s="167">
        <v>20000</v>
      </c>
      <c r="EK31" s="167">
        <v>20000</v>
      </c>
      <c r="EL31" s="167">
        <v>20000</v>
      </c>
      <c r="EM31" s="167">
        <v>20000</v>
      </c>
      <c r="EN31" s="167">
        <v>20000</v>
      </c>
      <c r="EO31" s="167">
        <v>18742.557040463536</v>
      </c>
      <c r="EP31" t="str">
        <f t="shared" si="0"/>
        <v>1y 163d</v>
      </c>
      <c r="ES31" s="278">
        <f>MIN(AT3:EO102) - 0.1</f>
        <v>9960.9339515411575</v>
      </c>
      <c r="ET31" s="279"/>
      <c r="EU31" s="280"/>
      <c r="EV31" s="284">
        <v>0.05</v>
      </c>
      <c r="EW31" s="285"/>
      <c r="EX31" s="286"/>
    </row>
    <row r="32" spans="2:154" x14ac:dyDescent="0.25">
      <c r="B32" s="65">
        <v>29</v>
      </c>
      <c r="D32">
        <v>8668241.7858050317</v>
      </c>
      <c r="E32" s="12">
        <v>-124940753948.82419</v>
      </c>
      <c r="F32" s="12">
        <v>-82940155341.102615</v>
      </c>
      <c r="G32" s="12">
        <v>0</v>
      </c>
      <c r="H32" s="12">
        <v>34007870.28036765</v>
      </c>
      <c r="I32" s="12">
        <v>124933291351.08878</v>
      </c>
      <c r="J32" s="12">
        <v>374307902580.65662</v>
      </c>
      <c r="K32" s="12">
        <v>-20930954768.777557</v>
      </c>
      <c r="L32" s="12"/>
      <c r="M32" s="12"/>
      <c r="N32" s="12"/>
      <c r="O32" s="12"/>
      <c r="P32" s="12">
        <v>3985015.1280594147</v>
      </c>
      <c r="Q32" s="12">
        <v>162623915035.59647</v>
      </c>
      <c r="R32" s="12">
        <v>63239489805.139153</v>
      </c>
      <c r="S32" s="12">
        <v>0</v>
      </c>
      <c r="T32" s="12">
        <v>5336718.5286595356</v>
      </c>
      <c r="U32" s="12">
        <v>32089293488.521645</v>
      </c>
      <c r="V32" s="12">
        <v>290152785586.33887</v>
      </c>
      <c r="W32" s="12">
        <v>-218476800.1940127</v>
      </c>
      <c r="X32" s="12"/>
      <c r="Y32" s="12"/>
      <c r="Z32" s="12"/>
      <c r="AA32" s="12"/>
      <c r="AB32" s="12"/>
      <c r="AC32" s="12"/>
      <c r="AD32" s="12"/>
      <c r="AE32" s="12"/>
      <c r="AG32" s="254" t="s">
        <v>62</v>
      </c>
      <c r="AH32" s="254"/>
      <c r="AI32" s="254"/>
      <c r="AJ32" s="254" t="s">
        <v>71</v>
      </c>
      <c r="AK32" s="254"/>
      <c r="AL32" s="254"/>
      <c r="AS32" s="6">
        <v>46818907.578426763</v>
      </c>
      <c r="AT32" s="167">
        <v>19278.019302269982</v>
      </c>
      <c r="AU32" s="167">
        <v>16780.018699540447</v>
      </c>
      <c r="AV32" s="167">
        <v>14942.506067972059</v>
      </c>
      <c r="AW32" s="167">
        <v>13926.712118981693</v>
      </c>
      <c r="AX32" s="167">
        <v>13141.720910773478</v>
      </c>
      <c r="AY32" s="167">
        <v>12835.530932758717</v>
      </c>
      <c r="AZ32" s="167">
        <v>13176.567205075673</v>
      </c>
      <c r="BA32" s="167">
        <v>14193.012420571167</v>
      </c>
      <c r="BB32" s="167">
        <v>15874.083856889969</v>
      </c>
      <c r="BC32" s="167">
        <v>17972.511541396831</v>
      </c>
      <c r="BD32" s="167">
        <v>20000</v>
      </c>
      <c r="BE32" s="167">
        <v>20000</v>
      </c>
      <c r="BF32" s="167">
        <v>20000</v>
      </c>
      <c r="BG32" s="167">
        <v>20000</v>
      </c>
      <c r="BH32" s="167">
        <v>20000</v>
      </c>
      <c r="BI32" s="167">
        <v>20000</v>
      </c>
      <c r="BJ32" s="167">
        <v>20000</v>
      </c>
      <c r="BK32" s="167">
        <v>20000</v>
      </c>
      <c r="BL32" s="167">
        <v>20000</v>
      </c>
      <c r="BM32" s="167">
        <v>20000</v>
      </c>
      <c r="BN32" s="167">
        <v>20000</v>
      </c>
      <c r="BO32" s="167">
        <v>20000</v>
      </c>
      <c r="BP32" s="167">
        <v>20000</v>
      </c>
      <c r="BQ32" s="167">
        <v>20000</v>
      </c>
      <c r="BR32" s="167">
        <v>20000</v>
      </c>
      <c r="BS32" s="167">
        <v>20000</v>
      </c>
      <c r="BT32" s="167">
        <v>20000</v>
      </c>
      <c r="BU32" s="167">
        <v>17324.066596150111</v>
      </c>
      <c r="BV32" s="167">
        <v>14761.745277816775</v>
      </c>
      <c r="BW32" s="167">
        <v>12682.226935228675</v>
      </c>
      <c r="BX32" s="167">
        <v>11133.563952169787</v>
      </c>
      <c r="BY32" s="167">
        <v>10195.949615737469</v>
      </c>
      <c r="BZ32" s="167">
        <v>9961.0339515411579</v>
      </c>
      <c r="CA32" s="167">
        <v>10713.302873336794</v>
      </c>
      <c r="CB32" s="167">
        <v>12513.71306801691</v>
      </c>
      <c r="CC32" s="167">
        <v>15257.993209615226</v>
      </c>
      <c r="CD32" s="167">
        <v>18831.093522396288</v>
      </c>
      <c r="CE32" s="167">
        <v>20000</v>
      </c>
      <c r="CF32" s="167">
        <v>20000</v>
      </c>
      <c r="CG32" s="167">
        <v>20000</v>
      </c>
      <c r="CH32" s="167">
        <v>20000</v>
      </c>
      <c r="CI32" s="167">
        <v>20000</v>
      </c>
      <c r="CJ32" s="167">
        <v>20000</v>
      </c>
      <c r="CK32" s="167">
        <v>20000</v>
      </c>
      <c r="CL32" s="167">
        <v>20000</v>
      </c>
      <c r="CM32" s="167">
        <v>20000</v>
      </c>
      <c r="CN32" s="167">
        <v>20000</v>
      </c>
      <c r="CO32" s="167">
        <v>20000</v>
      </c>
      <c r="CP32" s="167">
        <v>20000</v>
      </c>
      <c r="CQ32" s="167">
        <v>20000</v>
      </c>
      <c r="CR32" s="167">
        <v>19708.010387088369</v>
      </c>
      <c r="CS32" s="167">
        <v>16923.88486175353</v>
      </c>
      <c r="CT32" s="167">
        <v>14641.671806128295</v>
      </c>
      <c r="CU32" s="167">
        <v>13078.189830223188</v>
      </c>
      <c r="CV32" s="167">
        <v>11794.888547310124</v>
      </c>
      <c r="CW32" s="167">
        <v>10862.617621473675</v>
      </c>
      <c r="CX32" s="167">
        <v>10809.412548267126</v>
      </c>
      <c r="CY32" s="167">
        <v>11834.963359706991</v>
      </c>
      <c r="CZ32" s="167">
        <v>13592.326814106891</v>
      </c>
      <c r="DA32" s="167">
        <v>16333.50963446977</v>
      </c>
      <c r="DB32" s="167">
        <v>20000</v>
      </c>
      <c r="DC32" s="167">
        <v>20000</v>
      </c>
      <c r="DD32" s="167">
        <v>20000</v>
      </c>
      <c r="DE32" s="167">
        <v>20000</v>
      </c>
      <c r="DF32" s="167">
        <v>20000</v>
      </c>
      <c r="DG32" s="167">
        <v>20000</v>
      </c>
      <c r="DH32" s="167">
        <v>20000</v>
      </c>
      <c r="DI32" s="167">
        <v>20000</v>
      </c>
      <c r="DJ32" s="167">
        <v>20000</v>
      </c>
      <c r="DK32" s="167">
        <v>20000</v>
      </c>
      <c r="DL32" s="167">
        <v>20000</v>
      </c>
      <c r="DM32" s="167">
        <v>20000</v>
      </c>
      <c r="DN32" s="167">
        <v>20000</v>
      </c>
      <c r="DO32" s="167">
        <v>20000</v>
      </c>
      <c r="DP32" s="167">
        <v>17736.141261693399</v>
      </c>
      <c r="DQ32" s="167">
        <v>15267.878717005424</v>
      </c>
      <c r="DR32" s="167">
        <v>13371.578676920637</v>
      </c>
      <c r="DS32" s="167">
        <v>12228.340288456631</v>
      </c>
      <c r="DT32" s="167">
        <v>11121.16940442112</v>
      </c>
      <c r="DU32" s="167">
        <v>10814.503764495608</v>
      </c>
      <c r="DV32" s="167">
        <v>11452.326399121052</v>
      </c>
      <c r="DW32" s="167">
        <v>12975.681612602826</v>
      </c>
      <c r="DX32" s="167">
        <v>15091.331591224662</v>
      </c>
      <c r="DY32" s="167">
        <v>18309.668422304079</v>
      </c>
      <c r="DZ32" s="167">
        <v>20000</v>
      </c>
      <c r="EA32" s="167">
        <v>20000</v>
      </c>
      <c r="EB32" s="167">
        <v>20000</v>
      </c>
      <c r="EC32" s="167">
        <v>20000</v>
      </c>
      <c r="ED32" s="167">
        <v>20000</v>
      </c>
      <c r="EE32" s="167">
        <v>20000</v>
      </c>
      <c r="EF32" s="167">
        <v>20000</v>
      </c>
      <c r="EG32" s="167">
        <v>20000</v>
      </c>
      <c r="EH32" s="167">
        <v>20000</v>
      </c>
      <c r="EI32" s="167">
        <v>20000</v>
      </c>
      <c r="EJ32" s="167">
        <v>20000</v>
      </c>
      <c r="EK32" s="167">
        <v>20000</v>
      </c>
      <c r="EL32" s="167">
        <v>20000</v>
      </c>
      <c r="EM32" s="167">
        <v>20000</v>
      </c>
      <c r="EN32" s="167">
        <v>20000</v>
      </c>
      <c r="EO32" s="167">
        <v>19550.815374328267</v>
      </c>
      <c r="EP32" t="str">
        <f t="shared" si="0"/>
        <v>1y 177d</v>
      </c>
      <c r="ES32" s="278"/>
      <c r="ET32" s="279"/>
      <c r="EU32" s="280"/>
      <c r="EV32" s="284"/>
      <c r="EW32" s="285"/>
      <c r="EX32" s="286"/>
    </row>
    <row r="33" spans="2:154" ht="15.75" thickBot="1" x14ac:dyDescent="0.3">
      <c r="B33" s="65">
        <v>30</v>
      </c>
      <c r="D33">
        <v>8985817.3145156819</v>
      </c>
      <c r="E33" s="12">
        <v>-119609863844.82588</v>
      </c>
      <c r="F33" s="12">
        <v>-90715257975.901276</v>
      </c>
      <c r="G33" s="12">
        <v>0</v>
      </c>
      <c r="H33" s="12">
        <v>35318087.999994032</v>
      </c>
      <c r="I33" s="12">
        <v>101832582880.56674</v>
      </c>
      <c r="J33" s="12">
        <v>383987350270.92871</v>
      </c>
      <c r="K33" s="12">
        <v>-20767931658.435295</v>
      </c>
      <c r="L33" s="12"/>
      <c r="M33" s="12"/>
      <c r="N33" s="12"/>
      <c r="O33" s="12"/>
      <c r="P33" s="12">
        <v>4156959.2529634987</v>
      </c>
      <c r="Q33" s="12">
        <v>162160089588.06033</v>
      </c>
      <c r="R33" s="12">
        <v>68888859959.11116</v>
      </c>
      <c r="S33" s="12">
        <v>0</v>
      </c>
      <c r="T33" s="12">
        <v>5581744.4189340137</v>
      </c>
      <c r="U33" s="12">
        <v>27785883328.429256</v>
      </c>
      <c r="V33" s="12">
        <v>293345522472.92444</v>
      </c>
      <c r="W33" s="12">
        <v>-227858829.46118525</v>
      </c>
      <c r="X33" s="12"/>
      <c r="Y33" s="12"/>
      <c r="Z33" s="12"/>
      <c r="AA33" s="12"/>
      <c r="AB33" s="12"/>
      <c r="AC33" s="12"/>
      <c r="AD33" s="12"/>
      <c r="AE33" s="12"/>
      <c r="AG33" s="65" t="s">
        <v>22</v>
      </c>
      <c r="AH33" s="65" t="s">
        <v>23</v>
      </c>
      <c r="AI33" s="65" t="s">
        <v>26</v>
      </c>
      <c r="AJ33" s="65" t="s">
        <v>22</v>
      </c>
      <c r="AK33" s="65" t="s">
        <v>23</v>
      </c>
      <c r="AL33" s="65" t="s">
        <v>26</v>
      </c>
      <c r="AS33" s="6">
        <v>48006570.12046963</v>
      </c>
      <c r="AT33" s="167">
        <v>20000</v>
      </c>
      <c r="AU33" s="167">
        <v>17489.207114452369</v>
      </c>
      <c r="AV33" s="167">
        <v>15504.219626948561</v>
      </c>
      <c r="AW33" s="167">
        <v>14306.292298834454</v>
      </c>
      <c r="AX33" s="167">
        <v>13529.482173127772</v>
      </c>
      <c r="AY33" s="167">
        <v>13115.00375674496</v>
      </c>
      <c r="AZ33" s="167">
        <v>13340.138857300766</v>
      </c>
      <c r="BA33" s="167">
        <v>14235.408210112182</v>
      </c>
      <c r="BB33" s="167">
        <v>15791.797068812553</v>
      </c>
      <c r="BC33" s="167">
        <v>17920.220607996511</v>
      </c>
      <c r="BD33" s="167">
        <v>19916.083398525792</v>
      </c>
      <c r="BE33" s="167">
        <v>20000</v>
      </c>
      <c r="BF33" s="167">
        <v>20000</v>
      </c>
      <c r="BG33" s="167">
        <v>20000</v>
      </c>
      <c r="BH33" s="167">
        <v>20000</v>
      </c>
      <c r="BI33" s="167">
        <v>20000</v>
      </c>
      <c r="BJ33" s="167">
        <v>20000</v>
      </c>
      <c r="BK33" s="167">
        <v>20000</v>
      </c>
      <c r="BL33" s="167">
        <v>20000</v>
      </c>
      <c r="BM33" s="167">
        <v>20000</v>
      </c>
      <c r="BN33" s="167">
        <v>20000</v>
      </c>
      <c r="BO33" s="167">
        <v>20000</v>
      </c>
      <c r="BP33" s="167">
        <v>20000</v>
      </c>
      <c r="BQ33" s="167">
        <v>20000</v>
      </c>
      <c r="BR33" s="167">
        <v>20000</v>
      </c>
      <c r="BS33" s="167">
        <v>20000</v>
      </c>
      <c r="BT33" s="167">
        <v>20000</v>
      </c>
      <c r="BU33" s="167">
        <v>17707.64866499139</v>
      </c>
      <c r="BV33" s="167">
        <v>15045.711047970632</v>
      </c>
      <c r="BW33" s="167">
        <v>12881.862583288832</v>
      </c>
      <c r="BX33" s="167">
        <v>11246.635033991362</v>
      </c>
      <c r="BY33" s="167">
        <v>10241.877071392977</v>
      </c>
      <c r="BZ33" s="167">
        <v>9978.982522833885</v>
      </c>
      <c r="CA33" s="167">
        <v>10751.826191728058</v>
      </c>
      <c r="CB33" s="167">
        <v>12458.246973280769</v>
      </c>
      <c r="CC33" s="167">
        <v>15122.07278349123</v>
      </c>
      <c r="CD33" s="167">
        <v>18618.336352454797</v>
      </c>
      <c r="CE33" s="167">
        <v>20000</v>
      </c>
      <c r="CF33" s="167">
        <v>20000</v>
      </c>
      <c r="CG33" s="167">
        <v>20000</v>
      </c>
      <c r="CH33" s="167">
        <v>20000</v>
      </c>
      <c r="CI33" s="167">
        <v>20000</v>
      </c>
      <c r="CJ33" s="167">
        <v>20000</v>
      </c>
      <c r="CK33" s="167">
        <v>20000</v>
      </c>
      <c r="CL33" s="167">
        <v>20000</v>
      </c>
      <c r="CM33" s="167">
        <v>20000</v>
      </c>
      <c r="CN33" s="167">
        <v>20000</v>
      </c>
      <c r="CO33" s="167">
        <v>20000</v>
      </c>
      <c r="CP33" s="167">
        <v>20000</v>
      </c>
      <c r="CQ33" s="167">
        <v>20000</v>
      </c>
      <c r="CR33" s="167">
        <v>19809.526229488536</v>
      </c>
      <c r="CS33" s="167">
        <v>16924.183458612621</v>
      </c>
      <c r="CT33" s="167">
        <v>14570.003782959437</v>
      </c>
      <c r="CU33" s="167">
        <v>12934.760139494741</v>
      </c>
      <c r="CV33" s="167">
        <v>11683.776720535992</v>
      </c>
      <c r="CW33" s="167">
        <v>10755.459879900729</v>
      </c>
      <c r="CX33" s="167">
        <v>10712.068533017609</v>
      </c>
      <c r="CY33" s="167">
        <v>11743.108451128681</v>
      </c>
      <c r="CZ33" s="167">
        <v>13572.461944636327</v>
      </c>
      <c r="DA33" s="167">
        <v>16223.502053510672</v>
      </c>
      <c r="DB33" s="167">
        <v>20000</v>
      </c>
      <c r="DC33" s="167">
        <v>20000</v>
      </c>
      <c r="DD33" s="167">
        <v>20000</v>
      </c>
      <c r="DE33" s="167">
        <v>20000</v>
      </c>
      <c r="DF33" s="167">
        <v>20000</v>
      </c>
      <c r="DG33" s="167">
        <v>20000</v>
      </c>
      <c r="DH33" s="167">
        <v>20000</v>
      </c>
      <c r="DI33" s="167">
        <v>20000</v>
      </c>
      <c r="DJ33" s="167">
        <v>20000</v>
      </c>
      <c r="DK33" s="167">
        <v>20000</v>
      </c>
      <c r="DL33" s="167">
        <v>20000</v>
      </c>
      <c r="DM33" s="167">
        <v>20000</v>
      </c>
      <c r="DN33" s="167">
        <v>20000</v>
      </c>
      <c r="DO33" s="167">
        <v>20000</v>
      </c>
      <c r="DP33" s="167">
        <v>17820.442242959332</v>
      </c>
      <c r="DQ33" s="167">
        <v>15258.795874752486</v>
      </c>
      <c r="DR33" s="167">
        <v>13281.215791718367</v>
      </c>
      <c r="DS33" s="167">
        <v>12132.5016810953</v>
      </c>
      <c r="DT33" s="167">
        <v>11030.629944030896</v>
      </c>
      <c r="DU33" s="167">
        <v>10732.867573251157</v>
      </c>
      <c r="DV33" s="167">
        <v>11369.861901004293</v>
      </c>
      <c r="DW33" s="167">
        <v>12960.292037888448</v>
      </c>
      <c r="DX33" s="167">
        <v>15003.984242087925</v>
      </c>
      <c r="DY33" s="167">
        <v>18159.898454381138</v>
      </c>
      <c r="DZ33" s="167">
        <v>20000</v>
      </c>
      <c r="EA33" s="167">
        <v>20000</v>
      </c>
      <c r="EB33" s="167">
        <v>20000</v>
      </c>
      <c r="EC33" s="167">
        <v>20000</v>
      </c>
      <c r="ED33" s="167">
        <v>20000</v>
      </c>
      <c r="EE33" s="167">
        <v>20000</v>
      </c>
      <c r="EF33" s="167">
        <v>20000</v>
      </c>
      <c r="EG33" s="167">
        <v>20000</v>
      </c>
      <c r="EH33" s="167">
        <v>20000</v>
      </c>
      <c r="EI33" s="167">
        <v>20000</v>
      </c>
      <c r="EJ33" s="167">
        <v>20000</v>
      </c>
      <c r="EK33" s="167">
        <v>20000</v>
      </c>
      <c r="EL33" s="167">
        <v>20000</v>
      </c>
      <c r="EM33" s="167">
        <v>20000</v>
      </c>
      <c r="EN33" s="167">
        <v>20000</v>
      </c>
      <c r="EO33" s="167">
        <v>20000</v>
      </c>
      <c r="EP33" t="str">
        <f t="shared" si="0"/>
        <v>1y 190d</v>
      </c>
      <c r="ES33" s="281"/>
      <c r="ET33" s="282"/>
      <c r="EU33" s="283"/>
      <c r="EV33" s="287"/>
      <c r="EW33" s="288"/>
      <c r="EX33" s="289"/>
    </row>
    <row r="34" spans="2:154" x14ac:dyDescent="0.25">
      <c r="B34" s="65">
        <v>31</v>
      </c>
      <c r="D34">
        <v>9304045.5315379929</v>
      </c>
      <c r="E34" s="12">
        <v>-113793715638.19861</v>
      </c>
      <c r="F34" s="12">
        <v>-98146609115.027344</v>
      </c>
      <c r="G34" s="12">
        <v>0</v>
      </c>
      <c r="H34" s="12">
        <v>36646322.22698345</v>
      </c>
      <c r="I34" s="12">
        <v>78038480624.252731</v>
      </c>
      <c r="J34" s="12">
        <v>392382654512.2038</v>
      </c>
      <c r="K34" s="12">
        <v>-20526018241.407093</v>
      </c>
      <c r="L34" s="12"/>
      <c r="M34" s="12"/>
      <c r="N34" s="12"/>
      <c r="O34" s="12"/>
      <c r="P34" s="12">
        <v>4332324.0032461835</v>
      </c>
      <c r="Q34" s="12">
        <v>161567287710.53873</v>
      </c>
      <c r="R34" s="12">
        <v>74599738655.604401</v>
      </c>
      <c r="S34" s="12">
        <v>0</v>
      </c>
      <c r="T34" s="12">
        <v>5831390.2803811217</v>
      </c>
      <c r="U34" s="12">
        <v>23392439370.295841</v>
      </c>
      <c r="V34" s="12">
        <v>296504548964.01447</v>
      </c>
      <c r="W34" s="12">
        <v>-237344808.61650482</v>
      </c>
      <c r="X34" s="12"/>
      <c r="Y34" s="12"/>
      <c r="Z34" s="12"/>
      <c r="AA34" s="12"/>
      <c r="AB34" s="12"/>
      <c r="AC34" s="12"/>
      <c r="AD34" s="12"/>
      <c r="AE34" s="12"/>
      <c r="AG34" s="27">
        <v>0</v>
      </c>
      <c r="AH34" s="27">
        <v>0</v>
      </c>
      <c r="AI34" s="27">
        <v>0</v>
      </c>
      <c r="AJ34" s="27">
        <v>6135696.666666667</v>
      </c>
      <c r="AK34" s="64">
        <v>0</v>
      </c>
      <c r="AL34" s="64">
        <v>0</v>
      </c>
      <c r="AS34" s="6">
        <v>49194232.662512496</v>
      </c>
      <c r="AT34" s="167">
        <v>20000</v>
      </c>
      <c r="AU34" s="167">
        <v>18261.523916685204</v>
      </c>
      <c r="AV34" s="167">
        <v>16116.017613794778</v>
      </c>
      <c r="AW34" s="167">
        <v>14734.208383561923</v>
      </c>
      <c r="AX34" s="167">
        <v>13946.444891788122</v>
      </c>
      <c r="AY34" s="167">
        <v>13415.78866188633</v>
      </c>
      <c r="AZ34" s="167">
        <v>13519.093023634883</v>
      </c>
      <c r="BA34" s="167">
        <v>14288.928022342259</v>
      </c>
      <c r="BB34" s="167">
        <v>15681.592036836591</v>
      </c>
      <c r="BC34" s="167">
        <v>17684.44932095191</v>
      </c>
      <c r="BD34" s="167">
        <v>19665.105402473764</v>
      </c>
      <c r="BE34" s="167">
        <v>20000</v>
      </c>
      <c r="BF34" s="167">
        <v>20000</v>
      </c>
      <c r="BG34" s="167">
        <v>20000</v>
      </c>
      <c r="BH34" s="167">
        <v>20000</v>
      </c>
      <c r="BI34" s="167">
        <v>20000</v>
      </c>
      <c r="BJ34" s="167">
        <v>20000</v>
      </c>
      <c r="BK34" s="167">
        <v>20000</v>
      </c>
      <c r="BL34" s="167">
        <v>20000</v>
      </c>
      <c r="BM34" s="167">
        <v>20000</v>
      </c>
      <c r="BN34" s="167">
        <v>20000</v>
      </c>
      <c r="BO34" s="167">
        <v>20000</v>
      </c>
      <c r="BP34" s="167">
        <v>20000</v>
      </c>
      <c r="BQ34" s="167">
        <v>20000</v>
      </c>
      <c r="BR34" s="167">
        <v>20000</v>
      </c>
      <c r="BS34" s="167">
        <v>20000</v>
      </c>
      <c r="BT34" s="167">
        <v>20000</v>
      </c>
      <c r="BU34" s="167">
        <v>18115.062956422495</v>
      </c>
      <c r="BV34" s="167">
        <v>15352.333324729809</v>
      </c>
      <c r="BW34" s="167">
        <v>13105.224314663825</v>
      </c>
      <c r="BX34" s="167">
        <v>11393.970979295562</v>
      </c>
      <c r="BY34" s="167">
        <v>10307.94189309908</v>
      </c>
      <c r="BZ34" s="167">
        <v>10087.766455364446</v>
      </c>
      <c r="CA34" s="167">
        <v>10813.975399002426</v>
      </c>
      <c r="CB34" s="167">
        <v>12418.352529032105</v>
      </c>
      <c r="CC34" s="167">
        <v>14993.333523954854</v>
      </c>
      <c r="CD34" s="167">
        <v>18411.413071410352</v>
      </c>
      <c r="CE34" s="167">
        <v>20000</v>
      </c>
      <c r="CF34" s="167">
        <v>20000</v>
      </c>
      <c r="CG34" s="167">
        <v>20000</v>
      </c>
      <c r="CH34" s="167">
        <v>20000</v>
      </c>
      <c r="CI34" s="167">
        <v>20000</v>
      </c>
      <c r="CJ34" s="167">
        <v>20000</v>
      </c>
      <c r="CK34" s="167">
        <v>20000</v>
      </c>
      <c r="CL34" s="167">
        <v>20000</v>
      </c>
      <c r="CM34" s="167">
        <v>20000</v>
      </c>
      <c r="CN34" s="167">
        <v>20000</v>
      </c>
      <c r="CO34" s="167">
        <v>20000</v>
      </c>
      <c r="CP34" s="167">
        <v>20000</v>
      </c>
      <c r="CQ34" s="167">
        <v>20000</v>
      </c>
      <c r="CR34" s="167">
        <v>19960.96949384196</v>
      </c>
      <c r="CS34" s="167">
        <v>16971.870690614094</v>
      </c>
      <c r="CT34" s="167">
        <v>14542.030147283001</v>
      </c>
      <c r="CU34" s="167">
        <v>12833.509533583323</v>
      </c>
      <c r="CV34" s="167">
        <v>11607.88665028984</v>
      </c>
      <c r="CW34" s="167">
        <v>10678.163322026252</v>
      </c>
      <c r="CX34" s="167">
        <v>10639.062750858864</v>
      </c>
      <c r="CY34" s="167">
        <v>11670.126981180061</v>
      </c>
      <c r="CZ34" s="167">
        <v>13580.590814321386</v>
      </c>
      <c r="DA34" s="167">
        <v>16125.615840853077</v>
      </c>
      <c r="DB34" s="167">
        <v>19855.164400158283</v>
      </c>
      <c r="DC34" s="167">
        <v>20000</v>
      </c>
      <c r="DD34" s="167">
        <v>20000</v>
      </c>
      <c r="DE34" s="167">
        <v>20000</v>
      </c>
      <c r="DF34" s="167">
        <v>20000</v>
      </c>
      <c r="DG34" s="167">
        <v>20000</v>
      </c>
      <c r="DH34" s="167">
        <v>20000</v>
      </c>
      <c r="DI34" s="167">
        <v>20000</v>
      </c>
      <c r="DJ34" s="167">
        <v>20000</v>
      </c>
      <c r="DK34" s="167">
        <v>20000</v>
      </c>
      <c r="DL34" s="167">
        <v>20000</v>
      </c>
      <c r="DM34" s="167">
        <v>20000</v>
      </c>
      <c r="DN34" s="167">
        <v>20000</v>
      </c>
      <c r="DO34" s="167">
        <v>20000</v>
      </c>
      <c r="DP34" s="167">
        <v>17986.655909651086</v>
      </c>
      <c r="DQ34" s="167">
        <v>15325.323110474961</v>
      </c>
      <c r="DR34" s="167">
        <v>13264.124840860788</v>
      </c>
      <c r="DS34" s="167">
        <v>11989.778074812735</v>
      </c>
      <c r="DT34" s="167">
        <v>10988.715800323234</v>
      </c>
      <c r="DU34" s="167">
        <v>10689.904444331209</v>
      </c>
      <c r="DV34" s="167">
        <v>11315.659221748438</v>
      </c>
      <c r="DW34" s="167">
        <v>12876.13750912085</v>
      </c>
      <c r="DX34" s="167">
        <v>14926.075772549008</v>
      </c>
      <c r="DY34" s="167">
        <v>18015.766708524374</v>
      </c>
      <c r="DZ34" s="167">
        <v>20000</v>
      </c>
      <c r="EA34" s="167">
        <v>20000</v>
      </c>
      <c r="EB34" s="167">
        <v>20000</v>
      </c>
      <c r="EC34" s="167">
        <v>20000</v>
      </c>
      <c r="ED34" s="167">
        <v>20000</v>
      </c>
      <c r="EE34" s="167">
        <v>20000</v>
      </c>
      <c r="EF34" s="167">
        <v>20000</v>
      </c>
      <c r="EG34" s="167">
        <v>20000</v>
      </c>
      <c r="EH34" s="167">
        <v>20000</v>
      </c>
      <c r="EI34" s="167">
        <v>20000</v>
      </c>
      <c r="EJ34" s="167">
        <v>20000</v>
      </c>
      <c r="EK34" s="167">
        <v>20000</v>
      </c>
      <c r="EL34" s="167">
        <v>20000</v>
      </c>
      <c r="EM34" s="167">
        <v>20000</v>
      </c>
      <c r="EN34" s="167">
        <v>20000</v>
      </c>
      <c r="EO34" s="167">
        <v>20000</v>
      </c>
      <c r="EP34" t="str">
        <f t="shared" si="0"/>
        <v>1y 204d</v>
      </c>
      <c r="ES34" s="290" t="s">
        <v>108</v>
      </c>
      <c r="ET34" s="291"/>
      <c r="EU34" s="291"/>
      <c r="EV34" s="291"/>
      <c r="EW34" s="291"/>
      <c r="EX34" s="292"/>
    </row>
    <row r="35" spans="2:154" x14ac:dyDescent="0.25">
      <c r="B35" s="65">
        <v>32</v>
      </c>
      <c r="D35">
        <v>9622917.674218988</v>
      </c>
      <c r="E35" s="12">
        <v>-107514108415.91696</v>
      </c>
      <c r="F35" s="12">
        <v>-105203408109.46962</v>
      </c>
      <c r="G35" s="12">
        <v>0</v>
      </c>
      <c r="H35" s="12">
        <v>37993676.252860121</v>
      </c>
      <c r="I35" s="12">
        <v>53611840566.102486</v>
      </c>
      <c r="J35" s="12">
        <v>399439976879.08618</v>
      </c>
      <c r="K35" s="12">
        <v>-20204312280.078583</v>
      </c>
      <c r="L35" s="12"/>
      <c r="M35" s="12"/>
      <c r="N35" s="12"/>
      <c r="O35" s="12"/>
      <c r="P35" s="12">
        <v>4511290.7396158203</v>
      </c>
      <c r="Q35" s="12">
        <v>160841760403.45154</v>
      </c>
      <c r="R35" s="12">
        <v>80372250279.574387</v>
      </c>
      <c r="S35" s="12">
        <v>0</v>
      </c>
      <c r="T35" s="12">
        <v>6085751.0926919254</v>
      </c>
      <c r="U35" s="12">
        <v>18908461616.837627</v>
      </c>
      <c r="V35" s="12">
        <v>299627424935.56653</v>
      </c>
      <c r="W35" s="12">
        <v>-246933245.18069851</v>
      </c>
      <c r="X35" s="12"/>
      <c r="Y35" s="12"/>
      <c r="Z35" s="12"/>
      <c r="AA35" s="12"/>
      <c r="AB35" s="12"/>
      <c r="AC35" s="12"/>
      <c r="AD35" s="12"/>
      <c r="AE35" s="12"/>
      <c r="AG35" s="27">
        <v>4421216844.8280573</v>
      </c>
      <c r="AH35" s="27">
        <v>-3574788162.1737466</v>
      </c>
      <c r="AI35" s="27">
        <v>0</v>
      </c>
      <c r="AJ35">
        <v>11624649282.495951</v>
      </c>
      <c r="AK35" s="64">
        <v>-7058553962.93647</v>
      </c>
      <c r="AL35" s="64">
        <v>0</v>
      </c>
      <c r="AS35" s="6">
        <v>50381895.204555362</v>
      </c>
      <c r="AT35" s="167">
        <v>20000</v>
      </c>
      <c r="AU35" s="167">
        <v>19095.036004016838</v>
      </c>
      <c r="AV35" s="167">
        <v>16776.176996426693</v>
      </c>
      <c r="AW35" s="167">
        <v>15207.782332326424</v>
      </c>
      <c r="AX35" s="167">
        <v>14391.861005455617</v>
      </c>
      <c r="AY35" s="167">
        <v>13737.784017789598</v>
      </c>
      <c r="AZ35" s="167">
        <v>13713.857920446661</v>
      </c>
      <c r="BA35" s="167">
        <v>14326.769536645421</v>
      </c>
      <c r="BB35" s="167">
        <v>15577.556416359035</v>
      </c>
      <c r="BC35" s="167">
        <v>17454.183134370895</v>
      </c>
      <c r="BD35" s="167">
        <v>19439.840651095321</v>
      </c>
      <c r="BE35" s="167">
        <v>20000</v>
      </c>
      <c r="BF35" s="167">
        <v>20000</v>
      </c>
      <c r="BG35" s="167">
        <v>20000</v>
      </c>
      <c r="BH35" s="167">
        <v>20000</v>
      </c>
      <c r="BI35" s="167">
        <v>20000</v>
      </c>
      <c r="BJ35" s="167">
        <v>20000</v>
      </c>
      <c r="BK35" s="167">
        <v>20000</v>
      </c>
      <c r="BL35" s="167">
        <v>20000</v>
      </c>
      <c r="BM35" s="167">
        <v>20000</v>
      </c>
      <c r="BN35" s="167">
        <v>20000</v>
      </c>
      <c r="BO35" s="167">
        <v>20000</v>
      </c>
      <c r="BP35" s="167">
        <v>20000</v>
      </c>
      <c r="BQ35" s="167">
        <v>20000</v>
      </c>
      <c r="BR35" s="167">
        <v>20000</v>
      </c>
      <c r="BS35" s="167">
        <v>20000</v>
      </c>
      <c r="BT35" s="167">
        <v>20000</v>
      </c>
      <c r="BU35" s="167">
        <v>18544.177867110804</v>
      </c>
      <c r="BV35" s="167">
        <v>15679.190618169814</v>
      </c>
      <c r="BW35" s="167">
        <v>13348.870930195189</v>
      </c>
      <c r="BX35" s="167">
        <v>11566.807490063744</v>
      </c>
      <c r="BY35" s="167">
        <v>10429.730920852842</v>
      </c>
      <c r="BZ35" s="167">
        <v>10201.75055322124</v>
      </c>
      <c r="CA35" s="167">
        <v>10860.7191400957</v>
      </c>
      <c r="CB35" s="167">
        <v>12399.04763587074</v>
      </c>
      <c r="CC35" s="167">
        <v>14872.534965271256</v>
      </c>
      <c r="CD35" s="167">
        <v>18210.358056850564</v>
      </c>
      <c r="CE35" s="167">
        <v>20000</v>
      </c>
      <c r="CF35" s="167">
        <v>20000</v>
      </c>
      <c r="CG35" s="167">
        <v>20000</v>
      </c>
      <c r="CH35" s="167">
        <v>20000</v>
      </c>
      <c r="CI35" s="167">
        <v>20000</v>
      </c>
      <c r="CJ35" s="167">
        <v>20000</v>
      </c>
      <c r="CK35" s="167">
        <v>20000</v>
      </c>
      <c r="CL35" s="167">
        <v>20000</v>
      </c>
      <c r="CM35" s="167">
        <v>20000</v>
      </c>
      <c r="CN35" s="167">
        <v>20000</v>
      </c>
      <c r="CO35" s="167">
        <v>20000</v>
      </c>
      <c r="CP35" s="167">
        <v>20000</v>
      </c>
      <c r="CQ35" s="167">
        <v>20000</v>
      </c>
      <c r="CR35" s="167">
        <v>20000</v>
      </c>
      <c r="CS35" s="167">
        <v>17064.440019843001</v>
      </c>
      <c r="CT35" s="167">
        <v>14555.668363936013</v>
      </c>
      <c r="CU35" s="167">
        <v>12772.2466353866</v>
      </c>
      <c r="CV35" s="167">
        <v>11565.626735170537</v>
      </c>
      <c r="CW35" s="167">
        <v>10629.223296995306</v>
      </c>
      <c r="CX35" s="167">
        <v>10588.881070704676</v>
      </c>
      <c r="CY35" s="167">
        <v>11614.457248334376</v>
      </c>
      <c r="CZ35" s="167">
        <v>13618.692584324708</v>
      </c>
      <c r="DA35" s="167">
        <v>16039.122510419138</v>
      </c>
      <c r="DB35" s="167">
        <v>19696.854965601931</v>
      </c>
      <c r="DC35" s="167">
        <v>20000</v>
      </c>
      <c r="DD35" s="167">
        <v>20000</v>
      </c>
      <c r="DE35" s="167">
        <v>20000</v>
      </c>
      <c r="DF35" s="167">
        <v>20000</v>
      </c>
      <c r="DG35" s="167">
        <v>20000</v>
      </c>
      <c r="DH35" s="167">
        <v>20000</v>
      </c>
      <c r="DI35" s="167">
        <v>20000</v>
      </c>
      <c r="DJ35" s="167">
        <v>20000</v>
      </c>
      <c r="DK35" s="167">
        <v>20000</v>
      </c>
      <c r="DL35" s="167">
        <v>20000</v>
      </c>
      <c r="DM35" s="167">
        <v>20000</v>
      </c>
      <c r="DN35" s="167">
        <v>20000</v>
      </c>
      <c r="DO35" s="167">
        <v>20000</v>
      </c>
      <c r="DP35" s="167">
        <v>18233.128010073749</v>
      </c>
      <c r="DQ35" s="167">
        <v>15465.908184278036</v>
      </c>
      <c r="DR35" s="167">
        <v>13318.150483604168</v>
      </c>
      <c r="DS35" s="167">
        <v>11920.345267725559</v>
      </c>
      <c r="DT35" s="167">
        <v>10993.298678834424</v>
      </c>
      <c r="DU35" s="167">
        <v>10683.207064771297</v>
      </c>
      <c r="DV35" s="167">
        <v>11287.283704412152</v>
      </c>
      <c r="DW35" s="167">
        <v>12808.467323464849</v>
      </c>
      <c r="DX35" s="167">
        <v>14855.60604180369</v>
      </c>
      <c r="DY35" s="167">
        <v>17876.266879325587</v>
      </c>
      <c r="DZ35" s="167">
        <v>20000</v>
      </c>
      <c r="EA35" s="167">
        <v>20000</v>
      </c>
      <c r="EB35" s="167">
        <v>20000</v>
      </c>
      <c r="EC35" s="167">
        <v>20000</v>
      </c>
      <c r="ED35" s="167">
        <v>20000</v>
      </c>
      <c r="EE35" s="167">
        <v>20000</v>
      </c>
      <c r="EF35" s="167">
        <v>20000</v>
      </c>
      <c r="EG35" s="167">
        <v>20000</v>
      </c>
      <c r="EH35" s="167">
        <v>20000</v>
      </c>
      <c r="EI35" s="167">
        <v>20000</v>
      </c>
      <c r="EJ35" s="167">
        <v>20000</v>
      </c>
      <c r="EK35" s="167">
        <v>20000</v>
      </c>
      <c r="EL35" s="167">
        <v>20000</v>
      </c>
      <c r="EM35" s="167">
        <v>20000</v>
      </c>
      <c r="EN35" s="167">
        <v>20000</v>
      </c>
      <c r="EO35" s="167">
        <v>20000</v>
      </c>
      <c r="EP35" t="str">
        <f t="shared" si="0"/>
        <v>1y 218d</v>
      </c>
      <c r="ES35" s="293"/>
      <c r="ET35" s="294"/>
      <c r="EU35" s="294"/>
      <c r="EV35" s="294"/>
      <c r="EW35" s="294"/>
      <c r="EX35" s="295"/>
    </row>
    <row r="36" spans="2:154" x14ac:dyDescent="0.25">
      <c r="B36" s="65">
        <v>33</v>
      </c>
      <c r="D36">
        <v>9942422.3372288905</v>
      </c>
      <c r="E36" s="12">
        <v>-100794862979.19571</v>
      </c>
      <c r="F36" s="12">
        <v>-111856195563.75824</v>
      </c>
      <c r="G36" s="12">
        <v>0</v>
      </c>
      <c r="H36" s="12">
        <v>39361233.530788273</v>
      </c>
      <c r="I36" s="12">
        <v>28618209130.084129</v>
      </c>
      <c r="J36" s="12">
        <v>405106755956.58417</v>
      </c>
      <c r="K36" s="12">
        <v>-19802097001.269611</v>
      </c>
      <c r="L36" s="12"/>
      <c r="M36" s="12"/>
      <c r="N36" s="12"/>
      <c r="O36" s="12"/>
      <c r="P36" s="12">
        <v>4694048.7632543268</v>
      </c>
      <c r="Q36" s="12">
        <v>159979572034.44876</v>
      </c>
      <c r="R36" s="12">
        <v>86206431466.339401</v>
      </c>
      <c r="S36" s="12">
        <v>0</v>
      </c>
      <c r="T36" s="12">
        <v>6344922.5083415965</v>
      </c>
      <c r="U36" s="12">
        <v>14333515266.556002</v>
      </c>
      <c r="V36" s="12">
        <v>302711627771.60822</v>
      </c>
      <c r="W36" s="12">
        <v>-256622473.19013536</v>
      </c>
      <c r="X36" s="12"/>
      <c r="Y36" s="12"/>
      <c r="Z36" s="12"/>
      <c r="AA36" s="12"/>
      <c r="AB36" s="12"/>
      <c r="AC36" s="12"/>
      <c r="AD36" s="12"/>
      <c r="AE36" s="12"/>
      <c r="AG36" s="254" t="s">
        <v>64</v>
      </c>
      <c r="AH36" s="254"/>
      <c r="AI36" s="254"/>
      <c r="AJ36" s="254" t="s">
        <v>75</v>
      </c>
      <c r="AK36" s="254"/>
      <c r="AL36" s="254"/>
      <c r="AS36" s="6">
        <v>51569557.746598229</v>
      </c>
      <c r="AT36" s="167">
        <v>20000</v>
      </c>
      <c r="AU36" s="167">
        <v>19988.505119371504</v>
      </c>
      <c r="AV36" s="167">
        <v>17483.523143294013</v>
      </c>
      <c r="AW36" s="167">
        <v>15724.998457588023</v>
      </c>
      <c r="AX36" s="167">
        <v>14865.337729326604</v>
      </c>
      <c r="AY36" s="167">
        <v>14081.109869661588</v>
      </c>
      <c r="AZ36" s="167">
        <v>13910.577260337606</v>
      </c>
      <c r="BA36" s="167">
        <v>14364.833599351683</v>
      </c>
      <c r="BB36" s="167">
        <v>15480.741804445568</v>
      </c>
      <c r="BC36" s="167">
        <v>17230.362488280258</v>
      </c>
      <c r="BD36" s="167">
        <v>19246.584406360467</v>
      </c>
      <c r="BE36" s="167">
        <v>20000</v>
      </c>
      <c r="BF36" s="167">
        <v>20000</v>
      </c>
      <c r="BG36" s="167">
        <v>20000</v>
      </c>
      <c r="BH36" s="167">
        <v>20000</v>
      </c>
      <c r="BI36" s="167">
        <v>20000</v>
      </c>
      <c r="BJ36" s="167">
        <v>20000</v>
      </c>
      <c r="BK36" s="167">
        <v>20000</v>
      </c>
      <c r="BL36" s="167">
        <v>20000</v>
      </c>
      <c r="BM36" s="167">
        <v>20000</v>
      </c>
      <c r="BN36" s="167">
        <v>20000</v>
      </c>
      <c r="BO36" s="167">
        <v>20000</v>
      </c>
      <c r="BP36" s="167">
        <v>20000</v>
      </c>
      <c r="BQ36" s="167">
        <v>20000</v>
      </c>
      <c r="BR36" s="167">
        <v>20000</v>
      </c>
      <c r="BS36" s="167">
        <v>20000</v>
      </c>
      <c r="BT36" s="167">
        <v>20000</v>
      </c>
      <c r="BU36" s="167">
        <v>18993.28482348875</v>
      </c>
      <c r="BV36" s="167">
        <v>16024.346377775848</v>
      </c>
      <c r="BW36" s="167">
        <v>13610.162992872869</v>
      </c>
      <c r="BX36" s="167">
        <v>11759.352433310569</v>
      </c>
      <c r="BY36" s="167">
        <v>10579.438173539984</v>
      </c>
      <c r="BZ36" s="167">
        <v>10320.480343021629</v>
      </c>
      <c r="CA36" s="167">
        <v>10910.402796542279</v>
      </c>
      <c r="CB36" s="167">
        <v>12408.038434817605</v>
      </c>
      <c r="CC36" s="167">
        <v>14760.776267500845</v>
      </c>
      <c r="CD36" s="167">
        <v>18015.301026047182</v>
      </c>
      <c r="CE36" s="167">
        <v>20000</v>
      </c>
      <c r="CF36" s="167">
        <v>20000</v>
      </c>
      <c r="CG36" s="167">
        <v>20000</v>
      </c>
      <c r="CH36" s="167">
        <v>20000</v>
      </c>
      <c r="CI36" s="167">
        <v>20000</v>
      </c>
      <c r="CJ36" s="167">
        <v>20000</v>
      </c>
      <c r="CK36" s="167">
        <v>20000</v>
      </c>
      <c r="CL36" s="167">
        <v>20000</v>
      </c>
      <c r="CM36" s="167">
        <v>20000</v>
      </c>
      <c r="CN36" s="167">
        <v>20000</v>
      </c>
      <c r="CO36" s="167">
        <v>20000</v>
      </c>
      <c r="CP36" s="167">
        <v>20000</v>
      </c>
      <c r="CQ36" s="167">
        <v>20000</v>
      </c>
      <c r="CR36" s="167">
        <v>20000</v>
      </c>
      <c r="CS36" s="167">
        <v>17199.459858549228</v>
      </c>
      <c r="CT36" s="167">
        <v>14608.84730290162</v>
      </c>
      <c r="CU36" s="167">
        <v>12748.86841145118</v>
      </c>
      <c r="CV36" s="167">
        <v>11555.397614840076</v>
      </c>
      <c r="CW36" s="167">
        <v>10607.130374335844</v>
      </c>
      <c r="CX36" s="167">
        <v>10560.027310531461</v>
      </c>
      <c r="CY36" s="167">
        <v>11574.615827668218</v>
      </c>
      <c r="CZ36" s="167">
        <v>13672.089825179732</v>
      </c>
      <c r="DA36" s="167">
        <v>15963.571371834299</v>
      </c>
      <c r="DB36" s="167">
        <v>19544.450916706639</v>
      </c>
      <c r="DC36" s="167">
        <v>20000</v>
      </c>
      <c r="DD36" s="167">
        <v>20000</v>
      </c>
      <c r="DE36" s="167">
        <v>20000</v>
      </c>
      <c r="DF36" s="167">
        <v>20000</v>
      </c>
      <c r="DG36" s="167">
        <v>20000</v>
      </c>
      <c r="DH36" s="167">
        <v>20000</v>
      </c>
      <c r="DI36" s="167">
        <v>20000</v>
      </c>
      <c r="DJ36" s="167">
        <v>20000</v>
      </c>
      <c r="DK36" s="167">
        <v>20000</v>
      </c>
      <c r="DL36" s="167">
        <v>20000</v>
      </c>
      <c r="DM36" s="167">
        <v>20000</v>
      </c>
      <c r="DN36" s="167">
        <v>20000</v>
      </c>
      <c r="DO36" s="167">
        <v>20000</v>
      </c>
      <c r="DP36" s="167">
        <v>18558.150869620527</v>
      </c>
      <c r="DQ36" s="167">
        <v>15678.793862028337</v>
      </c>
      <c r="DR36" s="167">
        <v>13440.959844299228</v>
      </c>
      <c r="DS36" s="167">
        <v>11930.045493401543</v>
      </c>
      <c r="DT36" s="167">
        <v>11042.129013657443</v>
      </c>
      <c r="DU36" s="167">
        <v>10710.43157695192</v>
      </c>
      <c r="DV36" s="167">
        <v>11282.564328960654</v>
      </c>
      <c r="DW36" s="167">
        <v>12755.563495710559</v>
      </c>
      <c r="DX36" s="167">
        <v>14790.828524442233</v>
      </c>
      <c r="DY36" s="167">
        <v>17740.774797012768</v>
      </c>
      <c r="DZ36" s="167">
        <v>20000</v>
      </c>
      <c r="EA36" s="167">
        <v>20000</v>
      </c>
      <c r="EB36" s="167">
        <v>20000</v>
      </c>
      <c r="EC36" s="167">
        <v>20000</v>
      </c>
      <c r="ED36" s="167">
        <v>20000</v>
      </c>
      <c r="EE36" s="167">
        <v>20000</v>
      </c>
      <c r="EF36" s="167">
        <v>20000</v>
      </c>
      <c r="EG36" s="167">
        <v>20000</v>
      </c>
      <c r="EH36" s="167">
        <v>20000</v>
      </c>
      <c r="EI36" s="167">
        <v>20000</v>
      </c>
      <c r="EJ36" s="167">
        <v>20000</v>
      </c>
      <c r="EK36" s="167">
        <v>20000</v>
      </c>
      <c r="EL36" s="167">
        <v>20000</v>
      </c>
      <c r="EM36" s="167">
        <v>20000</v>
      </c>
      <c r="EN36" s="167">
        <v>20000</v>
      </c>
      <c r="EO36" s="167">
        <v>20000</v>
      </c>
      <c r="EP36" t="str">
        <f t="shared" si="0"/>
        <v>1y 232d</v>
      </c>
      <c r="ES36" s="293"/>
      <c r="ET36" s="294"/>
      <c r="EU36" s="294"/>
      <c r="EV36" s="294"/>
      <c r="EW36" s="294"/>
      <c r="EX36" s="295"/>
    </row>
    <row r="37" spans="2:154" x14ac:dyDescent="0.25">
      <c r="B37" s="65">
        <v>34</v>
      </c>
      <c r="D37">
        <v>10262545.496504668</v>
      </c>
      <c r="E37" s="12">
        <v>-93661744205.309708</v>
      </c>
      <c r="F37" s="12">
        <v>-118076994694.20421</v>
      </c>
      <c r="G37" s="12">
        <v>0</v>
      </c>
      <c r="H37" s="12">
        <v>40750052.681195207</v>
      </c>
      <c r="I37" s="12">
        <v>3128065620.7815065</v>
      </c>
      <c r="J37" s="12">
        <v>409332102709.0249</v>
      </c>
      <c r="K37" s="12">
        <v>-19318866159.858818</v>
      </c>
      <c r="L37" s="12"/>
      <c r="M37" s="12"/>
      <c r="N37" s="12"/>
      <c r="O37" s="12"/>
      <c r="P37" s="12">
        <v>4880795.7679535709</v>
      </c>
      <c r="Q37" s="12">
        <v>158976595657.67444</v>
      </c>
      <c r="R37" s="12">
        <v>92102219787.515045</v>
      </c>
      <c r="S37" s="12">
        <v>0</v>
      </c>
      <c r="T37" s="12">
        <v>6609000.7496151244</v>
      </c>
      <c r="U37" s="12">
        <v>9667235612.771698</v>
      </c>
      <c r="V37" s="12">
        <v>305754551720.58472</v>
      </c>
      <c r="W37" s="12">
        <v>-266410645.26407766</v>
      </c>
      <c r="X37" s="12"/>
      <c r="Y37" s="12"/>
      <c r="Z37" s="12"/>
      <c r="AA37" s="12"/>
      <c r="AB37" s="12"/>
      <c r="AC37" s="12"/>
      <c r="AD37" s="12"/>
      <c r="AE37" s="12"/>
      <c r="AG37" s="65" t="s">
        <v>22</v>
      </c>
      <c r="AH37" s="65" t="s">
        <v>23</v>
      </c>
      <c r="AI37" s="65" t="s">
        <v>26</v>
      </c>
      <c r="AJ37" s="65" t="s">
        <v>22</v>
      </c>
      <c r="AK37" s="65" t="s">
        <v>23</v>
      </c>
      <c r="AL37" s="65" t="s">
        <v>26</v>
      </c>
      <c r="AS37" s="6">
        <v>52757220.288641095</v>
      </c>
      <c r="AT37" s="167">
        <v>20000</v>
      </c>
      <c r="AU37" s="167">
        <v>20000</v>
      </c>
      <c r="AV37" s="167">
        <v>18237.289323301226</v>
      </c>
      <c r="AW37" s="167">
        <v>16284.309629665018</v>
      </c>
      <c r="AX37" s="167">
        <v>15191.669904859513</v>
      </c>
      <c r="AY37" s="167">
        <v>14443.844164675391</v>
      </c>
      <c r="AZ37" s="167">
        <v>14100.21307085602</v>
      </c>
      <c r="BA37" s="167">
        <v>14413.110250771286</v>
      </c>
      <c r="BB37" s="167">
        <v>15392.223152372562</v>
      </c>
      <c r="BC37" s="167">
        <v>17013.941456520188</v>
      </c>
      <c r="BD37" s="167">
        <v>19094.04180034739</v>
      </c>
      <c r="BE37" s="167">
        <v>20000</v>
      </c>
      <c r="BF37" s="167">
        <v>20000</v>
      </c>
      <c r="BG37" s="167">
        <v>20000</v>
      </c>
      <c r="BH37" s="167">
        <v>20000</v>
      </c>
      <c r="BI37" s="167">
        <v>20000</v>
      </c>
      <c r="BJ37" s="167">
        <v>20000</v>
      </c>
      <c r="BK37" s="167">
        <v>20000</v>
      </c>
      <c r="BL37" s="167">
        <v>20000</v>
      </c>
      <c r="BM37" s="167">
        <v>20000</v>
      </c>
      <c r="BN37" s="167">
        <v>20000</v>
      </c>
      <c r="BO37" s="167">
        <v>20000</v>
      </c>
      <c r="BP37" s="167">
        <v>20000</v>
      </c>
      <c r="BQ37" s="167">
        <v>20000</v>
      </c>
      <c r="BR37" s="167">
        <v>20000</v>
      </c>
      <c r="BS37" s="167">
        <v>20000</v>
      </c>
      <c r="BT37" s="167">
        <v>20000</v>
      </c>
      <c r="BU37" s="167">
        <v>19461.029335038522</v>
      </c>
      <c r="BV37" s="167">
        <v>16386.266467786721</v>
      </c>
      <c r="BW37" s="167">
        <v>13887.078529955088</v>
      </c>
      <c r="BX37" s="167">
        <v>11967.709248791984</v>
      </c>
      <c r="BY37" s="167">
        <v>10744.448706431052</v>
      </c>
      <c r="BZ37" s="167">
        <v>10443.633483584224</v>
      </c>
      <c r="CA37" s="167">
        <v>10962.891894141381</v>
      </c>
      <c r="CB37" s="167">
        <v>12457.199513767122</v>
      </c>
      <c r="CC37" s="167">
        <v>14659.589951130987</v>
      </c>
      <c r="CD37" s="167">
        <v>17826.473193670819</v>
      </c>
      <c r="CE37" s="167">
        <v>20000</v>
      </c>
      <c r="CF37" s="167">
        <v>20000</v>
      </c>
      <c r="CG37" s="167">
        <v>20000</v>
      </c>
      <c r="CH37" s="167">
        <v>20000</v>
      </c>
      <c r="CI37" s="167">
        <v>20000</v>
      </c>
      <c r="CJ37" s="167">
        <v>20000</v>
      </c>
      <c r="CK37" s="167">
        <v>20000</v>
      </c>
      <c r="CL37" s="167">
        <v>20000</v>
      </c>
      <c r="CM37" s="167">
        <v>20000</v>
      </c>
      <c r="CN37" s="167">
        <v>20000</v>
      </c>
      <c r="CO37" s="167">
        <v>20000</v>
      </c>
      <c r="CP37" s="167">
        <v>20000</v>
      </c>
      <c r="CQ37" s="167">
        <v>20000</v>
      </c>
      <c r="CR37" s="167">
        <v>20000</v>
      </c>
      <c r="CS37" s="167">
        <v>17374.61920146269</v>
      </c>
      <c r="CT37" s="167">
        <v>14699.532029269176</v>
      </c>
      <c r="CU37" s="167">
        <v>12761.343817460845</v>
      </c>
      <c r="CV37" s="167">
        <v>11575.59551782814</v>
      </c>
      <c r="CW37" s="167">
        <v>10610.380278015145</v>
      </c>
      <c r="CX37" s="167">
        <v>10551.044368992501</v>
      </c>
      <c r="CY37" s="167">
        <v>11549.218528784613</v>
      </c>
      <c r="CZ37" s="167">
        <v>13619.92559939642</v>
      </c>
      <c r="DA37" s="167">
        <v>15898.812966648478</v>
      </c>
      <c r="DB37" s="167">
        <v>19397.350312389681</v>
      </c>
      <c r="DC37" s="167">
        <v>20000</v>
      </c>
      <c r="DD37" s="167">
        <v>20000</v>
      </c>
      <c r="DE37" s="167">
        <v>20000</v>
      </c>
      <c r="DF37" s="167">
        <v>20000</v>
      </c>
      <c r="DG37" s="167">
        <v>20000</v>
      </c>
      <c r="DH37" s="167">
        <v>20000</v>
      </c>
      <c r="DI37" s="167">
        <v>20000</v>
      </c>
      <c r="DJ37" s="167">
        <v>20000</v>
      </c>
      <c r="DK37" s="167">
        <v>20000</v>
      </c>
      <c r="DL37" s="167">
        <v>20000</v>
      </c>
      <c r="DM37" s="167">
        <v>20000</v>
      </c>
      <c r="DN37" s="167">
        <v>20000</v>
      </c>
      <c r="DO37" s="167">
        <v>20000</v>
      </c>
      <c r="DP37" s="167">
        <v>18960.154940905075</v>
      </c>
      <c r="DQ37" s="167">
        <v>15962.171732630808</v>
      </c>
      <c r="DR37" s="167">
        <v>13630.14771112802</v>
      </c>
      <c r="DS37" s="167">
        <v>12013.027589362979</v>
      </c>
      <c r="DT37" s="167">
        <v>11132.984789255517</v>
      </c>
      <c r="DU37" s="167">
        <v>10769.430882668426</v>
      </c>
      <c r="DV37" s="167">
        <v>11299.670846978912</v>
      </c>
      <c r="DW37" s="167">
        <v>12716.084521495273</v>
      </c>
      <c r="DX37" s="167">
        <v>14730.293147274755</v>
      </c>
      <c r="DY37" s="167">
        <v>17609.124712043435</v>
      </c>
      <c r="DZ37" s="167">
        <v>20000</v>
      </c>
      <c r="EA37" s="167">
        <v>20000</v>
      </c>
      <c r="EB37" s="167">
        <v>20000</v>
      </c>
      <c r="EC37" s="167">
        <v>20000</v>
      </c>
      <c r="ED37" s="167">
        <v>20000</v>
      </c>
      <c r="EE37" s="167">
        <v>20000</v>
      </c>
      <c r="EF37" s="167">
        <v>20000</v>
      </c>
      <c r="EG37" s="167">
        <v>20000</v>
      </c>
      <c r="EH37" s="167">
        <v>20000</v>
      </c>
      <c r="EI37" s="167">
        <v>20000</v>
      </c>
      <c r="EJ37" s="167">
        <v>20000</v>
      </c>
      <c r="EK37" s="167">
        <v>20000</v>
      </c>
      <c r="EL37" s="167">
        <v>20000</v>
      </c>
      <c r="EM37" s="167">
        <v>20000</v>
      </c>
      <c r="EN37" s="167">
        <v>20000</v>
      </c>
      <c r="EO37" s="167">
        <v>20000</v>
      </c>
      <c r="EP37" t="str">
        <f t="shared" si="0"/>
        <v>1y 245d</v>
      </c>
      <c r="ES37" s="271">
        <f>ES31</f>
        <v>9960.9339515411575</v>
      </c>
      <c r="ET37" s="272"/>
      <c r="EU37" s="272"/>
      <c r="EV37" s="272">
        <f>(1+EV31)*ES37</f>
        <v>10458.980649118215</v>
      </c>
      <c r="EW37" s="272"/>
      <c r="EX37" s="275"/>
    </row>
    <row r="38" spans="2:154" x14ac:dyDescent="0.25">
      <c r="B38" s="65">
        <v>35</v>
      </c>
      <c r="D38">
        <v>10583270.545364931</v>
      </c>
      <c r="E38" s="12">
        <v>-86142372476.632248</v>
      </c>
      <c r="F38" s="12">
        <v>-123839448831.01485</v>
      </c>
      <c r="G38" s="12">
        <v>0</v>
      </c>
      <c r="H38" s="12">
        <v>42161161.828933701</v>
      </c>
      <c r="I38" s="12">
        <v>-22782960784.579918</v>
      </c>
      <c r="J38" s="12">
        <v>412067250816.76514</v>
      </c>
      <c r="K38" s="12">
        <v>-18754351004.76162</v>
      </c>
      <c r="L38" s="12"/>
      <c r="M38" s="12"/>
      <c r="N38" s="12"/>
      <c r="O38" s="12"/>
      <c r="P38" s="12">
        <v>5071738.3112631636</v>
      </c>
      <c r="Q38" s="12">
        <v>157828508506.1373</v>
      </c>
      <c r="R38" s="12">
        <v>98059441489.348923</v>
      </c>
      <c r="S38" s="12">
        <v>0</v>
      </c>
      <c r="T38" s="12">
        <v>6878082.4965467276</v>
      </c>
      <c r="U38" s="12">
        <v>4909333119.4101219</v>
      </c>
      <c r="V38" s="12">
        <v>308753507427.99762</v>
      </c>
      <c r="W38" s="12">
        <v>-276295724.56902176</v>
      </c>
      <c r="X38" s="12"/>
      <c r="Y38" s="12"/>
      <c r="Z38" s="12"/>
      <c r="AA38" s="12"/>
      <c r="AB38" s="12"/>
      <c r="AC38" s="12"/>
      <c r="AD38" s="12"/>
      <c r="AE38" s="12"/>
      <c r="AG38" s="27">
        <v>0</v>
      </c>
      <c r="AH38" s="27">
        <v>0</v>
      </c>
      <c r="AI38" s="27">
        <v>0</v>
      </c>
      <c r="AJ38" s="27">
        <v>0</v>
      </c>
      <c r="AK38" s="27">
        <v>0</v>
      </c>
      <c r="AL38" s="27">
        <v>0</v>
      </c>
      <c r="AS38" s="6">
        <v>53944882.830683962</v>
      </c>
      <c r="AT38" s="167">
        <v>20000</v>
      </c>
      <c r="AU38" s="167">
        <v>20000</v>
      </c>
      <c r="AV38" s="167">
        <v>19036.995354770625</v>
      </c>
      <c r="AW38" s="167">
        <v>16884.498866881218</v>
      </c>
      <c r="AX38" s="167">
        <v>15556.989603102224</v>
      </c>
      <c r="AY38" s="167">
        <v>14792.638366560655</v>
      </c>
      <c r="AZ38" s="167">
        <v>14303.713257752581</v>
      </c>
      <c r="BA38" s="167">
        <v>14472.629847534805</v>
      </c>
      <c r="BB38" s="167">
        <v>15313.075038985169</v>
      </c>
      <c r="BC38" s="167">
        <v>16805.873626427187</v>
      </c>
      <c r="BD38" s="167">
        <v>18905.369760614176</v>
      </c>
      <c r="BE38" s="167">
        <v>20000</v>
      </c>
      <c r="BF38" s="167">
        <v>20000</v>
      </c>
      <c r="BG38" s="167">
        <v>20000</v>
      </c>
      <c r="BH38" s="167">
        <v>20000</v>
      </c>
      <c r="BI38" s="167">
        <v>20000</v>
      </c>
      <c r="BJ38" s="167">
        <v>20000</v>
      </c>
      <c r="BK38" s="167">
        <v>20000</v>
      </c>
      <c r="BL38" s="167">
        <v>20000</v>
      </c>
      <c r="BM38" s="167">
        <v>20000</v>
      </c>
      <c r="BN38" s="167">
        <v>20000</v>
      </c>
      <c r="BO38" s="167">
        <v>20000</v>
      </c>
      <c r="BP38" s="167">
        <v>20000</v>
      </c>
      <c r="BQ38" s="167">
        <v>20000</v>
      </c>
      <c r="BR38" s="167">
        <v>20000</v>
      </c>
      <c r="BS38" s="167">
        <v>20000</v>
      </c>
      <c r="BT38" s="167">
        <v>20000</v>
      </c>
      <c r="BU38" s="167">
        <v>19946.352340802423</v>
      </c>
      <c r="BV38" s="167">
        <v>16763.75010495061</v>
      </c>
      <c r="BW38" s="167">
        <v>14178.075968170922</v>
      </c>
      <c r="BX38" s="167">
        <v>12189.225505517166</v>
      </c>
      <c r="BY38" s="167">
        <v>10918.800886089779</v>
      </c>
      <c r="BZ38" s="167">
        <v>10570.996100801949</v>
      </c>
      <c r="CA38" s="167">
        <v>11018.126431987559</v>
      </c>
      <c r="CB38" s="167">
        <v>12454.520482369979</v>
      </c>
      <c r="CC38" s="167">
        <v>14571.079512590954</v>
      </c>
      <c r="CD38" s="167">
        <v>17644.218815730248</v>
      </c>
      <c r="CE38" s="167">
        <v>20000</v>
      </c>
      <c r="CF38" s="167">
        <v>20000</v>
      </c>
      <c r="CG38" s="167">
        <v>20000</v>
      </c>
      <c r="CH38" s="167">
        <v>20000</v>
      </c>
      <c r="CI38" s="167">
        <v>20000</v>
      </c>
      <c r="CJ38" s="167">
        <v>20000</v>
      </c>
      <c r="CK38" s="167">
        <v>20000</v>
      </c>
      <c r="CL38" s="167">
        <v>20000</v>
      </c>
      <c r="CM38" s="167">
        <v>20000</v>
      </c>
      <c r="CN38" s="167">
        <v>20000</v>
      </c>
      <c r="CO38" s="167">
        <v>20000</v>
      </c>
      <c r="CP38" s="167">
        <v>20000</v>
      </c>
      <c r="CQ38" s="167">
        <v>20000</v>
      </c>
      <c r="CR38" s="167">
        <v>20000</v>
      </c>
      <c r="CS38" s="167">
        <v>17587.77572236834</v>
      </c>
      <c r="CT38" s="167">
        <v>14825.761353692857</v>
      </c>
      <c r="CU38" s="167">
        <v>12807.720291518559</v>
      </c>
      <c r="CV38" s="167">
        <v>11624.631251374611</v>
      </c>
      <c r="CW38" s="167">
        <v>10637.49549081871</v>
      </c>
      <c r="CX38" s="167">
        <v>10560.539878902235</v>
      </c>
      <c r="CY38" s="167">
        <v>11536.998992722587</v>
      </c>
      <c r="CZ38" s="167">
        <v>13576.411546564745</v>
      </c>
      <c r="DA38" s="167">
        <v>15845.033962162801</v>
      </c>
      <c r="DB38" s="167">
        <v>19255.08724193454</v>
      </c>
      <c r="DC38" s="167">
        <v>20000</v>
      </c>
      <c r="DD38" s="167">
        <v>20000</v>
      </c>
      <c r="DE38" s="167">
        <v>20000</v>
      </c>
      <c r="DF38" s="167">
        <v>20000</v>
      </c>
      <c r="DG38" s="167">
        <v>20000</v>
      </c>
      <c r="DH38" s="167">
        <v>20000</v>
      </c>
      <c r="DI38" s="167">
        <v>20000</v>
      </c>
      <c r="DJ38" s="167">
        <v>20000</v>
      </c>
      <c r="DK38" s="167">
        <v>20000</v>
      </c>
      <c r="DL38" s="167">
        <v>20000</v>
      </c>
      <c r="DM38" s="167">
        <v>20000</v>
      </c>
      <c r="DN38" s="167">
        <v>20000</v>
      </c>
      <c r="DO38" s="167">
        <v>20000</v>
      </c>
      <c r="DP38" s="167">
        <v>19437.904882034036</v>
      </c>
      <c r="DQ38" s="167">
        <v>16314.366992857711</v>
      </c>
      <c r="DR38" s="167">
        <v>13883.388059811583</v>
      </c>
      <c r="DS38" s="167">
        <v>12164.107169521969</v>
      </c>
      <c r="DT38" s="167">
        <v>11263.822626611156</v>
      </c>
      <c r="DU38" s="167">
        <v>10858.36581827675</v>
      </c>
      <c r="DV38" s="167">
        <v>11337.163210108676</v>
      </c>
      <c r="DW38" s="167">
        <v>12689.065462880308</v>
      </c>
      <c r="DX38" s="167">
        <v>14673.067567688771</v>
      </c>
      <c r="DY38" s="167">
        <v>17481.774069329051</v>
      </c>
      <c r="DZ38" s="167">
        <v>20000</v>
      </c>
      <c r="EA38" s="167">
        <v>20000</v>
      </c>
      <c r="EB38" s="167">
        <v>20000</v>
      </c>
      <c r="EC38" s="167">
        <v>20000</v>
      </c>
      <c r="ED38" s="167">
        <v>20000</v>
      </c>
      <c r="EE38" s="167">
        <v>20000</v>
      </c>
      <c r="EF38" s="167">
        <v>20000</v>
      </c>
      <c r="EG38" s="167">
        <v>20000</v>
      </c>
      <c r="EH38" s="167">
        <v>20000</v>
      </c>
      <c r="EI38" s="167">
        <v>20000</v>
      </c>
      <c r="EJ38" s="167">
        <v>20000</v>
      </c>
      <c r="EK38" s="167">
        <v>20000</v>
      </c>
      <c r="EL38" s="167">
        <v>20000</v>
      </c>
      <c r="EM38" s="167">
        <v>20000</v>
      </c>
      <c r="EN38" s="167">
        <v>20000</v>
      </c>
      <c r="EO38" s="167">
        <v>20000</v>
      </c>
      <c r="EP38" t="str">
        <f t="shared" si="0"/>
        <v>1y 259d</v>
      </c>
      <c r="ES38" s="271"/>
      <c r="ET38" s="272"/>
      <c r="EU38" s="272"/>
      <c r="EV38" s="272"/>
      <c r="EW38" s="272"/>
      <c r="EX38" s="275"/>
    </row>
    <row r="39" spans="2:154" ht="15.75" thickBot="1" x14ac:dyDescent="0.3">
      <c r="B39" s="65">
        <v>36</v>
      </c>
      <c r="D39">
        <v>10904578.342986226</v>
      </c>
      <c r="E39" s="12">
        <v>-78266124275.293503</v>
      </c>
      <c r="F39" s="12">
        <v>-129118954097.95338</v>
      </c>
      <c r="G39" s="12">
        <v>0</v>
      </c>
      <c r="H39" s="12">
        <v>43595552.250406049</v>
      </c>
      <c r="I39" s="12">
        <v>-49033907804.074516</v>
      </c>
      <c r="J39" s="12">
        <v>413266062717.31354</v>
      </c>
      <c r="K39" s="12">
        <v>-18108548959.571018</v>
      </c>
      <c r="L39" s="12"/>
      <c r="M39" s="12"/>
      <c r="N39" s="12"/>
      <c r="O39" s="12"/>
      <c r="P39" s="12">
        <v>5267092.3048802316</v>
      </c>
      <c r="Q39" s="12">
        <v>156530787721.24353</v>
      </c>
      <c r="R39" s="12">
        <v>104077798211.01309</v>
      </c>
      <c r="S39" s="12">
        <v>0</v>
      </c>
      <c r="T39" s="12">
        <v>7152264.7653775187</v>
      </c>
      <c r="U39" s="12">
        <v>59598669.701467797</v>
      </c>
      <c r="V39" s="12">
        <v>311705721662.58716</v>
      </c>
      <c r="W39" s="12">
        <v>-286275476.70172697</v>
      </c>
      <c r="X39" s="12"/>
      <c r="Y39" s="12"/>
      <c r="Z39" s="12"/>
      <c r="AA39" s="12"/>
      <c r="AB39" s="12"/>
      <c r="AC39" s="12"/>
      <c r="AD39" s="12"/>
      <c r="AE39" s="12"/>
      <c r="AJ39">
        <v>320396770040.38855</v>
      </c>
      <c r="AK39">
        <v>197878797084.20273</v>
      </c>
      <c r="AL39">
        <v>-17868333871.247173</v>
      </c>
      <c r="AS39" s="6">
        <v>55132545.372726828</v>
      </c>
      <c r="AT39" s="167">
        <v>20000</v>
      </c>
      <c r="AU39" s="167">
        <v>20000</v>
      </c>
      <c r="AV39" s="167">
        <v>19882.345666954956</v>
      </c>
      <c r="AW39" s="167">
        <v>17524.580506635077</v>
      </c>
      <c r="AX39" s="167">
        <v>15969.810948394803</v>
      </c>
      <c r="AY39" s="167">
        <v>15159.440417802298</v>
      </c>
      <c r="AZ39" s="167">
        <v>14521.863014621991</v>
      </c>
      <c r="BA39" s="167">
        <v>14544.394605454007</v>
      </c>
      <c r="BB39" s="167">
        <v>15244.351060721654</v>
      </c>
      <c r="BC39" s="167">
        <v>16607.098624326965</v>
      </c>
      <c r="BD39" s="167">
        <v>18589.276638910924</v>
      </c>
      <c r="BE39" s="167">
        <v>20000</v>
      </c>
      <c r="BF39" s="167">
        <v>20000</v>
      </c>
      <c r="BG39" s="167">
        <v>20000</v>
      </c>
      <c r="BH39" s="167">
        <v>20000</v>
      </c>
      <c r="BI39" s="167">
        <v>20000</v>
      </c>
      <c r="BJ39" s="167">
        <v>20000</v>
      </c>
      <c r="BK39" s="167">
        <v>20000</v>
      </c>
      <c r="BL39" s="167">
        <v>20000</v>
      </c>
      <c r="BM39" s="167">
        <v>20000</v>
      </c>
      <c r="BN39" s="167">
        <v>20000</v>
      </c>
      <c r="BO39" s="167">
        <v>20000</v>
      </c>
      <c r="BP39" s="167">
        <v>20000</v>
      </c>
      <c r="BQ39" s="167">
        <v>20000</v>
      </c>
      <c r="BR39" s="167">
        <v>20000</v>
      </c>
      <c r="BS39" s="167">
        <v>20000</v>
      </c>
      <c r="BT39" s="167">
        <v>20000</v>
      </c>
      <c r="BU39" s="167">
        <v>20000</v>
      </c>
      <c r="BV39" s="167">
        <v>17155.872647816192</v>
      </c>
      <c r="BW39" s="167">
        <v>14481.990842926392</v>
      </c>
      <c r="BX39" s="167">
        <v>12422.087033844826</v>
      </c>
      <c r="BY39" s="167">
        <v>11099.635739497553</v>
      </c>
      <c r="BZ39" s="167">
        <v>10702.444106974352</v>
      </c>
      <c r="CA39" s="167">
        <v>11076.107345429768</v>
      </c>
      <c r="CB39" s="167">
        <v>12438.409081423797</v>
      </c>
      <c r="CC39" s="167">
        <v>14498.120762539569</v>
      </c>
      <c r="CD39" s="167">
        <v>17469.013228547592</v>
      </c>
      <c r="CE39" s="167">
        <v>20000</v>
      </c>
      <c r="CF39" s="167">
        <v>20000</v>
      </c>
      <c r="CG39" s="167">
        <v>20000</v>
      </c>
      <c r="CH39" s="167">
        <v>20000</v>
      </c>
      <c r="CI39" s="167">
        <v>20000</v>
      </c>
      <c r="CJ39" s="167">
        <v>20000</v>
      </c>
      <c r="CK39" s="167">
        <v>20000</v>
      </c>
      <c r="CL39" s="167">
        <v>20000</v>
      </c>
      <c r="CM39" s="167">
        <v>20000</v>
      </c>
      <c r="CN39" s="167">
        <v>20000</v>
      </c>
      <c r="CO39" s="167">
        <v>20000</v>
      </c>
      <c r="CP39" s="167">
        <v>20000</v>
      </c>
      <c r="CQ39" s="167">
        <v>20000</v>
      </c>
      <c r="CR39" s="167">
        <v>20000</v>
      </c>
      <c r="CS39" s="167">
        <v>17836.999514626346</v>
      </c>
      <c r="CT39" s="167">
        <v>14985.690792753285</v>
      </c>
      <c r="CU39" s="167">
        <v>12886.145312194687</v>
      </c>
      <c r="CV39" s="167">
        <v>11700.959893907049</v>
      </c>
      <c r="CW39" s="167">
        <v>10687.054697252806</v>
      </c>
      <c r="CX39" s="167">
        <v>10587.21266678866</v>
      </c>
      <c r="CY39" s="167">
        <v>11536.823228903524</v>
      </c>
      <c r="CZ39" s="167">
        <v>13540.648531363699</v>
      </c>
      <c r="DA39" s="167">
        <v>15802.809247783041</v>
      </c>
      <c r="DB39" s="167">
        <v>19117.324899225459</v>
      </c>
      <c r="DC39" s="167">
        <v>20000</v>
      </c>
      <c r="DD39" s="167">
        <v>20000</v>
      </c>
      <c r="DE39" s="167">
        <v>20000</v>
      </c>
      <c r="DF39" s="167">
        <v>20000</v>
      </c>
      <c r="DG39" s="167">
        <v>20000</v>
      </c>
      <c r="DH39" s="167">
        <v>20000</v>
      </c>
      <c r="DI39" s="167">
        <v>20000</v>
      </c>
      <c r="DJ39" s="167">
        <v>20000</v>
      </c>
      <c r="DK39" s="167">
        <v>20000</v>
      </c>
      <c r="DL39" s="167">
        <v>20000</v>
      </c>
      <c r="DM39" s="167">
        <v>20000</v>
      </c>
      <c r="DN39" s="167">
        <v>20000</v>
      </c>
      <c r="DO39" s="167">
        <v>20000</v>
      </c>
      <c r="DP39" s="167">
        <v>19990.672561056359</v>
      </c>
      <c r="DQ39" s="167">
        <v>16734.021121364654</v>
      </c>
      <c r="DR39" s="167">
        <v>14198.599277602239</v>
      </c>
      <c r="DS39" s="167">
        <v>12378.78083496424</v>
      </c>
      <c r="DT39" s="167">
        <v>11370.803057448938</v>
      </c>
      <c r="DU39" s="167">
        <v>10975.785589743624</v>
      </c>
      <c r="DV39" s="167">
        <v>11394.01678130582</v>
      </c>
      <c r="DW39" s="167">
        <v>12673.907994192681</v>
      </c>
      <c r="DX39" s="167">
        <v>14619.555152641802</v>
      </c>
      <c r="DY39" s="167">
        <v>17360.14410646446</v>
      </c>
      <c r="DZ39" s="167">
        <v>20000</v>
      </c>
      <c r="EA39" s="167">
        <v>20000</v>
      </c>
      <c r="EB39" s="167">
        <v>20000</v>
      </c>
      <c r="EC39" s="167">
        <v>20000</v>
      </c>
      <c r="ED39" s="167">
        <v>20000</v>
      </c>
      <c r="EE39" s="167">
        <v>20000</v>
      </c>
      <c r="EF39" s="167">
        <v>20000</v>
      </c>
      <c r="EG39" s="167">
        <v>20000</v>
      </c>
      <c r="EH39" s="167">
        <v>20000</v>
      </c>
      <c r="EI39" s="167">
        <v>20000</v>
      </c>
      <c r="EJ39" s="167">
        <v>20000</v>
      </c>
      <c r="EK39" s="167">
        <v>20000</v>
      </c>
      <c r="EL39" s="167">
        <v>20000</v>
      </c>
      <c r="EM39" s="167">
        <v>20000</v>
      </c>
      <c r="EN39" s="167">
        <v>20000</v>
      </c>
      <c r="EO39" s="167">
        <v>20000</v>
      </c>
      <c r="EP39" t="str">
        <f t="shared" si="0"/>
        <v>1y 273d</v>
      </c>
      <c r="ES39" s="273"/>
      <c r="ET39" s="274"/>
      <c r="EU39" s="274"/>
      <c r="EV39" s="274"/>
      <c r="EW39" s="274"/>
      <c r="EX39" s="276"/>
    </row>
    <row r="40" spans="2:154" x14ac:dyDescent="0.25">
      <c r="B40" s="65">
        <v>37</v>
      </c>
      <c r="D40">
        <v>11226447.275350349</v>
      </c>
      <c r="E40" s="12">
        <v>-70064022139.90448</v>
      </c>
      <c r="F40" s="12">
        <v>-133892786288.95923</v>
      </c>
      <c r="G40" s="12">
        <v>0</v>
      </c>
      <c r="H40" s="12">
        <v>45054171.318854101</v>
      </c>
      <c r="I40" s="12">
        <v>-75538339685.978851</v>
      </c>
      <c r="J40" s="12">
        <v>412885591096.00201</v>
      </c>
      <c r="K40" s="12">
        <v>-17381753762.299217</v>
      </c>
      <c r="L40" s="12"/>
      <c r="M40" s="12"/>
      <c r="N40" s="12"/>
      <c r="O40" s="12"/>
      <c r="P40" s="12">
        <v>5467083.5243662968</v>
      </c>
      <c r="Q40" s="12">
        <v>155078706393.03088</v>
      </c>
      <c r="R40" s="12">
        <v>110156852607.13101</v>
      </c>
      <c r="S40" s="12">
        <v>0</v>
      </c>
      <c r="T40" s="12">
        <v>7431644.7771424213</v>
      </c>
      <c r="U40" s="12">
        <v>-4882091017.3191366</v>
      </c>
      <c r="V40" s="12">
        <v>314608337254.05768</v>
      </c>
      <c r="W40" s="12">
        <v>-296347461.51513416</v>
      </c>
      <c r="X40" s="12"/>
      <c r="Y40" s="12"/>
      <c r="Z40" s="12"/>
      <c r="AA40" s="12"/>
      <c r="AB40" s="12"/>
      <c r="AC40" s="12"/>
      <c r="AD40" s="12"/>
      <c r="AE40" s="12"/>
      <c r="AG40" s="254" t="s">
        <v>65</v>
      </c>
      <c r="AH40" s="254"/>
      <c r="AI40" s="254"/>
      <c r="AS40" s="6">
        <v>56320207.914769694</v>
      </c>
      <c r="AT40" s="167">
        <v>20000</v>
      </c>
      <c r="AU40" s="167">
        <v>20000</v>
      </c>
      <c r="AV40" s="167">
        <v>20000</v>
      </c>
      <c r="AW40" s="167">
        <v>18203.729021474574</v>
      </c>
      <c r="AX40" s="167">
        <v>16426.93705334299</v>
      </c>
      <c r="AY40" s="167">
        <v>15544.725324551862</v>
      </c>
      <c r="AZ40" s="167">
        <v>14755.401766527824</v>
      </c>
      <c r="BA40" s="167">
        <v>14629.353727693631</v>
      </c>
      <c r="BB40" s="167">
        <v>15187.065966174536</v>
      </c>
      <c r="BC40" s="167">
        <v>16418.533125896531</v>
      </c>
      <c r="BD40" s="167">
        <v>18282.957359253789</v>
      </c>
      <c r="BE40" s="167">
        <v>20000</v>
      </c>
      <c r="BF40" s="167">
        <v>20000</v>
      </c>
      <c r="BG40" s="167">
        <v>20000</v>
      </c>
      <c r="BH40" s="167">
        <v>20000</v>
      </c>
      <c r="BI40" s="167">
        <v>20000</v>
      </c>
      <c r="BJ40" s="167">
        <v>20000</v>
      </c>
      <c r="BK40" s="167">
        <v>20000</v>
      </c>
      <c r="BL40" s="167">
        <v>20000</v>
      </c>
      <c r="BM40" s="167">
        <v>20000</v>
      </c>
      <c r="BN40" s="167">
        <v>20000</v>
      </c>
      <c r="BO40" s="167">
        <v>20000</v>
      </c>
      <c r="BP40" s="167">
        <v>20000</v>
      </c>
      <c r="BQ40" s="167">
        <v>20000</v>
      </c>
      <c r="BR40" s="167">
        <v>20000</v>
      </c>
      <c r="BS40" s="167">
        <v>20000</v>
      </c>
      <c r="BT40" s="167">
        <v>20000</v>
      </c>
      <c r="BU40" s="167">
        <v>20000</v>
      </c>
      <c r="BV40" s="167">
        <v>17561.938596851407</v>
      </c>
      <c r="BW40" s="167">
        <v>14797.957190228371</v>
      </c>
      <c r="BX40" s="167">
        <v>12665.058084527704</v>
      </c>
      <c r="BY40" s="167">
        <v>11285.622192121582</v>
      </c>
      <c r="BZ40" s="167">
        <v>10837.927221980066</v>
      </c>
      <c r="CA40" s="167">
        <v>11136.885467060594</v>
      </c>
      <c r="CB40" s="167">
        <v>12424.271583917071</v>
      </c>
      <c r="CC40" s="167">
        <v>14444.656696931206</v>
      </c>
      <c r="CD40" s="167">
        <v>17301.489070581265</v>
      </c>
      <c r="CE40" s="167">
        <v>20000</v>
      </c>
      <c r="CF40" s="167">
        <v>20000</v>
      </c>
      <c r="CG40" s="167">
        <v>20000</v>
      </c>
      <c r="CH40" s="167">
        <v>20000</v>
      </c>
      <c r="CI40" s="167">
        <v>20000</v>
      </c>
      <c r="CJ40" s="167">
        <v>20000</v>
      </c>
      <c r="CK40" s="167">
        <v>20000</v>
      </c>
      <c r="CL40" s="167">
        <v>20000</v>
      </c>
      <c r="CM40" s="167">
        <v>20000</v>
      </c>
      <c r="CN40" s="167">
        <v>20000</v>
      </c>
      <c r="CO40" s="167">
        <v>20000</v>
      </c>
      <c r="CP40" s="167">
        <v>20000</v>
      </c>
      <c r="CQ40" s="167">
        <v>20000</v>
      </c>
      <c r="CR40" s="167">
        <v>20000</v>
      </c>
      <c r="CS40" s="167">
        <v>18120.608122160138</v>
      </c>
      <c r="CT40" s="167">
        <v>15177.634400821893</v>
      </c>
      <c r="CU40" s="167">
        <v>12994.895453729172</v>
      </c>
      <c r="CV40" s="167">
        <v>11803.115601526826</v>
      </c>
      <c r="CW40" s="167">
        <v>10757.722904081955</v>
      </c>
      <c r="CX40" s="167">
        <v>10629.876705115177</v>
      </c>
      <c r="CY40" s="167">
        <v>11547.699376541583</v>
      </c>
      <c r="CZ40" s="167">
        <v>13511.879769884617</v>
      </c>
      <c r="DA40" s="167">
        <v>15773.179556468454</v>
      </c>
      <c r="DB40" s="167">
        <v>18983.851835457634</v>
      </c>
      <c r="DC40" s="167">
        <v>20000</v>
      </c>
      <c r="DD40" s="167">
        <v>20000</v>
      </c>
      <c r="DE40" s="167">
        <v>20000</v>
      </c>
      <c r="DF40" s="167">
        <v>20000</v>
      </c>
      <c r="DG40" s="167">
        <v>20000</v>
      </c>
      <c r="DH40" s="167">
        <v>20000</v>
      </c>
      <c r="DI40" s="167">
        <v>20000</v>
      </c>
      <c r="DJ40" s="167">
        <v>20000</v>
      </c>
      <c r="DK40" s="167">
        <v>20000</v>
      </c>
      <c r="DL40" s="167">
        <v>20000</v>
      </c>
      <c r="DM40" s="167">
        <v>20000</v>
      </c>
      <c r="DN40" s="167">
        <v>20000</v>
      </c>
      <c r="DO40" s="167">
        <v>20000</v>
      </c>
      <c r="DP40" s="167">
        <v>20000</v>
      </c>
      <c r="DQ40" s="167">
        <v>17220.248307915128</v>
      </c>
      <c r="DR40" s="167">
        <v>14574.091941538612</v>
      </c>
      <c r="DS40" s="167">
        <v>12653.265288121274</v>
      </c>
      <c r="DT40" s="167">
        <v>11514.903946923598</v>
      </c>
      <c r="DU40" s="167">
        <v>11120.676776794935</v>
      </c>
      <c r="DV40" s="167">
        <v>11469.628482394633</v>
      </c>
      <c r="DW40" s="167">
        <v>12670.366670546273</v>
      </c>
      <c r="DX40" s="167">
        <v>14574.450483113156</v>
      </c>
      <c r="DY40" s="167">
        <v>17247.328603345963</v>
      </c>
      <c r="DZ40" s="167">
        <v>20000</v>
      </c>
      <c r="EA40" s="167">
        <v>20000</v>
      </c>
      <c r="EB40" s="167">
        <v>20000</v>
      </c>
      <c r="EC40" s="167">
        <v>20000</v>
      </c>
      <c r="ED40" s="167">
        <v>20000</v>
      </c>
      <c r="EE40" s="167">
        <v>20000</v>
      </c>
      <c r="EF40" s="167">
        <v>20000</v>
      </c>
      <c r="EG40" s="167">
        <v>20000</v>
      </c>
      <c r="EH40" s="167">
        <v>20000</v>
      </c>
      <c r="EI40" s="167">
        <v>20000</v>
      </c>
      <c r="EJ40" s="167">
        <v>20000</v>
      </c>
      <c r="EK40" s="167">
        <v>20000</v>
      </c>
      <c r="EL40" s="167">
        <v>20000</v>
      </c>
      <c r="EM40" s="167">
        <v>20000</v>
      </c>
      <c r="EN40" s="167">
        <v>20000</v>
      </c>
      <c r="EO40" s="167">
        <v>20000</v>
      </c>
      <c r="EP40" t="str">
        <f t="shared" si="0"/>
        <v>1y 287d</v>
      </c>
    </row>
    <row r="41" spans="2:154" ht="15" customHeight="1" x14ac:dyDescent="0.25">
      <c r="B41" s="65">
        <v>38</v>
      </c>
      <c r="D41">
        <v>11548853.328685608</v>
      </c>
      <c r="E41" s="12">
        <v>-61568614282.777946</v>
      </c>
      <c r="F41" s="12">
        <v>-138140220958.05042</v>
      </c>
      <c r="G41" s="12">
        <v>0</v>
      </c>
      <c r="H41" s="12">
        <v>46537914.748216674</v>
      </c>
      <c r="I41" s="12">
        <v>-102204259541.00375</v>
      </c>
      <c r="J41" s="12">
        <v>410886694361.55164</v>
      </c>
      <c r="K41" s="12">
        <v>-16574586732.459932</v>
      </c>
      <c r="L41" s="12"/>
      <c r="M41" s="12"/>
      <c r="N41" s="12"/>
      <c r="O41" s="12"/>
      <c r="P41" s="12">
        <v>5671948.1380999936</v>
      </c>
      <c r="Q41" s="12">
        <v>153467329995.25885</v>
      </c>
      <c r="R41" s="12">
        <v>116296012795.57564</v>
      </c>
      <c r="S41" s="12">
        <v>0</v>
      </c>
      <c r="T41" s="12">
        <v>7716319.8160072649</v>
      </c>
      <c r="U41" s="12">
        <v>-9915767808.990963</v>
      </c>
      <c r="V41" s="12">
        <v>317458413261.03113</v>
      </c>
      <c r="W41" s="12">
        <v>-306509024.91404909</v>
      </c>
      <c r="X41" s="12"/>
      <c r="Y41" s="12"/>
      <c r="Z41" s="12"/>
      <c r="AA41" s="12"/>
      <c r="AB41" s="12"/>
      <c r="AC41" s="12"/>
      <c r="AD41" s="12"/>
      <c r="AE41" s="12"/>
      <c r="AG41" s="65" t="s">
        <v>22</v>
      </c>
      <c r="AH41" s="65" t="s">
        <v>23</v>
      </c>
      <c r="AI41" s="65" t="s">
        <v>26</v>
      </c>
      <c r="AS41" s="6">
        <v>57507870.456812561</v>
      </c>
      <c r="AT41" s="167">
        <v>20000</v>
      </c>
      <c r="AU41" s="167">
        <v>20000</v>
      </c>
      <c r="AV41" s="167">
        <v>20000</v>
      </c>
      <c r="AW41" s="167">
        <v>18921.226722643332</v>
      </c>
      <c r="AX41" s="167">
        <v>16925.626188789778</v>
      </c>
      <c r="AY41" s="167">
        <v>15814.526339618465</v>
      </c>
      <c r="AZ41" s="167">
        <v>15005.000331072342</v>
      </c>
      <c r="BA41" s="167">
        <v>14728.383498966554</v>
      </c>
      <c r="BB41" s="167">
        <v>15142.180304352023</v>
      </c>
      <c r="BC41" s="167">
        <v>16241.060163844899</v>
      </c>
      <c r="BD41" s="167">
        <v>17987.105455435467</v>
      </c>
      <c r="BE41" s="167">
        <v>19983.084841005686</v>
      </c>
      <c r="BF41" s="167">
        <v>20000</v>
      </c>
      <c r="BG41" s="167">
        <v>20000</v>
      </c>
      <c r="BH41" s="167">
        <v>20000</v>
      </c>
      <c r="BI41" s="167">
        <v>20000</v>
      </c>
      <c r="BJ41" s="167">
        <v>20000</v>
      </c>
      <c r="BK41" s="167">
        <v>20000</v>
      </c>
      <c r="BL41" s="167">
        <v>20000</v>
      </c>
      <c r="BM41" s="167">
        <v>20000</v>
      </c>
      <c r="BN41" s="167">
        <v>20000</v>
      </c>
      <c r="BO41" s="167">
        <v>20000</v>
      </c>
      <c r="BP41" s="167">
        <v>20000</v>
      </c>
      <c r="BQ41" s="167">
        <v>20000</v>
      </c>
      <c r="BR41" s="167">
        <v>20000</v>
      </c>
      <c r="BS41" s="167">
        <v>20000</v>
      </c>
      <c r="BT41" s="167">
        <v>20000</v>
      </c>
      <c r="BU41" s="167">
        <v>20000</v>
      </c>
      <c r="BV41" s="167">
        <v>17981.443241897818</v>
      </c>
      <c r="BW41" s="167">
        <v>15125.347288760851</v>
      </c>
      <c r="BX41" s="167">
        <v>12917.310795580708</v>
      </c>
      <c r="BY41" s="167">
        <v>11476.21487202384</v>
      </c>
      <c r="BZ41" s="167">
        <v>10977.455976038393</v>
      </c>
      <c r="CA41" s="167">
        <v>11200.552587747161</v>
      </c>
      <c r="CB41" s="167">
        <v>12412.220122194823</v>
      </c>
      <c r="CC41" s="167">
        <v>14416.132090226132</v>
      </c>
      <c r="CD41" s="167">
        <v>17142.473177028733</v>
      </c>
      <c r="CE41" s="167">
        <v>20000</v>
      </c>
      <c r="CF41" s="167">
        <v>20000</v>
      </c>
      <c r="CG41" s="167">
        <v>20000</v>
      </c>
      <c r="CH41" s="167">
        <v>20000</v>
      </c>
      <c r="CI41" s="167">
        <v>20000</v>
      </c>
      <c r="CJ41" s="167">
        <v>20000</v>
      </c>
      <c r="CK41" s="167">
        <v>20000</v>
      </c>
      <c r="CL41" s="167">
        <v>20000</v>
      </c>
      <c r="CM41" s="167">
        <v>20000</v>
      </c>
      <c r="CN41" s="167">
        <v>20000</v>
      </c>
      <c r="CO41" s="167">
        <v>20000</v>
      </c>
      <c r="CP41" s="167">
        <v>20000</v>
      </c>
      <c r="CQ41" s="167">
        <v>20000</v>
      </c>
      <c r="CR41" s="167">
        <v>20000</v>
      </c>
      <c r="CS41" s="167">
        <v>18437.191030793645</v>
      </c>
      <c r="CT41" s="167">
        <v>15400.10073556615</v>
      </c>
      <c r="CU41" s="167">
        <v>13132.406530666165</v>
      </c>
      <c r="CV41" s="167">
        <v>11929.746131337612</v>
      </c>
      <c r="CW41" s="167">
        <v>10848.281088755803</v>
      </c>
      <c r="CX41" s="167">
        <v>10687.480443401488</v>
      </c>
      <c r="CY41" s="167">
        <v>11568.782767071954</v>
      </c>
      <c r="CZ41" s="167">
        <v>13461.589155283185</v>
      </c>
      <c r="DA41" s="167">
        <v>15757.767086018499</v>
      </c>
      <c r="DB41" s="167">
        <v>18854.582001674746</v>
      </c>
      <c r="DC41" s="167">
        <v>20000</v>
      </c>
      <c r="DD41" s="167">
        <v>20000</v>
      </c>
      <c r="DE41" s="167">
        <v>20000</v>
      </c>
      <c r="DF41" s="167">
        <v>20000</v>
      </c>
      <c r="DG41" s="167">
        <v>20000</v>
      </c>
      <c r="DH41" s="167">
        <v>20000</v>
      </c>
      <c r="DI41" s="167">
        <v>20000</v>
      </c>
      <c r="DJ41" s="167">
        <v>20000</v>
      </c>
      <c r="DK41" s="167">
        <v>20000</v>
      </c>
      <c r="DL41" s="167">
        <v>20000</v>
      </c>
      <c r="DM41" s="167">
        <v>20000</v>
      </c>
      <c r="DN41" s="167">
        <v>20000</v>
      </c>
      <c r="DO41" s="167">
        <v>20000</v>
      </c>
      <c r="DP41" s="167">
        <v>20000</v>
      </c>
      <c r="DQ41" s="167">
        <v>17772.755904081521</v>
      </c>
      <c r="DR41" s="167">
        <v>15008.687833919241</v>
      </c>
      <c r="DS41" s="167">
        <v>12984.533303075912</v>
      </c>
      <c r="DT41" s="167">
        <v>11728.502611131304</v>
      </c>
      <c r="DU41" s="167">
        <v>11292.485253314499</v>
      </c>
      <c r="DV41" s="167">
        <v>11563.809759015567</v>
      </c>
      <c r="DW41" s="167">
        <v>12678.531323704006</v>
      </c>
      <c r="DX41" s="167">
        <v>14558.501238815303</v>
      </c>
      <c r="DY41" s="167">
        <v>17149.622161714957</v>
      </c>
      <c r="DZ41" s="167">
        <v>20000</v>
      </c>
      <c r="EA41" s="167">
        <v>20000</v>
      </c>
      <c r="EB41" s="167">
        <v>20000</v>
      </c>
      <c r="EC41" s="167">
        <v>20000</v>
      </c>
      <c r="ED41" s="167">
        <v>20000</v>
      </c>
      <c r="EE41" s="167">
        <v>20000</v>
      </c>
      <c r="EF41" s="167">
        <v>20000</v>
      </c>
      <c r="EG41" s="167">
        <v>20000</v>
      </c>
      <c r="EH41" s="167">
        <v>20000</v>
      </c>
      <c r="EI41" s="167">
        <v>20000</v>
      </c>
      <c r="EJ41" s="167">
        <v>20000</v>
      </c>
      <c r="EK41" s="167">
        <v>20000</v>
      </c>
      <c r="EL41" s="167">
        <v>20000</v>
      </c>
      <c r="EM41" s="167">
        <v>20000</v>
      </c>
      <c r="EN41" s="167">
        <v>20000</v>
      </c>
      <c r="EO41" s="167">
        <v>20000</v>
      </c>
      <c r="EP41" t="str">
        <f t="shared" si="0"/>
        <v>1y 300d</v>
      </c>
      <c r="ES41" s="277" t="s">
        <v>109</v>
      </c>
      <c r="ET41" s="277"/>
      <c r="EU41" s="277"/>
      <c r="EV41" s="277"/>
      <c r="EW41" s="277"/>
      <c r="EX41" s="277"/>
    </row>
    <row r="42" spans="2:154" ht="15" customHeight="1" x14ac:dyDescent="0.25">
      <c r="B42" s="65">
        <v>39</v>
      </c>
      <c r="D42">
        <v>11871770.175332764</v>
      </c>
      <c r="E42" s="12">
        <v>-52813844270.632401</v>
      </c>
      <c r="F42" s="12">
        <v>-141842645747.6308</v>
      </c>
      <c r="G42" s="12">
        <v>0</v>
      </c>
      <c r="H42" s="12">
        <v>48047618.150753237</v>
      </c>
      <c r="I42" s="12">
        <v>-128934084806.64072</v>
      </c>
      <c r="J42" s="12">
        <v>407234703203.74054</v>
      </c>
      <c r="K42" s="12">
        <v>-15688028749.984196</v>
      </c>
      <c r="L42" s="12"/>
      <c r="M42" s="12"/>
      <c r="N42" s="12"/>
      <c r="O42" s="12"/>
      <c r="P42" s="12">
        <v>5881933.2551624365</v>
      </c>
      <c r="Q42" s="12">
        <v>151691513311.28668</v>
      </c>
      <c r="R42" s="12">
        <v>122494515548.81943</v>
      </c>
      <c r="S42" s="12">
        <v>0</v>
      </c>
      <c r="T42" s="12">
        <v>8006387.0769900884</v>
      </c>
      <c r="U42" s="12">
        <v>-15041366427.894852</v>
      </c>
      <c r="V42" s="12">
        <v>320252925388.59802</v>
      </c>
      <c r="W42" s="12">
        <v>-316757290.65038592</v>
      </c>
      <c r="X42" s="12"/>
      <c r="Y42" s="12"/>
      <c r="Z42" s="12"/>
      <c r="AA42" s="12"/>
      <c r="AB42" s="12"/>
      <c r="AC42" s="12"/>
      <c r="AD42" s="12"/>
      <c r="AE42" s="12"/>
      <c r="AG42" s="27">
        <v>0</v>
      </c>
      <c r="AH42" s="27">
        <v>0</v>
      </c>
      <c r="AI42" s="27">
        <v>0</v>
      </c>
      <c r="AS42" s="6">
        <v>58695532.998855427</v>
      </c>
      <c r="AT42" s="167">
        <v>20000</v>
      </c>
      <c r="AU42" s="167">
        <v>20000</v>
      </c>
      <c r="AV42" s="167">
        <v>20000</v>
      </c>
      <c r="AW42" s="167">
        <v>19676.424163659096</v>
      </c>
      <c r="AX42" s="167">
        <v>17463.504112126888</v>
      </c>
      <c r="AY42" s="167">
        <v>16099.688039254426</v>
      </c>
      <c r="AZ42" s="167">
        <v>15271.245236887158</v>
      </c>
      <c r="BA42" s="167">
        <v>14842.27211889379</v>
      </c>
      <c r="BB42" s="167">
        <v>15110.587483591107</v>
      </c>
      <c r="BC42" s="167">
        <v>16075.521198878634</v>
      </c>
      <c r="BD42" s="167">
        <v>17702.388656287058</v>
      </c>
      <c r="BE42" s="167">
        <v>19712.704585095042</v>
      </c>
      <c r="BF42" s="167">
        <v>20000</v>
      </c>
      <c r="BG42" s="167">
        <v>20000</v>
      </c>
      <c r="BH42" s="167">
        <v>20000</v>
      </c>
      <c r="BI42" s="167">
        <v>20000</v>
      </c>
      <c r="BJ42" s="167">
        <v>20000</v>
      </c>
      <c r="BK42" s="167">
        <v>20000</v>
      </c>
      <c r="BL42" s="167">
        <v>20000</v>
      </c>
      <c r="BM42" s="167">
        <v>20000</v>
      </c>
      <c r="BN42" s="167">
        <v>20000</v>
      </c>
      <c r="BO42" s="167">
        <v>20000</v>
      </c>
      <c r="BP42" s="167">
        <v>20000</v>
      </c>
      <c r="BQ42" s="167">
        <v>20000</v>
      </c>
      <c r="BR42" s="167">
        <v>20000</v>
      </c>
      <c r="BS42" s="167">
        <v>20000</v>
      </c>
      <c r="BT42" s="167">
        <v>20000</v>
      </c>
      <c r="BU42" s="167">
        <v>20000</v>
      </c>
      <c r="BV42" s="167">
        <v>18414.041536983295</v>
      </c>
      <c r="BW42" s="167">
        <v>15463.725228490464</v>
      </c>
      <c r="BX42" s="167">
        <v>13178.310765963524</v>
      </c>
      <c r="BY42" s="167">
        <v>11671.288854756629</v>
      </c>
      <c r="BZ42" s="167">
        <v>11121.091148121675</v>
      </c>
      <c r="CA42" s="167">
        <v>11267.234246572722</v>
      </c>
      <c r="CB42" s="167">
        <v>12402.3898765343</v>
      </c>
      <c r="CC42" s="167">
        <v>14420.139958843778</v>
      </c>
      <c r="CD42" s="167">
        <v>16993.037777016205</v>
      </c>
      <c r="CE42" s="167">
        <v>20000</v>
      </c>
      <c r="CF42" s="167">
        <v>20000</v>
      </c>
      <c r="CG42" s="167">
        <v>20000</v>
      </c>
      <c r="CH42" s="167">
        <v>20000</v>
      </c>
      <c r="CI42" s="167">
        <v>20000</v>
      </c>
      <c r="CJ42" s="167">
        <v>20000</v>
      </c>
      <c r="CK42" s="167">
        <v>20000</v>
      </c>
      <c r="CL42" s="167">
        <v>20000</v>
      </c>
      <c r="CM42" s="167">
        <v>20000</v>
      </c>
      <c r="CN42" s="167">
        <v>20000</v>
      </c>
      <c r="CO42" s="167">
        <v>20000</v>
      </c>
      <c r="CP42" s="167">
        <v>20000</v>
      </c>
      <c r="CQ42" s="167">
        <v>20000</v>
      </c>
      <c r="CR42" s="167">
        <v>20000</v>
      </c>
      <c r="CS42" s="167">
        <v>18785.623825587485</v>
      </c>
      <c r="CT42" s="167">
        <v>15651.820370298892</v>
      </c>
      <c r="CU42" s="167">
        <v>13297.30023451813</v>
      </c>
      <c r="CV42" s="167">
        <v>12019.450845670513</v>
      </c>
      <c r="CW42" s="167">
        <v>10957.650471266017</v>
      </c>
      <c r="CX42" s="167">
        <v>10759.120587462665</v>
      </c>
      <c r="CY42" s="167">
        <v>11583.030855873229</v>
      </c>
      <c r="CZ42" s="167">
        <v>13413.256663232776</v>
      </c>
      <c r="DA42" s="167">
        <v>15758.948452640383</v>
      </c>
      <c r="DB42" s="167">
        <v>18729.55945324423</v>
      </c>
      <c r="DC42" s="167">
        <v>20000</v>
      </c>
      <c r="DD42" s="167">
        <v>20000</v>
      </c>
      <c r="DE42" s="167">
        <v>20000</v>
      </c>
      <c r="DF42" s="167">
        <v>20000</v>
      </c>
      <c r="DG42" s="167">
        <v>20000</v>
      </c>
      <c r="DH42" s="167">
        <v>20000</v>
      </c>
      <c r="DI42" s="167">
        <v>20000</v>
      </c>
      <c r="DJ42" s="167">
        <v>20000</v>
      </c>
      <c r="DK42" s="167">
        <v>20000</v>
      </c>
      <c r="DL42" s="167">
        <v>20000</v>
      </c>
      <c r="DM42" s="167">
        <v>20000</v>
      </c>
      <c r="DN42" s="167">
        <v>20000</v>
      </c>
      <c r="DO42" s="167">
        <v>20000</v>
      </c>
      <c r="DP42" s="167">
        <v>20000</v>
      </c>
      <c r="DQ42" s="167">
        <v>18391.923584295677</v>
      </c>
      <c r="DR42" s="167">
        <v>15501.802172678261</v>
      </c>
      <c r="DS42" s="167">
        <v>13370.333608966721</v>
      </c>
      <c r="DT42" s="167">
        <v>12003.66673697318</v>
      </c>
      <c r="DU42" s="167">
        <v>11439.891829061833</v>
      </c>
      <c r="DV42" s="167">
        <v>11676.770732033576</v>
      </c>
      <c r="DW42" s="167">
        <v>12698.810508923336</v>
      </c>
      <c r="DX42" s="167">
        <v>14603.001768847889</v>
      </c>
      <c r="DY42" s="167">
        <v>17080.006454147286</v>
      </c>
      <c r="DZ42" s="167">
        <v>20000</v>
      </c>
      <c r="EA42" s="167">
        <v>20000</v>
      </c>
      <c r="EB42" s="167">
        <v>20000</v>
      </c>
      <c r="EC42" s="167">
        <v>20000</v>
      </c>
      <c r="ED42" s="167">
        <v>20000</v>
      </c>
      <c r="EE42" s="167">
        <v>20000</v>
      </c>
      <c r="EF42" s="167">
        <v>20000</v>
      </c>
      <c r="EG42" s="167">
        <v>20000</v>
      </c>
      <c r="EH42" s="167">
        <v>20000</v>
      </c>
      <c r="EI42" s="167">
        <v>20000</v>
      </c>
      <c r="EJ42" s="167">
        <v>20000</v>
      </c>
      <c r="EK42" s="167">
        <v>20000</v>
      </c>
      <c r="EL42" s="167">
        <v>20000</v>
      </c>
      <c r="EM42" s="167">
        <v>20000</v>
      </c>
      <c r="EN42" s="167">
        <v>20000</v>
      </c>
      <c r="EO42" s="167">
        <v>20000</v>
      </c>
      <c r="EP42" t="str">
        <f t="shared" si="0"/>
        <v>1y 314d</v>
      </c>
      <c r="ES42" s="277"/>
      <c r="ET42" s="277"/>
      <c r="EU42" s="277"/>
      <c r="EV42" s="277"/>
      <c r="EW42" s="277"/>
      <c r="EX42" s="277"/>
    </row>
    <row r="43" spans="2:154" ht="15" customHeight="1" x14ac:dyDescent="0.25">
      <c r="B43" s="65">
        <v>40</v>
      </c>
      <c r="D43">
        <v>12195169.271869998</v>
      </c>
      <c r="E43" s="12">
        <v>-43834911277.368652</v>
      </c>
      <c r="F43" s="12">
        <v>-144983664001.5759</v>
      </c>
      <c r="G43" s="12">
        <v>0</v>
      </c>
      <c r="H43" s="12">
        <v>49584047.941152245</v>
      </c>
      <c r="I43" s="12">
        <v>-155624696710.07379</v>
      </c>
      <c r="J43" s="12">
        <v>401900133661.83777</v>
      </c>
      <c r="K43" s="12">
        <v>-14723452440.509127</v>
      </c>
      <c r="L43" s="12"/>
      <c r="M43" s="12"/>
      <c r="N43" s="12"/>
      <c r="O43" s="12"/>
      <c r="P43" s="12">
        <v>6097297.4915993791</v>
      </c>
      <c r="Q43" s="12">
        <v>149745897959.72842</v>
      </c>
      <c r="R43" s="12">
        <v>128751408144.77896</v>
      </c>
      <c r="S43" s="12">
        <v>0</v>
      </c>
      <c r="T43" s="12">
        <v>8301943.5027181841</v>
      </c>
      <c r="U43" s="12">
        <v>-20258718577.021278</v>
      </c>
      <c r="V43" s="12">
        <v>322988766675.42236</v>
      </c>
      <c r="W43" s="12">
        <v>-327089152.15071195</v>
      </c>
      <c r="X43" s="12"/>
      <c r="Y43" s="12"/>
      <c r="Z43" s="12"/>
      <c r="AA43" s="12"/>
      <c r="AB43" s="12"/>
      <c r="AC43" s="12"/>
      <c r="AD43" s="12"/>
      <c r="AE43" s="12"/>
      <c r="AS43" s="6">
        <v>59883195.540898293</v>
      </c>
      <c r="AT43" s="167">
        <v>20000</v>
      </c>
      <c r="AU43" s="167">
        <v>20000</v>
      </c>
      <c r="AV43" s="167">
        <v>20000</v>
      </c>
      <c r="AW43" s="167">
        <v>20000</v>
      </c>
      <c r="AX43" s="167">
        <v>18038.504301656918</v>
      </c>
      <c r="AY43" s="167">
        <v>16435.210160883795</v>
      </c>
      <c r="AZ43" s="167">
        <v>15554.629389596415</v>
      </c>
      <c r="BA43" s="167">
        <v>14971.709063997612</v>
      </c>
      <c r="BB43" s="167">
        <v>15093.103503311231</v>
      </c>
      <c r="BC43" s="167">
        <v>15922.708874597154</v>
      </c>
      <c r="BD43" s="167">
        <v>17429.445511159007</v>
      </c>
      <c r="BE43" s="167">
        <v>19473.353696130223</v>
      </c>
      <c r="BF43" s="167">
        <v>20000</v>
      </c>
      <c r="BG43" s="167">
        <v>20000</v>
      </c>
      <c r="BH43" s="167">
        <v>20000</v>
      </c>
      <c r="BI43" s="167">
        <v>20000</v>
      </c>
      <c r="BJ43" s="167">
        <v>20000</v>
      </c>
      <c r="BK43" s="167">
        <v>20000</v>
      </c>
      <c r="BL43" s="167">
        <v>20000</v>
      </c>
      <c r="BM43" s="167">
        <v>20000</v>
      </c>
      <c r="BN43" s="167">
        <v>20000</v>
      </c>
      <c r="BO43" s="167">
        <v>20000</v>
      </c>
      <c r="BP43" s="167">
        <v>20000</v>
      </c>
      <c r="BQ43" s="167">
        <v>20000</v>
      </c>
      <c r="BR43" s="167">
        <v>20000</v>
      </c>
      <c r="BS43" s="167">
        <v>20000</v>
      </c>
      <c r="BT43" s="167">
        <v>20000</v>
      </c>
      <c r="BU43" s="167">
        <v>20000</v>
      </c>
      <c r="BV43" s="167">
        <v>18859.522956645516</v>
      </c>
      <c r="BW43" s="167">
        <v>15812.811008962344</v>
      </c>
      <c r="BX43" s="167">
        <v>13447.738423011095</v>
      </c>
      <c r="BY43" s="167">
        <v>11870.950596464711</v>
      </c>
      <c r="BZ43" s="167">
        <v>11268.935257006206</v>
      </c>
      <c r="CA43" s="167">
        <v>11337.083998358265</v>
      </c>
      <c r="CB43" s="167">
        <v>12394.935469547438</v>
      </c>
      <c r="CC43" s="167">
        <v>14379.336497133649</v>
      </c>
      <c r="CD43" s="167">
        <v>16854.571275912727</v>
      </c>
      <c r="CE43" s="167">
        <v>20000</v>
      </c>
      <c r="CF43" s="167">
        <v>20000</v>
      </c>
      <c r="CG43" s="167">
        <v>20000</v>
      </c>
      <c r="CH43" s="167">
        <v>20000</v>
      </c>
      <c r="CI43" s="167">
        <v>20000</v>
      </c>
      <c r="CJ43" s="167">
        <v>20000</v>
      </c>
      <c r="CK43" s="167">
        <v>20000</v>
      </c>
      <c r="CL43" s="167">
        <v>20000</v>
      </c>
      <c r="CM43" s="167">
        <v>20000</v>
      </c>
      <c r="CN43" s="167">
        <v>20000</v>
      </c>
      <c r="CO43" s="167">
        <v>20000</v>
      </c>
      <c r="CP43" s="167">
        <v>20000</v>
      </c>
      <c r="CQ43" s="167">
        <v>20000</v>
      </c>
      <c r="CR43" s="167">
        <v>20000</v>
      </c>
      <c r="CS43" s="167">
        <v>19165.073536259602</v>
      </c>
      <c r="CT43" s="167">
        <v>15931.764315368695</v>
      </c>
      <c r="CU43" s="167">
        <v>13488.404658279076</v>
      </c>
      <c r="CV43" s="167">
        <v>12090.196538158763</v>
      </c>
      <c r="CW43" s="167">
        <v>11084.910776257784</v>
      </c>
      <c r="CX43" s="167">
        <v>10837.568388012194</v>
      </c>
      <c r="CY43" s="167">
        <v>11593.060432273152</v>
      </c>
      <c r="CZ43" s="167">
        <v>13368.821710489074</v>
      </c>
      <c r="DA43" s="167">
        <v>15780.115898849377</v>
      </c>
      <c r="DB43" s="167">
        <v>18608.969007256055</v>
      </c>
      <c r="DC43" s="167">
        <v>20000</v>
      </c>
      <c r="DD43" s="167">
        <v>20000</v>
      </c>
      <c r="DE43" s="167">
        <v>20000</v>
      </c>
      <c r="DF43" s="167">
        <v>20000</v>
      </c>
      <c r="DG43" s="167">
        <v>20000</v>
      </c>
      <c r="DH43" s="167">
        <v>20000</v>
      </c>
      <c r="DI43" s="167">
        <v>20000</v>
      </c>
      <c r="DJ43" s="167">
        <v>20000</v>
      </c>
      <c r="DK43" s="167">
        <v>20000</v>
      </c>
      <c r="DL43" s="167">
        <v>20000</v>
      </c>
      <c r="DM43" s="167">
        <v>20000</v>
      </c>
      <c r="DN43" s="167">
        <v>20000</v>
      </c>
      <c r="DO43" s="167">
        <v>20000</v>
      </c>
      <c r="DP43" s="167">
        <v>20000</v>
      </c>
      <c r="DQ43" s="167">
        <v>19078.851830269727</v>
      </c>
      <c r="DR43" s="167">
        <v>16053.493238774183</v>
      </c>
      <c r="DS43" s="167">
        <v>13809.191897766304</v>
      </c>
      <c r="DT43" s="167">
        <v>12334.457721330273</v>
      </c>
      <c r="DU43" s="167">
        <v>11655.231127555444</v>
      </c>
      <c r="DV43" s="167">
        <v>11793.124968552826</v>
      </c>
      <c r="DW43" s="167">
        <v>12825.107116678624</v>
      </c>
      <c r="DX43" s="167">
        <v>14648.429148965482</v>
      </c>
      <c r="DY43" s="167">
        <v>17066.716243119336</v>
      </c>
      <c r="DZ43" s="167">
        <v>19848.791011342117</v>
      </c>
      <c r="EA43" s="167">
        <v>20000</v>
      </c>
      <c r="EB43" s="167">
        <v>20000</v>
      </c>
      <c r="EC43" s="167">
        <v>20000</v>
      </c>
      <c r="ED43" s="167">
        <v>20000</v>
      </c>
      <c r="EE43" s="167">
        <v>20000</v>
      </c>
      <c r="EF43" s="167">
        <v>20000</v>
      </c>
      <c r="EG43" s="167">
        <v>20000</v>
      </c>
      <c r="EH43" s="167">
        <v>20000</v>
      </c>
      <c r="EI43" s="167">
        <v>20000</v>
      </c>
      <c r="EJ43" s="167">
        <v>20000</v>
      </c>
      <c r="EK43" s="167">
        <v>20000</v>
      </c>
      <c r="EL43" s="167">
        <v>20000</v>
      </c>
      <c r="EM43" s="167">
        <v>20000</v>
      </c>
      <c r="EN43" s="167">
        <v>20000</v>
      </c>
      <c r="EO43" s="167">
        <v>20000</v>
      </c>
      <c r="EP43" t="str">
        <f t="shared" si="0"/>
        <v>1y 328d</v>
      </c>
      <c r="ES43" s="277"/>
      <c r="ET43" s="277"/>
      <c r="EU43" s="277"/>
      <c r="EV43" s="277"/>
      <c r="EW43" s="277"/>
      <c r="EX43" s="277"/>
    </row>
    <row r="44" spans="2:154" ht="15" customHeight="1" x14ac:dyDescent="0.25">
      <c r="B44" s="65">
        <v>41</v>
      </c>
      <c r="D44">
        <v>12519019.969231158</v>
      </c>
      <c r="E44" s="12">
        <v>-34668121522.547287</v>
      </c>
      <c r="F44" s="12">
        <v>-147549188743.52545</v>
      </c>
      <c r="G44" s="12">
        <v>0</v>
      </c>
      <c r="H44" s="12">
        <v>51147891.640110686</v>
      </c>
      <c r="I44" s="12">
        <v>-182167574794.6127</v>
      </c>
      <c r="J44" s="12">
        <v>394859440241.97601</v>
      </c>
      <c r="K44" s="12">
        <v>-13682653967.432316</v>
      </c>
      <c r="L44" s="12"/>
      <c r="M44" s="12"/>
      <c r="N44" s="12"/>
      <c r="O44" s="12"/>
      <c r="P44" s="12">
        <v>6318311.5542047964</v>
      </c>
      <c r="Q44" s="12">
        <v>147624910643.3493</v>
      </c>
      <c r="R44" s="12">
        <v>135065528791.2106</v>
      </c>
      <c r="S44" s="12">
        <v>0</v>
      </c>
      <c r="T44" s="12">
        <v>8603085.6088938229</v>
      </c>
      <c r="U44" s="12">
        <v>-25567546932.594162</v>
      </c>
      <c r="V44" s="12">
        <v>325662748470.90051</v>
      </c>
      <c r="W44" s="12">
        <v>-337501264.41194105</v>
      </c>
      <c r="X44" s="12"/>
      <c r="Y44" s="12"/>
      <c r="Z44" s="12"/>
      <c r="AA44" s="12"/>
      <c r="AB44" s="12"/>
      <c r="AC44" s="12"/>
      <c r="AD44" s="12"/>
      <c r="AE44" s="12"/>
      <c r="AG44" s="254" t="s">
        <v>66</v>
      </c>
      <c r="AH44" s="254"/>
      <c r="AI44" s="254"/>
      <c r="AS44" s="6">
        <v>61070858.08294116</v>
      </c>
      <c r="AT44" s="167">
        <v>20000</v>
      </c>
      <c r="AU44" s="167">
        <v>20000</v>
      </c>
      <c r="AV44" s="167">
        <v>20000</v>
      </c>
      <c r="AW44" s="167">
        <v>20000</v>
      </c>
      <c r="AX44" s="167">
        <v>18648.821769808892</v>
      </c>
      <c r="AY44" s="167">
        <v>16816.26459780072</v>
      </c>
      <c r="AZ44" s="167">
        <v>15855.548366351046</v>
      </c>
      <c r="BA44" s="167">
        <v>15117.279007458215</v>
      </c>
      <c r="BB44" s="167">
        <v>15090.457433139114</v>
      </c>
      <c r="BC44" s="167">
        <v>15783.360754531315</v>
      </c>
      <c r="BD44" s="167">
        <v>17168.882489601954</v>
      </c>
      <c r="BE44" s="167">
        <v>19191.089594784433</v>
      </c>
      <c r="BF44" s="167">
        <v>20000</v>
      </c>
      <c r="BG44" s="167">
        <v>20000</v>
      </c>
      <c r="BH44" s="167">
        <v>20000</v>
      </c>
      <c r="BI44" s="167">
        <v>20000</v>
      </c>
      <c r="BJ44" s="167">
        <v>20000</v>
      </c>
      <c r="BK44" s="167">
        <v>20000</v>
      </c>
      <c r="BL44" s="167">
        <v>20000</v>
      </c>
      <c r="BM44" s="167">
        <v>20000</v>
      </c>
      <c r="BN44" s="167">
        <v>20000</v>
      </c>
      <c r="BO44" s="167">
        <v>20000</v>
      </c>
      <c r="BP44" s="167">
        <v>20000</v>
      </c>
      <c r="BQ44" s="167">
        <v>20000</v>
      </c>
      <c r="BR44" s="167">
        <v>20000</v>
      </c>
      <c r="BS44" s="167">
        <v>20000</v>
      </c>
      <c r="BT44" s="167">
        <v>20000</v>
      </c>
      <c r="BU44" s="167">
        <v>20000</v>
      </c>
      <c r="BV44" s="167">
        <v>19317.791267524211</v>
      </c>
      <c r="BW44" s="167">
        <v>16172.452726570551</v>
      </c>
      <c r="BX44" s="167">
        <v>13725.435982470541</v>
      </c>
      <c r="BY44" s="167">
        <v>12075.436955468673</v>
      </c>
      <c r="BZ44" s="167">
        <v>11421.125771168974</v>
      </c>
      <c r="CA44" s="167">
        <v>11410.278854141474</v>
      </c>
      <c r="CB44" s="167">
        <v>12385.207373137657</v>
      </c>
      <c r="CC44" s="167">
        <v>14277.063736619868</v>
      </c>
      <c r="CD44" s="167">
        <v>16728.876342448671</v>
      </c>
      <c r="CE44" s="167">
        <v>20000</v>
      </c>
      <c r="CF44" s="167">
        <v>20000</v>
      </c>
      <c r="CG44" s="167">
        <v>20000</v>
      </c>
      <c r="CH44" s="167">
        <v>20000</v>
      </c>
      <c r="CI44" s="167">
        <v>20000</v>
      </c>
      <c r="CJ44" s="167">
        <v>20000</v>
      </c>
      <c r="CK44" s="167">
        <v>20000</v>
      </c>
      <c r="CL44" s="167">
        <v>20000</v>
      </c>
      <c r="CM44" s="167">
        <v>20000</v>
      </c>
      <c r="CN44" s="167">
        <v>20000</v>
      </c>
      <c r="CO44" s="167">
        <v>20000</v>
      </c>
      <c r="CP44" s="167">
        <v>20000</v>
      </c>
      <c r="CQ44" s="167">
        <v>20000</v>
      </c>
      <c r="CR44" s="167">
        <v>20000</v>
      </c>
      <c r="CS44" s="167">
        <v>19574.997315172088</v>
      </c>
      <c r="CT44" s="167">
        <v>16239.154137253099</v>
      </c>
      <c r="CU44" s="167">
        <v>13704.767622929834</v>
      </c>
      <c r="CV44" s="167">
        <v>12189.320736367932</v>
      </c>
      <c r="CW44" s="167">
        <v>11229.312131084916</v>
      </c>
      <c r="CX44" s="167">
        <v>10906.876352419011</v>
      </c>
      <c r="CY44" s="167">
        <v>11609.94101279976</v>
      </c>
      <c r="CZ44" s="167">
        <v>13328.044362744533</v>
      </c>
      <c r="DA44" s="167">
        <v>15826.077777418777</v>
      </c>
      <c r="DB44" s="167">
        <v>18493.154808663876</v>
      </c>
      <c r="DC44" s="167">
        <v>20000</v>
      </c>
      <c r="DD44" s="167">
        <v>20000</v>
      </c>
      <c r="DE44" s="167">
        <v>20000</v>
      </c>
      <c r="DF44" s="167">
        <v>20000</v>
      </c>
      <c r="DG44" s="167">
        <v>20000</v>
      </c>
      <c r="DH44" s="167">
        <v>20000</v>
      </c>
      <c r="DI44" s="167">
        <v>20000</v>
      </c>
      <c r="DJ44" s="167">
        <v>20000</v>
      </c>
      <c r="DK44" s="167">
        <v>20000</v>
      </c>
      <c r="DL44" s="167">
        <v>20000</v>
      </c>
      <c r="DM44" s="167">
        <v>20000</v>
      </c>
      <c r="DN44" s="167">
        <v>20000</v>
      </c>
      <c r="DO44" s="167">
        <v>20000</v>
      </c>
      <c r="DP44" s="167">
        <v>20000</v>
      </c>
      <c r="DQ44" s="167">
        <v>19835.3838531529</v>
      </c>
      <c r="DR44" s="167">
        <v>16664.486062526936</v>
      </c>
      <c r="DS44" s="167">
        <v>14300.395620366635</v>
      </c>
      <c r="DT44" s="167">
        <v>12716.626044576995</v>
      </c>
      <c r="DU44" s="167">
        <v>11931.984391317961</v>
      </c>
      <c r="DV44" s="167">
        <v>11986.431775861694</v>
      </c>
      <c r="DW44" s="167">
        <v>12985.856605531775</v>
      </c>
      <c r="DX44" s="167">
        <v>14699.469310354219</v>
      </c>
      <c r="DY44" s="167">
        <v>17036.560196536277</v>
      </c>
      <c r="DZ44" s="167">
        <v>19700.730229562727</v>
      </c>
      <c r="EA44" s="167">
        <v>20000</v>
      </c>
      <c r="EB44" s="167">
        <v>20000</v>
      </c>
      <c r="EC44" s="167">
        <v>20000</v>
      </c>
      <c r="ED44" s="167">
        <v>20000</v>
      </c>
      <c r="EE44" s="167">
        <v>20000</v>
      </c>
      <c r="EF44" s="167">
        <v>20000</v>
      </c>
      <c r="EG44" s="167">
        <v>20000</v>
      </c>
      <c r="EH44" s="167">
        <v>20000</v>
      </c>
      <c r="EI44" s="167">
        <v>20000</v>
      </c>
      <c r="EJ44" s="167">
        <v>20000</v>
      </c>
      <c r="EK44" s="167">
        <v>20000</v>
      </c>
      <c r="EL44" s="167">
        <v>20000</v>
      </c>
      <c r="EM44" s="167">
        <v>20000</v>
      </c>
      <c r="EN44" s="167">
        <v>20000</v>
      </c>
      <c r="EO44" s="167">
        <v>20000</v>
      </c>
      <c r="EP44" t="str">
        <f t="shared" si="0"/>
        <v>1y 342d</v>
      </c>
      <c r="ES44" s="277"/>
      <c r="ET44" s="277"/>
      <c r="EU44" s="277"/>
      <c r="EV44" s="277"/>
      <c r="EW44" s="277"/>
      <c r="EX44" s="277"/>
    </row>
    <row r="45" spans="2:154" ht="15" customHeight="1" x14ac:dyDescent="0.25">
      <c r="B45" s="65">
        <v>42</v>
      </c>
      <c r="D45">
        <v>12843289.634449827</v>
      </c>
      <c r="E45" s="12">
        <v>-25350731611.980877</v>
      </c>
      <c r="F45" s="12">
        <v>-149527526147.78024</v>
      </c>
      <c r="G45" s="12">
        <v>0</v>
      </c>
      <c r="H45" s="12">
        <v>52739747.65329472</v>
      </c>
      <c r="I45" s="12">
        <v>-208449027475.51105</v>
      </c>
      <c r="J45" s="12">
        <v>386095800530.61694</v>
      </c>
      <c r="K45" s="12">
        <v>-12567883735.514471</v>
      </c>
      <c r="L45" s="12"/>
      <c r="M45" s="12"/>
      <c r="N45" s="12"/>
      <c r="O45" s="12"/>
      <c r="P45" s="12">
        <v>6545258.8406180339</v>
      </c>
      <c r="Q45" s="12">
        <v>145322762260.58191</v>
      </c>
      <c r="R45" s="12">
        <v>141435485536.72324</v>
      </c>
      <c r="S45" s="12">
        <v>0</v>
      </c>
      <c r="T45" s="12">
        <v>8909909.2981676366</v>
      </c>
      <c r="U45" s="12">
        <v>-30967459017.72649</v>
      </c>
      <c r="V45" s="12">
        <v>328271601723.29932</v>
      </c>
      <c r="W45" s="12">
        <v>-347990036.00414562</v>
      </c>
      <c r="X45" s="12"/>
      <c r="Y45" s="12"/>
      <c r="Z45" s="12"/>
      <c r="AA45" s="12"/>
      <c r="AB45" s="12"/>
      <c r="AC45" s="12"/>
      <c r="AD45" s="12"/>
      <c r="AE45" s="12"/>
      <c r="AG45" s="65" t="s">
        <v>22</v>
      </c>
      <c r="AH45" s="65" t="s">
        <v>23</v>
      </c>
      <c r="AI45" s="65" t="s">
        <v>26</v>
      </c>
      <c r="AS45" s="6">
        <v>62258520.624984026</v>
      </c>
      <c r="AT45" s="167">
        <v>20000</v>
      </c>
      <c r="AU45" s="167">
        <v>20000</v>
      </c>
      <c r="AV45" s="167">
        <v>20000</v>
      </c>
      <c r="AW45" s="167">
        <v>20000</v>
      </c>
      <c r="AX45" s="167">
        <v>19292.873667133324</v>
      </c>
      <c r="AY45" s="167">
        <v>17238.666330649277</v>
      </c>
      <c r="AZ45" s="167">
        <v>16070.561466824456</v>
      </c>
      <c r="BA45" s="167">
        <v>15279.45818494734</v>
      </c>
      <c r="BB45" s="167">
        <v>15103.287922385265</v>
      </c>
      <c r="BC45" s="167">
        <v>15658.154009765674</v>
      </c>
      <c r="BD45" s="167">
        <v>16921.271463382844</v>
      </c>
      <c r="BE45" s="167">
        <v>18837.90914620621</v>
      </c>
      <c r="BF45" s="167">
        <v>20000</v>
      </c>
      <c r="BG45" s="167">
        <v>20000</v>
      </c>
      <c r="BH45" s="167">
        <v>20000</v>
      </c>
      <c r="BI45" s="167">
        <v>20000</v>
      </c>
      <c r="BJ45" s="167">
        <v>20000</v>
      </c>
      <c r="BK45" s="167">
        <v>20000</v>
      </c>
      <c r="BL45" s="167">
        <v>20000</v>
      </c>
      <c r="BM45" s="167">
        <v>20000</v>
      </c>
      <c r="BN45" s="167">
        <v>20000</v>
      </c>
      <c r="BO45" s="167">
        <v>20000</v>
      </c>
      <c r="BP45" s="167">
        <v>20000</v>
      </c>
      <c r="BQ45" s="167">
        <v>20000</v>
      </c>
      <c r="BR45" s="167">
        <v>20000</v>
      </c>
      <c r="BS45" s="167">
        <v>20000</v>
      </c>
      <c r="BT45" s="167">
        <v>20000</v>
      </c>
      <c r="BU45" s="167">
        <v>20000</v>
      </c>
      <c r="BV45" s="167">
        <v>19788.848318849883</v>
      </c>
      <c r="BW45" s="167">
        <v>16542.60502170839</v>
      </c>
      <c r="BX45" s="167">
        <v>14011.367162019927</v>
      </c>
      <c r="BY45" s="167">
        <v>12285.059636574904</v>
      </c>
      <c r="BZ45" s="167">
        <v>11577.82975253461</v>
      </c>
      <c r="CA45" s="167">
        <v>11487.015724384921</v>
      </c>
      <c r="CB45" s="167">
        <v>12358.520440165803</v>
      </c>
      <c r="CC45" s="167">
        <v>14179.005674447899</v>
      </c>
      <c r="CD45" s="167">
        <v>16618.306669039539</v>
      </c>
      <c r="CE45" s="167">
        <v>19821.225105253325</v>
      </c>
      <c r="CF45" s="167">
        <v>20000</v>
      </c>
      <c r="CG45" s="167">
        <v>20000</v>
      </c>
      <c r="CH45" s="167">
        <v>20000</v>
      </c>
      <c r="CI45" s="167">
        <v>20000</v>
      </c>
      <c r="CJ45" s="167">
        <v>20000</v>
      </c>
      <c r="CK45" s="167">
        <v>20000</v>
      </c>
      <c r="CL45" s="167">
        <v>20000</v>
      </c>
      <c r="CM45" s="167">
        <v>20000</v>
      </c>
      <c r="CN45" s="167">
        <v>20000</v>
      </c>
      <c r="CO45" s="167">
        <v>20000</v>
      </c>
      <c r="CP45" s="167">
        <v>20000</v>
      </c>
      <c r="CQ45" s="167">
        <v>20000</v>
      </c>
      <c r="CR45" s="167">
        <v>20000</v>
      </c>
      <c r="CS45" s="167">
        <v>20000</v>
      </c>
      <c r="CT45" s="167">
        <v>16573.465388262426</v>
      </c>
      <c r="CU45" s="167">
        <v>13945.664613521471</v>
      </c>
      <c r="CV45" s="167">
        <v>12315.254157417978</v>
      </c>
      <c r="CW45" s="167">
        <v>11365.038899571156</v>
      </c>
      <c r="CX45" s="167">
        <v>10986.66196945766</v>
      </c>
      <c r="CY45" s="167">
        <v>11633.409275612084</v>
      </c>
      <c r="CZ45" s="167">
        <v>13290.786424273003</v>
      </c>
      <c r="DA45" s="167">
        <v>15836.6183886664</v>
      </c>
      <c r="DB45" s="167">
        <v>18382.649822335163</v>
      </c>
      <c r="DC45" s="167">
        <v>20000</v>
      </c>
      <c r="DD45" s="167">
        <v>20000</v>
      </c>
      <c r="DE45" s="167">
        <v>20000</v>
      </c>
      <c r="DF45" s="167">
        <v>20000</v>
      </c>
      <c r="DG45" s="167">
        <v>20000</v>
      </c>
      <c r="DH45" s="167">
        <v>20000</v>
      </c>
      <c r="DI45" s="167">
        <v>20000</v>
      </c>
      <c r="DJ45" s="167">
        <v>20000</v>
      </c>
      <c r="DK45" s="167">
        <v>20000</v>
      </c>
      <c r="DL45" s="167">
        <v>20000</v>
      </c>
      <c r="DM45" s="167">
        <v>20000</v>
      </c>
      <c r="DN45" s="167">
        <v>20000</v>
      </c>
      <c r="DO45" s="167">
        <v>20000</v>
      </c>
      <c r="DP45" s="167">
        <v>20000</v>
      </c>
      <c r="DQ45" s="167">
        <v>20000</v>
      </c>
      <c r="DR45" s="167">
        <v>17336.17774171018</v>
      </c>
      <c r="DS45" s="167">
        <v>14843.967204817374</v>
      </c>
      <c r="DT45" s="167">
        <v>13147.364246500743</v>
      </c>
      <c r="DU45" s="167">
        <v>12259.788551213675</v>
      </c>
      <c r="DV45" s="167">
        <v>12236.327038302617</v>
      </c>
      <c r="DW45" s="167">
        <v>13158.813181723503</v>
      </c>
      <c r="DX45" s="167">
        <v>14757.001742757982</v>
      </c>
      <c r="DY45" s="167">
        <v>16981.778118020928</v>
      </c>
      <c r="DZ45" s="167">
        <v>19597.776897310687</v>
      </c>
      <c r="EA45" s="167">
        <v>20000</v>
      </c>
      <c r="EB45" s="167">
        <v>20000</v>
      </c>
      <c r="EC45" s="167">
        <v>20000</v>
      </c>
      <c r="ED45" s="167">
        <v>20000</v>
      </c>
      <c r="EE45" s="167">
        <v>20000</v>
      </c>
      <c r="EF45" s="167">
        <v>20000</v>
      </c>
      <c r="EG45" s="167">
        <v>20000</v>
      </c>
      <c r="EH45" s="167">
        <v>20000</v>
      </c>
      <c r="EI45" s="167">
        <v>20000</v>
      </c>
      <c r="EJ45" s="167">
        <v>20000</v>
      </c>
      <c r="EK45" s="167">
        <v>20000</v>
      </c>
      <c r="EL45" s="167">
        <v>20000</v>
      </c>
      <c r="EM45" s="167">
        <v>20000</v>
      </c>
      <c r="EN45" s="167">
        <v>20000</v>
      </c>
      <c r="EO45" s="167">
        <v>20000</v>
      </c>
      <c r="EP45" t="str">
        <f t="shared" si="0"/>
        <v>1y 355d</v>
      </c>
      <c r="ES45" s="277"/>
      <c r="ET45" s="277"/>
      <c r="EU45" s="277"/>
      <c r="EV45" s="277"/>
      <c r="EW45" s="277"/>
      <c r="EX45" s="277"/>
    </row>
    <row r="46" spans="2:154" ht="15" customHeight="1" x14ac:dyDescent="0.25">
      <c r="B46" s="65">
        <v>43</v>
      </c>
      <c r="D46">
        <v>13167943.783559028</v>
      </c>
      <c r="E46" s="12">
        <v>-15920784595.649128</v>
      </c>
      <c r="F46" s="12">
        <v>-150909447689.98495</v>
      </c>
      <c r="G46" s="12">
        <v>0</v>
      </c>
      <c r="H46" s="12">
        <v>54360114.626925342</v>
      </c>
      <c r="I46" s="12">
        <v>-234350529126.41833</v>
      </c>
      <c r="J46" s="12">
        <v>375599920496.96124</v>
      </c>
      <c r="K46" s="12">
        <v>-11381875217.306547</v>
      </c>
      <c r="L46" s="12"/>
      <c r="M46" s="12"/>
      <c r="N46" s="12"/>
      <c r="O46" s="12"/>
      <c r="P46" s="12">
        <v>6778436.0541136283</v>
      </c>
      <c r="Q46" s="12">
        <v>142833448036.47455</v>
      </c>
      <c r="R46" s="12">
        <v>147859633581.52396</v>
      </c>
      <c r="S46" s="12">
        <v>0</v>
      </c>
      <c r="T46" s="12">
        <v>9222509.6621499807</v>
      </c>
      <c r="U46" s="12">
        <v>-36457940972.096794</v>
      </c>
      <c r="V46" s="12">
        <v>330811978600.18298</v>
      </c>
      <c r="W46" s="12">
        <v>-358551621.22282571</v>
      </c>
      <c r="X46" s="12"/>
      <c r="Y46" s="12"/>
      <c r="Z46" s="12"/>
      <c r="AA46" s="12"/>
      <c r="AB46" s="12"/>
      <c r="AC46" s="12"/>
      <c r="AD46" s="12"/>
      <c r="AE46" s="12"/>
      <c r="AG46" s="27">
        <v>0</v>
      </c>
      <c r="AH46" s="27">
        <v>0</v>
      </c>
      <c r="AI46" s="27">
        <v>0</v>
      </c>
      <c r="AS46" s="6">
        <v>63446183.167026892</v>
      </c>
      <c r="AT46" s="167">
        <v>20000</v>
      </c>
      <c r="AU46" s="167">
        <v>20000</v>
      </c>
      <c r="AV46" s="167">
        <v>20000</v>
      </c>
      <c r="AW46" s="167">
        <v>20000</v>
      </c>
      <c r="AX46" s="167">
        <v>19969.263963270754</v>
      </c>
      <c r="AY46" s="167">
        <v>17698.817703271066</v>
      </c>
      <c r="AZ46" s="167">
        <v>16283.668534451279</v>
      </c>
      <c r="BA46" s="167">
        <v>15458.617837848255</v>
      </c>
      <c r="BB46" s="167">
        <v>15132.138069135186</v>
      </c>
      <c r="BC46" s="167">
        <v>15547.701112331919</v>
      </c>
      <c r="BD46" s="167">
        <v>16687.147872416295</v>
      </c>
      <c r="BE46" s="167">
        <v>18497.436360020125</v>
      </c>
      <c r="BF46" s="167">
        <v>20000</v>
      </c>
      <c r="BG46" s="167">
        <v>20000</v>
      </c>
      <c r="BH46" s="167">
        <v>20000</v>
      </c>
      <c r="BI46" s="167">
        <v>20000</v>
      </c>
      <c r="BJ46" s="167">
        <v>20000</v>
      </c>
      <c r="BK46" s="167">
        <v>20000</v>
      </c>
      <c r="BL46" s="167">
        <v>20000</v>
      </c>
      <c r="BM46" s="167">
        <v>20000</v>
      </c>
      <c r="BN46" s="167">
        <v>20000</v>
      </c>
      <c r="BO46" s="167">
        <v>20000</v>
      </c>
      <c r="BP46" s="167">
        <v>20000</v>
      </c>
      <c r="BQ46" s="167">
        <v>20000</v>
      </c>
      <c r="BR46" s="167">
        <v>20000</v>
      </c>
      <c r="BS46" s="167">
        <v>20000</v>
      </c>
      <c r="BT46" s="167">
        <v>20000</v>
      </c>
      <c r="BU46" s="167">
        <v>20000</v>
      </c>
      <c r="BV46" s="167">
        <v>20000</v>
      </c>
      <c r="BW46" s="167">
        <v>16923.312401877407</v>
      </c>
      <c r="BX46" s="167">
        <v>14305.591191793857</v>
      </c>
      <c r="BY46" s="167">
        <v>12500.174015944465</v>
      </c>
      <c r="BZ46" s="167">
        <v>11739.239694271428</v>
      </c>
      <c r="CA46" s="167">
        <v>11554.947059861617</v>
      </c>
      <c r="CB46" s="167">
        <v>12336.675876618903</v>
      </c>
      <c r="CC46" s="167">
        <v>14085.276307122</v>
      </c>
      <c r="CD46" s="167">
        <v>16525.959316366407</v>
      </c>
      <c r="CE46" s="167">
        <v>19615.376444436297</v>
      </c>
      <c r="CF46" s="167">
        <v>20000</v>
      </c>
      <c r="CG46" s="167">
        <v>20000</v>
      </c>
      <c r="CH46" s="167">
        <v>20000</v>
      </c>
      <c r="CI46" s="167">
        <v>20000</v>
      </c>
      <c r="CJ46" s="167">
        <v>20000</v>
      </c>
      <c r="CK46" s="167">
        <v>20000</v>
      </c>
      <c r="CL46" s="167">
        <v>20000</v>
      </c>
      <c r="CM46" s="167">
        <v>20000</v>
      </c>
      <c r="CN46" s="167">
        <v>20000</v>
      </c>
      <c r="CO46" s="167">
        <v>20000</v>
      </c>
      <c r="CP46" s="167">
        <v>20000</v>
      </c>
      <c r="CQ46" s="167">
        <v>20000</v>
      </c>
      <c r="CR46" s="167">
        <v>20000</v>
      </c>
      <c r="CS46" s="167">
        <v>20000</v>
      </c>
      <c r="CT46" s="167">
        <v>16934.426267058658</v>
      </c>
      <c r="CU46" s="167">
        <v>14210.599342485504</v>
      </c>
      <c r="CV46" s="167">
        <v>12466.773920618109</v>
      </c>
      <c r="CW46" s="167">
        <v>11512.188777882728</v>
      </c>
      <c r="CX46" s="167">
        <v>11076.651157830473</v>
      </c>
      <c r="CY46" s="167">
        <v>11663.328332499774</v>
      </c>
      <c r="CZ46" s="167">
        <v>13257.005756718125</v>
      </c>
      <c r="DA46" s="167">
        <v>15735.984836812668</v>
      </c>
      <c r="DB46" s="167">
        <v>18278.220990292906</v>
      </c>
      <c r="DC46" s="167">
        <v>20000</v>
      </c>
      <c r="DD46" s="167">
        <v>20000</v>
      </c>
      <c r="DE46" s="167">
        <v>20000</v>
      </c>
      <c r="DF46" s="167">
        <v>20000</v>
      </c>
      <c r="DG46" s="167">
        <v>20000</v>
      </c>
      <c r="DH46" s="167">
        <v>20000</v>
      </c>
      <c r="DI46" s="167">
        <v>20000</v>
      </c>
      <c r="DJ46" s="167">
        <v>20000</v>
      </c>
      <c r="DK46" s="167">
        <v>20000</v>
      </c>
      <c r="DL46" s="167">
        <v>20000</v>
      </c>
      <c r="DM46" s="167">
        <v>20000</v>
      </c>
      <c r="DN46" s="167">
        <v>20000</v>
      </c>
      <c r="DO46" s="167">
        <v>20000</v>
      </c>
      <c r="DP46" s="167">
        <v>20000</v>
      </c>
      <c r="DQ46" s="167">
        <v>20000</v>
      </c>
      <c r="DR46" s="167">
        <v>18070.63081284675</v>
      </c>
      <c r="DS46" s="167">
        <v>15440.630233414979</v>
      </c>
      <c r="DT46" s="167">
        <v>13625.102198252911</v>
      </c>
      <c r="DU46" s="167">
        <v>12631.921754676994</v>
      </c>
      <c r="DV46" s="167">
        <v>12525.606821958561</v>
      </c>
      <c r="DW46" s="167">
        <v>13345.277511336088</v>
      </c>
      <c r="DX46" s="167">
        <v>14822.123164770739</v>
      </c>
      <c r="DY46" s="167">
        <v>16930.062289860729</v>
      </c>
      <c r="DZ46" s="167">
        <v>19549.776062552875</v>
      </c>
      <c r="EA46" s="167">
        <v>20000</v>
      </c>
      <c r="EB46" s="167">
        <v>20000</v>
      </c>
      <c r="EC46" s="167">
        <v>20000</v>
      </c>
      <c r="ED46" s="167">
        <v>20000</v>
      </c>
      <c r="EE46" s="167">
        <v>20000</v>
      </c>
      <c r="EF46" s="167">
        <v>20000</v>
      </c>
      <c r="EG46" s="167">
        <v>20000</v>
      </c>
      <c r="EH46" s="167">
        <v>20000</v>
      </c>
      <c r="EI46" s="167">
        <v>20000</v>
      </c>
      <c r="EJ46" s="167">
        <v>20000</v>
      </c>
      <c r="EK46" s="167">
        <v>20000</v>
      </c>
      <c r="EL46" s="167">
        <v>20000</v>
      </c>
      <c r="EM46" s="167">
        <v>20000</v>
      </c>
      <c r="EN46" s="167">
        <v>20000</v>
      </c>
      <c r="EO46" s="167">
        <v>20000</v>
      </c>
      <c r="EP46" t="str">
        <f t="shared" si="0"/>
        <v>2y 4d</v>
      </c>
      <c r="ES46" s="277"/>
      <c r="ET46" s="277"/>
      <c r="EU46" s="277"/>
      <c r="EV46" s="277"/>
      <c r="EW46" s="277"/>
      <c r="EX46" s="277"/>
    </row>
    <row r="47" spans="2:154" ht="15" customHeight="1" x14ac:dyDescent="0.25">
      <c r="B47" s="65">
        <v>44</v>
      </c>
      <c r="D47">
        <v>13492946.225074925</v>
      </c>
      <c r="E47" s="12">
        <v>-6416939651.2035236</v>
      </c>
      <c r="F47" s="12">
        <v>-151688250236.99194</v>
      </c>
      <c r="G47" s="12">
        <v>0</v>
      </c>
      <c r="H47" s="12">
        <v>56009380.508551896</v>
      </c>
      <c r="I47" s="12">
        <v>-259749173302.29279</v>
      </c>
      <c r="J47" s="12">
        <v>363370847314.38037</v>
      </c>
      <c r="K47" s="12">
        <v>-10127871026.59697</v>
      </c>
      <c r="L47" s="12"/>
      <c r="M47" s="12"/>
      <c r="N47" s="12"/>
      <c r="O47" s="12"/>
      <c r="P47" s="12">
        <v>7018153.8309819233</v>
      </c>
      <c r="Q47" s="12">
        <v>140150748849.0423</v>
      </c>
      <c r="R47" s="12">
        <v>154336050901.98596</v>
      </c>
      <c r="S47" s="12">
        <v>0</v>
      </c>
      <c r="T47" s="12">
        <v>9540980.7713268586</v>
      </c>
      <c r="U47" s="12">
        <v>-42038351234.829674</v>
      </c>
      <c r="V47" s="12">
        <v>333280454462.62421</v>
      </c>
      <c r="W47" s="12">
        <v>-369181912.43613309</v>
      </c>
      <c r="X47" s="12"/>
      <c r="Y47" s="12"/>
      <c r="Z47" s="12"/>
      <c r="AA47" s="12"/>
      <c r="AB47" s="12"/>
      <c r="AC47" s="12"/>
      <c r="AD47" s="12"/>
      <c r="AE47" s="12"/>
      <c r="AS47" s="6">
        <v>64633845.709069759</v>
      </c>
      <c r="AT47" s="167">
        <v>20000</v>
      </c>
      <c r="AU47" s="167">
        <v>20000</v>
      </c>
      <c r="AV47" s="167">
        <v>20000</v>
      </c>
      <c r="AW47" s="167">
        <v>20000</v>
      </c>
      <c r="AX47" s="167">
        <v>20000</v>
      </c>
      <c r="AY47" s="167">
        <v>18193.650431111786</v>
      </c>
      <c r="AZ47" s="167">
        <v>16546.713090974201</v>
      </c>
      <c r="BA47" s="167">
        <v>15655.026697298776</v>
      </c>
      <c r="BB47" s="167">
        <v>15177.454940755921</v>
      </c>
      <c r="BC47" s="167">
        <v>15452.54655731087</v>
      </c>
      <c r="BD47" s="167">
        <v>16467.007182339457</v>
      </c>
      <c r="BE47" s="167">
        <v>18170.016285950878</v>
      </c>
      <c r="BF47" s="167">
        <v>20000</v>
      </c>
      <c r="BG47" s="167">
        <v>20000</v>
      </c>
      <c r="BH47" s="167">
        <v>20000</v>
      </c>
      <c r="BI47" s="167">
        <v>20000</v>
      </c>
      <c r="BJ47" s="167">
        <v>20000</v>
      </c>
      <c r="BK47" s="167">
        <v>20000</v>
      </c>
      <c r="BL47" s="167">
        <v>20000</v>
      </c>
      <c r="BM47" s="167">
        <v>20000</v>
      </c>
      <c r="BN47" s="167">
        <v>20000</v>
      </c>
      <c r="BO47" s="167">
        <v>20000</v>
      </c>
      <c r="BP47" s="167">
        <v>20000</v>
      </c>
      <c r="BQ47" s="167">
        <v>20000</v>
      </c>
      <c r="BR47" s="167">
        <v>20000</v>
      </c>
      <c r="BS47" s="167">
        <v>20000</v>
      </c>
      <c r="BT47" s="167">
        <v>20000</v>
      </c>
      <c r="BU47" s="167">
        <v>20000</v>
      </c>
      <c r="BV47" s="167">
        <v>20000</v>
      </c>
      <c r="BW47" s="167">
        <v>17314.695973322989</v>
      </c>
      <c r="BX47" s="167">
        <v>14608.243043376133</v>
      </c>
      <c r="BY47" s="167">
        <v>12721.161515695323</v>
      </c>
      <c r="BZ47" s="167">
        <v>11899.384273891135</v>
      </c>
      <c r="CA47" s="167">
        <v>11615.410839291404</v>
      </c>
      <c r="CB47" s="167">
        <v>12319.863798622777</v>
      </c>
      <c r="CC47" s="167">
        <v>13996.001060855837</v>
      </c>
      <c r="CD47" s="167">
        <v>16455.948098214038</v>
      </c>
      <c r="CE47" s="167">
        <v>19417.636025061809</v>
      </c>
      <c r="CF47" s="167">
        <v>20000</v>
      </c>
      <c r="CG47" s="167">
        <v>20000</v>
      </c>
      <c r="CH47" s="167">
        <v>20000</v>
      </c>
      <c r="CI47" s="167">
        <v>20000</v>
      </c>
      <c r="CJ47" s="167">
        <v>20000</v>
      </c>
      <c r="CK47" s="167">
        <v>20000</v>
      </c>
      <c r="CL47" s="167">
        <v>20000</v>
      </c>
      <c r="CM47" s="167">
        <v>20000</v>
      </c>
      <c r="CN47" s="167">
        <v>20000</v>
      </c>
      <c r="CO47" s="167">
        <v>20000</v>
      </c>
      <c r="CP47" s="167">
        <v>20000</v>
      </c>
      <c r="CQ47" s="167">
        <v>20000</v>
      </c>
      <c r="CR47" s="167">
        <v>20000</v>
      </c>
      <c r="CS47" s="167">
        <v>20000</v>
      </c>
      <c r="CT47" s="167">
        <v>17322.013060069825</v>
      </c>
      <c r="CU47" s="167">
        <v>14499.302473969614</v>
      </c>
      <c r="CV47" s="167">
        <v>12642.971207825394</v>
      </c>
      <c r="CW47" s="167">
        <v>11673.347530544679</v>
      </c>
      <c r="CX47" s="167">
        <v>11176.717490380237</v>
      </c>
      <c r="CY47" s="167">
        <v>11699.681776636276</v>
      </c>
      <c r="CZ47" s="167">
        <v>13226.750019267361</v>
      </c>
      <c r="DA47" s="167">
        <v>15636.973603686241</v>
      </c>
      <c r="DB47" s="167">
        <v>18180.937652383727</v>
      </c>
      <c r="DC47" s="167">
        <v>20000</v>
      </c>
      <c r="DD47" s="167">
        <v>20000</v>
      </c>
      <c r="DE47" s="167">
        <v>20000</v>
      </c>
      <c r="DF47" s="167">
        <v>20000</v>
      </c>
      <c r="DG47" s="167">
        <v>20000</v>
      </c>
      <c r="DH47" s="167">
        <v>20000</v>
      </c>
      <c r="DI47" s="167">
        <v>20000</v>
      </c>
      <c r="DJ47" s="167">
        <v>20000</v>
      </c>
      <c r="DK47" s="167">
        <v>20000</v>
      </c>
      <c r="DL47" s="167">
        <v>20000</v>
      </c>
      <c r="DM47" s="167">
        <v>20000</v>
      </c>
      <c r="DN47" s="167">
        <v>20000</v>
      </c>
      <c r="DO47" s="167">
        <v>20000</v>
      </c>
      <c r="DP47" s="167">
        <v>20000</v>
      </c>
      <c r="DQ47" s="167">
        <v>20000</v>
      </c>
      <c r="DR47" s="167">
        <v>18870.559124372732</v>
      </c>
      <c r="DS47" s="167">
        <v>16091.772069732626</v>
      </c>
      <c r="DT47" s="167">
        <v>14149.334621059941</v>
      </c>
      <c r="DU47" s="167">
        <v>13044.341032957342</v>
      </c>
      <c r="DV47" s="167">
        <v>12845.356964410767</v>
      </c>
      <c r="DW47" s="167">
        <v>13546.760187756903</v>
      </c>
      <c r="DX47" s="167">
        <v>14896.146140312741</v>
      </c>
      <c r="DY47" s="167">
        <v>16882.469775808117</v>
      </c>
      <c r="DZ47" s="167">
        <v>19387.609493433494</v>
      </c>
      <c r="EA47" s="167">
        <v>20000</v>
      </c>
      <c r="EB47" s="167">
        <v>20000</v>
      </c>
      <c r="EC47" s="167">
        <v>20000</v>
      </c>
      <c r="ED47" s="167">
        <v>20000</v>
      </c>
      <c r="EE47" s="167">
        <v>20000</v>
      </c>
      <c r="EF47" s="167">
        <v>20000</v>
      </c>
      <c r="EG47" s="167">
        <v>20000</v>
      </c>
      <c r="EH47" s="167">
        <v>20000</v>
      </c>
      <c r="EI47" s="167">
        <v>20000</v>
      </c>
      <c r="EJ47" s="167">
        <v>20000</v>
      </c>
      <c r="EK47" s="167">
        <v>20000</v>
      </c>
      <c r="EL47" s="167">
        <v>20000</v>
      </c>
      <c r="EM47" s="167">
        <v>20000</v>
      </c>
      <c r="EN47" s="167">
        <v>20000</v>
      </c>
      <c r="EO47" s="167">
        <v>20000</v>
      </c>
      <c r="EP47" t="str">
        <f t="shared" si="0"/>
        <v>2y 18d</v>
      </c>
      <c r="ES47" s="277"/>
      <c r="ET47" s="277"/>
      <c r="EU47" s="277"/>
      <c r="EV47" s="277"/>
      <c r="EW47" s="277"/>
      <c r="EX47" s="277"/>
    </row>
    <row r="48" spans="2:154" ht="15" customHeight="1" x14ac:dyDescent="0.25">
      <c r="B48" s="65">
        <v>45</v>
      </c>
      <c r="D48">
        <v>13818259.213393105</v>
      </c>
      <c r="E48" s="12">
        <v>3121703613.0325589</v>
      </c>
      <c r="F48" s="12">
        <v>-151859803419.33188</v>
      </c>
      <c r="G48" s="12">
        <v>0</v>
      </c>
      <c r="H48" s="12">
        <v>57687811.470249325</v>
      </c>
      <c r="I48" s="12">
        <v>-284518250317.13623</v>
      </c>
      <c r="J48" s="12">
        <v>349416774134.21527</v>
      </c>
      <c r="K48" s="12">
        <v>-8809645287.5584869</v>
      </c>
      <c r="L48" s="12"/>
      <c r="M48" s="12"/>
      <c r="N48" s="12"/>
      <c r="O48" s="12"/>
      <c r="P48" s="12">
        <v>7264737.3778408095</v>
      </c>
      <c r="Q48" s="12">
        <v>137268233947.7034</v>
      </c>
      <c r="R48" s="12">
        <v>160862512105.97369</v>
      </c>
      <c r="S48" s="12">
        <v>0</v>
      </c>
      <c r="T48" s="12">
        <v>9865415.452689087</v>
      </c>
      <c r="U48" s="12">
        <v>-47707914160.021935</v>
      </c>
      <c r="V48" s="12">
        <v>335673530214.85278</v>
      </c>
      <c r="W48" s="12">
        <v>-379876532.67607695</v>
      </c>
      <c r="X48" s="12"/>
      <c r="Y48" s="12"/>
      <c r="Z48" s="12"/>
      <c r="AA48" s="12"/>
      <c r="AB48" s="12"/>
      <c r="AC48" s="12"/>
      <c r="AD48" s="12"/>
      <c r="AE48" s="12"/>
      <c r="AG48" s="254" t="s">
        <v>67</v>
      </c>
      <c r="AH48" s="254"/>
      <c r="AI48" s="254"/>
      <c r="AS48" s="6">
        <v>65821508.251112625</v>
      </c>
      <c r="AT48" s="167">
        <v>20000</v>
      </c>
      <c r="AU48" s="167">
        <v>20000</v>
      </c>
      <c r="AV48" s="167">
        <v>20000</v>
      </c>
      <c r="AW48" s="167">
        <v>20000</v>
      </c>
      <c r="AX48" s="167">
        <v>20000</v>
      </c>
      <c r="AY48" s="167">
        <v>18720.563155438107</v>
      </c>
      <c r="AZ48" s="167">
        <v>16853.932755499787</v>
      </c>
      <c r="BA48" s="167">
        <v>15868.858481391973</v>
      </c>
      <c r="BB48" s="167">
        <v>15239.590833432076</v>
      </c>
      <c r="BC48" s="167">
        <v>15373.164673698175</v>
      </c>
      <c r="BD48" s="167">
        <v>16261.306082674259</v>
      </c>
      <c r="BE48" s="167">
        <v>17855.972405077482</v>
      </c>
      <c r="BF48" s="167">
        <v>19845.739556077024</v>
      </c>
      <c r="BG48" s="167">
        <v>20000</v>
      </c>
      <c r="BH48" s="167">
        <v>20000</v>
      </c>
      <c r="BI48" s="167">
        <v>20000</v>
      </c>
      <c r="BJ48" s="167">
        <v>20000</v>
      </c>
      <c r="BK48" s="167">
        <v>20000</v>
      </c>
      <c r="BL48" s="167">
        <v>20000</v>
      </c>
      <c r="BM48" s="167">
        <v>20000</v>
      </c>
      <c r="BN48" s="167">
        <v>20000</v>
      </c>
      <c r="BO48" s="167">
        <v>20000</v>
      </c>
      <c r="BP48" s="167">
        <v>20000</v>
      </c>
      <c r="BQ48" s="167">
        <v>20000</v>
      </c>
      <c r="BR48" s="167">
        <v>20000</v>
      </c>
      <c r="BS48" s="167">
        <v>20000</v>
      </c>
      <c r="BT48" s="167">
        <v>20000</v>
      </c>
      <c r="BU48" s="167">
        <v>20000</v>
      </c>
      <c r="BV48" s="167">
        <v>20000</v>
      </c>
      <c r="BW48" s="167">
        <v>17716.945175032946</v>
      </c>
      <c r="BX48" s="167">
        <v>14919.519504069052</v>
      </c>
      <c r="BY48" s="167">
        <v>12948.419759552358</v>
      </c>
      <c r="BZ48" s="167">
        <v>12045.356272890891</v>
      </c>
      <c r="CA48" s="167">
        <v>11681.958867683128</v>
      </c>
      <c r="CB48" s="167">
        <v>12308.286415181386</v>
      </c>
      <c r="CC48" s="167">
        <v>13911.316610196671</v>
      </c>
      <c r="CD48" s="167">
        <v>16387.267671718095</v>
      </c>
      <c r="CE48" s="167">
        <v>19228.789177911298</v>
      </c>
      <c r="CF48" s="167">
        <v>20000</v>
      </c>
      <c r="CG48" s="167">
        <v>20000</v>
      </c>
      <c r="CH48" s="167">
        <v>20000</v>
      </c>
      <c r="CI48" s="167">
        <v>20000</v>
      </c>
      <c r="CJ48" s="167">
        <v>20000</v>
      </c>
      <c r="CK48" s="167">
        <v>20000</v>
      </c>
      <c r="CL48" s="167">
        <v>20000</v>
      </c>
      <c r="CM48" s="167">
        <v>20000</v>
      </c>
      <c r="CN48" s="167">
        <v>20000</v>
      </c>
      <c r="CO48" s="167">
        <v>20000</v>
      </c>
      <c r="CP48" s="167">
        <v>20000</v>
      </c>
      <c r="CQ48" s="167">
        <v>20000</v>
      </c>
      <c r="CR48" s="167">
        <v>20000</v>
      </c>
      <c r="CS48" s="167">
        <v>20000</v>
      </c>
      <c r="CT48" s="167">
        <v>17736.445772616924</v>
      </c>
      <c r="CU48" s="167">
        <v>14811.727196723632</v>
      </c>
      <c r="CV48" s="167">
        <v>12843.223794125925</v>
      </c>
      <c r="CW48" s="167">
        <v>11848.444166693991</v>
      </c>
      <c r="CX48" s="167">
        <v>11286.877060254945</v>
      </c>
      <c r="CY48" s="167">
        <v>11742.567842412822</v>
      </c>
      <c r="CZ48" s="167">
        <v>13200.152592462597</v>
      </c>
      <c r="DA48" s="167">
        <v>15539.703670718836</v>
      </c>
      <c r="DB48" s="167">
        <v>18092.275707608816</v>
      </c>
      <c r="DC48" s="167">
        <v>20000</v>
      </c>
      <c r="DD48" s="167">
        <v>20000</v>
      </c>
      <c r="DE48" s="167">
        <v>20000</v>
      </c>
      <c r="DF48" s="167">
        <v>20000</v>
      </c>
      <c r="DG48" s="167">
        <v>20000</v>
      </c>
      <c r="DH48" s="167">
        <v>20000</v>
      </c>
      <c r="DI48" s="167">
        <v>20000</v>
      </c>
      <c r="DJ48" s="167">
        <v>20000</v>
      </c>
      <c r="DK48" s="167">
        <v>20000</v>
      </c>
      <c r="DL48" s="167">
        <v>20000</v>
      </c>
      <c r="DM48" s="167">
        <v>20000</v>
      </c>
      <c r="DN48" s="167">
        <v>20000</v>
      </c>
      <c r="DO48" s="167">
        <v>20000</v>
      </c>
      <c r="DP48" s="167">
        <v>20000</v>
      </c>
      <c r="DQ48" s="167">
        <v>20000</v>
      </c>
      <c r="DR48" s="167">
        <v>19739.308514551492</v>
      </c>
      <c r="DS48" s="167">
        <v>16799.405120251082</v>
      </c>
      <c r="DT48" s="167">
        <v>14720.473747128362</v>
      </c>
      <c r="DU48" s="167">
        <v>13495.019018395802</v>
      </c>
      <c r="DV48" s="167">
        <v>13191.149382514757</v>
      </c>
      <c r="DW48" s="167">
        <v>13765.006947770797</v>
      </c>
      <c r="DX48" s="167">
        <v>14980.595653300325</v>
      </c>
      <c r="DY48" s="167">
        <v>16840.241281992268</v>
      </c>
      <c r="DZ48" s="167">
        <v>19227.15714673607</v>
      </c>
      <c r="EA48" s="167">
        <v>20000</v>
      </c>
      <c r="EB48" s="167">
        <v>20000</v>
      </c>
      <c r="EC48" s="167">
        <v>20000</v>
      </c>
      <c r="ED48" s="167">
        <v>20000</v>
      </c>
      <c r="EE48" s="167">
        <v>20000</v>
      </c>
      <c r="EF48" s="167">
        <v>20000</v>
      </c>
      <c r="EG48" s="167">
        <v>20000</v>
      </c>
      <c r="EH48" s="167">
        <v>20000</v>
      </c>
      <c r="EI48" s="167">
        <v>20000</v>
      </c>
      <c r="EJ48" s="167">
        <v>20000</v>
      </c>
      <c r="EK48" s="167">
        <v>20000</v>
      </c>
      <c r="EL48" s="167">
        <v>20000</v>
      </c>
      <c r="EM48" s="167">
        <v>20000</v>
      </c>
      <c r="EN48" s="167">
        <v>20000</v>
      </c>
      <c r="EO48" s="167">
        <v>20000</v>
      </c>
      <c r="EP48" t="str">
        <f t="shared" si="0"/>
        <v>2y 31d</v>
      </c>
      <c r="ES48" s="277"/>
      <c r="ET48" s="277"/>
      <c r="EU48" s="277"/>
      <c r="EV48" s="277"/>
      <c r="EW48" s="277"/>
      <c r="EX48" s="277"/>
    </row>
    <row r="49" spans="2:154" ht="15" customHeight="1" x14ac:dyDescent="0.25">
      <c r="B49" s="65">
        <v>46</v>
      </c>
      <c r="D49">
        <v>14143843.611330913</v>
      </c>
      <c r="E49" s="12">
        <v>12655785165.103178</v>
      </c>
      <c r="F49" s="12">
        <v>-151422583724.68152</v>
      </c>
      <c r="G49" s="12">
        <v>0</v>
      </c>
      <c r="H49" s="12">
        <v>59395540.880650401</v>
      </c>
      <c r="I49" s="12">
        <v>-308527955465.76819</v>
      </c>
      <c r="J49" s="12">
        <v>333755818909.13599</v>
      </c>
      <c r="K49" s="12">
        <v>-7431521290.0938082</v>
      </c>
      <c r="L49" s="12"/>
      <c r="M49" s="12"/>
      <c r="N49" s="12"/>
      <c r="O49" s="12"/>
      <c r="P49" s="12">
        <v>7518527.1155753359</v>
      </c>
      <c r="Q49" s="12">
        <v>134179265282.99229</v>
      </c>
      <c r="R49" s="12">
        <v>167436460440.27246</v>
      </c>
      <c r="S49" s="12">
        <v>0</v>
      </c>
      <c r="T49" s="12">
        <v>10195905.054931609</v>
      </c>
      <c r="U49" s="12">
        <v>-53465713586.595627</v>
      </c>
      <c r="V49" s="12">
        <v>337987635050.92053</v>
      </c>
      <c r="W49" s="12">
        <v>-390630828.52602565</v>
      </c>
      <c r="X49" s="12"/>
      <c r="Y49" s="12"/>
      <c r="Z49" s="12"/>
      <c r="AA49" s="12"/>
      <c r="AB49" s="12"/>
      <c r="AC49" s="12"/>
      <c r="AD49" s="12"/>
      <c r="AE49" s="12"/>
      <c r="AG49" s="65" t="s">
        <v>22</v>
      </c>
      <c r="AH49" s="65" t="s">
        <v>23</v>
      </c>
      <c r="AI49" s="65" t="s">
        <v>26</v>
      </c>
      <c r="AS49" s="6">
        <v>67009170.793155491</v>
      </c>
      <c r="AT49" s="167">
        <v>20000</v>
      </c>
      <c r="AU49" s="167">
        <v>20000</v>
      </c>
      <c r="AV49" s="167">
        <v>20000</v>
      </c>
      <c r="AW49" s="167">
        <v>20000</v>
      </c>
      <c r="AX49" s="167">
        <v>20000</v>
      </c>
      <c r="AY49" s="167">
        <v>19277.357523158746</v>
      </c>
      <c r="AZ49" s="167">
        <v>17200.397105523214</v>
      </c>
      <c r="BA49" s="167">
        <v>16000.022379072183</v>
      </c>
      <c r="BB49" s="167">
        <v>15318.806623604562</v>
      </c>
      <c r="BC49" s="167">
        <v>15309.958567375774</v>
      </c>
      <c r="BD49" s="167">
        <v>16070.458944905518</v>
      </c>
      <c r="BE49" s="167">
        <v>17555.608653244377</v>
      </c>
      <c r="BF49" s="167">
        <v>19516.886796494611</v>
      </c>
      <c r="BG49" s="167">
        <v>20000</v>
      </c>
      <c r="BH49" s="167">
        <v>20000</v>
      </c>
      <c r="BI49" s="167">
        <v>20000</v>
      </c>
      <c r="BJ49" s="167">
        <v>20000</v>
      </c>
      <c r="BK49" s="167">
        <v>20000</v>
      </c>
      <c r="BL49" s="167">
        <v>20000</v>
      </c>
      <c r="BM49" s="167">
        <v>20000</v>
      </c>
      <c r="BN49" s="167">
        <v>20000</v>
      </c>
      <c r="BO49" s="167">
        <v>20000</v>
      </c>
      <c r="BP49" s="167">
        <v>20000</v>
      </c>
      <c r="BQ49" s="167">
        <v>20000</v>
      </c>
      <c r="BR49" s="167">
        <v>20000</v>
      </c>
      <c r="BS49" s="167">
        <v>20000</v>
      </c>
      <c r="BT49" s="167">
        <v>20000</v>
      </c>
      <c r="BU49" s="167">
        <v>20000</v>
      </c>
      <c r="BV49" s="167">
        <v>20000</v>
      </c>
      <c r="BW49" s="167">
        <v>18130.3080513518</v>
      </c>
      <c r="BX49" s="167">
        <v>15239.669272898438</v>
      </c>
      <c r="BY49" s="167">
        <v>13182.357339458918</v>
      </c>
      <c r="BZ49" s="167">
        <v>12198.576925589301</v>
      </c>
      <c r="CA49" s="167">
        <v>11754.834232640489</v>
      </c>
      <c r="CB49" s="167">
        <v>12302.157467520308</v>
      </c>
      <c r="CC49" s="167">
        <v>13831.370745575054</v>
      </c>
      <c r="CD49" s="167">
        <v>16240.6884646792</v>
      </c>
      <c r="CE49" s="167">
        <v>19049.836183242725</v>
      </c>
      <c r="CF49" s="167">
        <v>20000</v>
      </c>
      <c r="CG49" s="167">
        <v>20000</v>
      </c>
      <c r="CH49" s="167">
        <v>20000</v>
      </c>
      <c r="CI49" s="167">
        <v>20000</v>
      </c>
      <c r="CJ49" s="167">
        <v>20000</v>
      </c>
      <c r="CK49" s="167">
        <v>20000</v>
      </c>
      <c r="CL49" s="167">
        <v>20000</v>
      </c>
      <c r="CM49" s="167">
        <v>20000</v>
      </c>
      <c r="CN49" s="167">
        <v>20000</v>
      </c>
      <c r="CO49" s="167">
        <v>20000</v>
      </c>
      <c r="CP49" s="167">
        <v>20000</v>
      </c>
      <c r="CQ49" s="167">
        <v>20000</v>
      </c>
      <c r="CR49" s="167">
        <v>20000</v>
      </c>
      <c r="CS49" s="167">
        <v>20000</v>
      </c>
      <c r="CT49" s="167">
        <v>18178.180978430035</v>
      </c>
      <c r="CU49" s="167">
        <v>15148.044065691065</v>
      </c>
      <c r="CV49" s="167">
        <v>13067.172747851793</v>
      </c>
      <c r="CW49" s="167">
        <v>12037.570375049176</v>
      </c>
      <c r="CX49" s="167">
        <v>11407.282555753214</v>
      </c>
      <c r="CY49" s="167">
        <v>11792.195072348659</v>
      </c>
      <c r="CZ49" s="167">
        <v>13177.428651949336</v>
      </c>
      <c r="DA49" s="167">
        <v>15444.351627684098</v>
      </c>
      <c r="DB49" s="167">
        <v>18014.278588025718</v>
      </c>
      <c r="DC49" s="167">
        <v>20000</v>
      </c>
      <c r="DD49" s="167">
        <v>20000</v>
      </c>
      <c r="DE49" s="167">
        <v>20000</v>
      </c>
      <c r="DF49" s="167">
        <v>20000</v>
      </c>
      <c r="DG49" s="167">
        <v>20000</v>
      </c>
      <c r="DH49" s="167">
        <v>20000</v>
      </c>
      <c r="DI49" s="167">
        <v>20000</v>
      </c>
      <c r="DJ49" s="167">
        <v>20000</v>
      </c>
      <c r="DK49" s="167">
        <v>20000</v>
      </c>
      <c r="DL49" s="167">
        <v>20000</v>
      </c>
      <c r="DM49" s="167">
        <v>20000</v>
      </c>
      <c r="DN49" s="167">
        <v>20000</v>
      </c>
      <c r="DO49" s="167">
        <v>20000</v>
      </c>
      <c r="DP49" s="167">
        <v>20000</v>
      </c>
      <c r="DQ49" s="167">
        <v>20000</v>
      </c>
      <c r="DR49" s="167">
        <v>20000</v>
      </c>
      <c r="DS49" s="167">
        <v>17566.127674995725</v>
      </c>
      <c r="DT49" s="167">
        <v>15339.721851312312</v>
      </c>
      <c r="DU49" s="167">
        <v>13983.471226828568</v>
      </c>
      <c r="DV49" s="167">
        <v>13561.23876560282</v>
      </c>
      <c r="DW49" s="167">
        <v>14001.982956012747</v>
      </c>
      <c r="DX49" s="167">
        <v>15077.207226309472</v>
      </c>
      <c r="DY49" s="167">
        <v>16804.803400387966</v>
      </c>
      <c r="DZ49" s="167">
        <v>19067.869280479958</v>
      </c>
      <c r="EA49" s="167">
        <v>20000</v>
      </c>
      <c r="EB49" s="167">
        <v>20000</v>
      </c>
      <c r="EC49" s="167">
        <v>20000</v>
      </c>
      <c r="ED49" s="167">
        <v>20000</v>
      </c>
      <c r="EE49" s="167">
        <v>20000</v>
      </c>
      <c r="EF49" s="167">
        <v>20000</v>
      </c>
      <c r="EG49" s="167">
        <v>20000</v>
      </c>
      <c r="EH49" s="167">
        <v>20000</v>
      </c>
      <c r="EI49" s="167">
        <v>20000</v>
      </c>
      <c r="EJ49" s="167">
        <v>20000</v>
      </c>
      <c r="EK49" s="167">
        <v>20000</v>
      </c>
      <c r="EL49" s="167">
        <v>20000</v>
      </c>
      <c r="EM49" s="167">
        <v>20000</v>
      </c>
      <c r="EN49" s="167">
        <v>20000</v>
      </c>
      <c r="EO49" s="167">
        <v>20000</v>
      </c>
      <c r="EP49" t="str">
        <f t="shared" si="0"/>
        <v>2y 45d</v>
      </c>
      <c r="ES49" s="277"/>
      <c r="ET49" s="277"/>
      <c r="EU49" s="277"/>
      <c r="EV49" s="277"/>
      <c r="EW49" s="277"/>
      <c r="EX49" s="277"/>
    </row>
    <row r="50" spans="2:154" ht="15" customHeight="1" x14ac:dyDescent="0.25">
      <c r="B50" s="65">
        <v>47</v>
      </c>
      <c r="D50">
        <v>14469659.060958283</v>
      </c>
      <c r="E50" s="12">
        <v>22145867730.019245</v>
      </c>
      <c r="F50" s="12">
        <v>-150377694855.50604</v>
      </c>
      <c r="G50" s="12">
        <v>0</v>
      </c>
      <c r="H50" s="12">
        <v>61132558.540813625</v>
      </c>
      <c r="I50" s="12">
        <v>-331646231674.72192</v>
      </c>
      <c r="J50" s="12">
        <v>316416757201.84259</v>
      </c>
      <c r="K50" s="12">
        <v>-5998383387.2888441</v>
      </c>
      <c r="L50" s="12"/>
      <c r="M50" s="12"/>
      <c r="N50" s="12"/>
      <c r="O50" s="12"/>
      <c r="P50" s="12">
        <v>7779879.3258628808</v>
      </c>
      <c r="Q50" s="12">
        <v>130877003690.95667</v>
      </c>
      <c r="R50" s="12">
        <v>174054977878.12943</v>
      </c>
      <c r="S50" s="12">
        <v>0</v>
      </c>
      <c r="T50" s="12">
        <v>10532539.201134017</v>
      </c>
      <c r="U50" s="12">
        <v>-59310686386.434845</v>
      </c>
      <c r="V50" s="12">
        <v>340219129619.72687</v>
      </c>
      <c r="W50" s="12">
        <v>-401439863.36001569</v>
      </c>
      <c r="X50" s="12"/>
      <c r="Y50" s="12"/>
      <c r="Z50" s="12"/>
      <c r="AA50" s="12"/>
      <c r="AB50" s="12"/>
      <c r="AC50" s="12"/>
      <c r="AD50" s="12"/>
      <c r="AE50" s="12"/>
      <c r="AG50" s="27">
        <v>0</v>
      </c>
      <c r="AH50" s="27">
        <v>0</v>
      </c>
      <c r="AI50" s="27">
        <v>0</v>
      </c>
      <c r="AJ50">
        <v>8180928.888888889</v>
      </c>
      <c r="AS50" s="6">
        <v>68196833.335198358</v>
      </c>
      <c r="AT50" s="167">
        <v>20000</v>
      </c>
      <c r="AU50" s="167">
        <v>20000</v>
      </c>
      <c r="AV50" s="167">
        <v>20000</v>
      </c>
      <c r="AW50" s="167">
        <v>20000</v>
      </c>
      <c r="AX50" s="167">
        <v>20000</v>
      </c>
      <c r="AY50" s="167">
        <v>19862.176640286172</v>
      </c>
      <c r="AZ50" s="167">
        <v>17581.947443686866</v>
      </c>
      <c r="BA50" s="167">
        <v>16154.156287960341</v>
      </c>
      <c r="BB50" s="167">
        <v>15415.276978586573</v>
      </c>
      <c r="BC50" s="167">
        <v>15263.260223498673</v>
      </c>
      <c r="BD50" s="167">
        <v>15894.837446087766</v>
      </c>
      <c r="BE50" s="167">
        <v>17269.207256174384</v>
      </c>
      <c r="BF50" s="167">
        <v>19203.385752884489</v>
      </c>
      <c r="BG50" s="167">
        <v>20000</v>
      </c>
      <c r="BH50" s="167">
        <v>20000</v>
      </c>
      <c r="BI50" s="167">
        <v>20000</v>
      </c>
      <c r="BJ50" s="167">
        <v>20000</v>
      </c>
      <c r="BK50" s="167">
        <v>20000</v>
      </c>
      <c r="BL50" s="167">
        <v>20000</v>
      </c>
      <c r="BM50" s="167">
        <v>20000</v>
      </c>
      <c r="BN50" s="167">
        <v>20000</v>
      </c>
      <c r="BO50" s="167">
        <v>20000</v>
      </c>
      <c r="BP50" s="167">
        <v>20000</v>
      </c>
      <c r="BQ50" s="167">
        <v>20000</v>
      </c>
      <c r="BR50" s="167">
        <v>20000</v>
      </c>
      <c r="BS50" s="167">
        <v>20000</v>
      </c>
      <c r="BT50" s="167">
        <v>20000</v>
      </c>
      <c r="BU50" s="167">
        <v>20000</v>
      </c>
      <c r="BV50" s="167">
        <v>20000</v>
      </c>
      <c r="BW50" s="167">
        <v>18555.087153313536</v>
      </c>
      <c r="BX50" s="167">
        <v>15568.986018317977</v>
      </c>
      <c r="BY50" s="167">
        <v>13423.391399976139</v>
      </c>
      <c r="BZ50" s="167">
        <v>12359.310803449054</v>
      </c>
      <c r="CA50" s="167">
        <v>11834.292928736428</v>
      </c>
      <c r="CB50" s="167">
        <v>12301.702258877738</v>
      </c>
      <c r="CC50" s="167">
        <v>13756.322519452357</v>
      </c>
      <c r="CD50" s="167">
        <v>16098.560999987445</v>
      </c>
      <c r="CE50" s="167">
        <v>18882.055061941574</v>
      </c>
      <c r="CF50" s="167">
        <v>20000</v>
      </c>
      <c r="CG50" s="167">
        <v>20000</v>
      </c>
      <c r="CH50" s="167">
        <v>20000</v>
      </c>
      <c r="CI50" s="167">
        <v>20000</v>
      </c>
      <c r="CJ50" s="167">
        <v>20000</v>
      </c>
      <c r="CK50" s="167">
        <v>20000</v>
      </c>
      <c r="CL50" s="167">
        <v>20000</v>
      </c>
      <c r="CM50" s="167">
        <v>20000</v>
      </c>
      <c r="CN50" s="167">
        <v>20000</v>
      </c>
      <c r="CO50" s="167">
        <v>20000</v>
      </c>
      <c r="CP50" s="167">
        <v>20000</v>
      </c>
      <c r="CQ50" s="167">
        <v>20000</v>
      </c>
      <c r="CR50" s="167">
        <v>20000</v>
      </c>
      <c r="CS50" s="167">
        <v>20000</v>
      </c>
      <c r="CT50" s="167">
        <v>18647.908207193064</v>
      </c>
      <c r="CU50" s="167">
        <v>15508.636028286712</v>
      </c>
      <c r="CV50" s="167">
        <v>13314.702971833158</v>
      </c>
      <c r="CW50" s="167">
        <v>12240.97541941762</v>
      </c>
      <c r="CX50" s="167">
        <v>11538.219343767723</v>
      </c>
      <c r="CY50" s="167">
        <v>11848.878014027116</v>
      </c>
      <c r="CZ50" s="167">
        <v>13158.874045329247</v>
      </c>
      <c r="DA50" s="167">
        <v>15351.15135016487</v>
      </c>
      <c r="DB50" s="167">
        <v>17949.811810390405</v>
      </c>
      <c r="DC50" s="167">
        <v>20000</v>
      </c>
      <c r="DD50" s="167">
        <v>20000</v>
      </c>
      <c r="DE50" s="167">
        <v>20000</v>
      </c>
      <c r="DF50" s="167">
        <v>20000</v>
      </c>
      <c r="DG50" s="167">
        <v>20000</v>
      </c>
      <c r="DH50" s="167">
        <v>20000</v>
      </c>
      <c r="DI50" s="167">
        <v>20000</v>
      </c>
      <c r="DJ50" s="167">
        <v>20000</v>
      </c>
      <c r="DK50" s="167">
        <v>20000</v>
      </c>
      <c r="DL50" s="167">
        <v>20000</v>
      </c>
      <c r="DM50" s="167">
        <v>20000</v>
      </c>
      <c r="DN50" s="167">
        <v>20000</v>
      </c>
      <c r="DO50" s="167">
        <v>20000</v>
      </c>
      <c r="DP50" s="167">
        <v>20000</v>
      </c>
      <c r="DQ50" s="167">
        <v>20000</v>
      </c>
      <c r="DR50" s="167">
        <v>20000</v>
      </c>
      <c r="DS50" s="167">
        <v>18395.084192602051</v>
      </c>
      <c r="DT50" s="167">
        <v>16008.959620038018</v>
      </c>
      <c r="DU50" s="167">
        <v>14510.403956676382</v>
      </c>
      <c r="DV50" s="167">
        <v>13955.676170858318</v>
      </c>
      <c r="DW50" s="167">
        <v>14259.853560858573</v>
      </c>
      <c r="DX50" s="167">
        <v>15187.916302164364</v>
      </c>
      <c r="DY50" s="167">
        <v>16777.769092002312</v>
      </c>
      <c r="DZ50" s="167">
        <v>18884.069144828827</v>
      </c>
      <c r="EA50" s="167">
        <v>20000</v>
      </c>
      <c r="EB50" s="167">
        <v>20000</v>
      </c>
      <c r="EC50" s="167">
        <v>20000</v>
      </c>
      <c r="ED50" s="167">
        <v>20000</v>
      </c>
      <c r="EE50" s="167">
        <v>20000</v>
      </c>
      <c r="EF50" s="167">
        <v>20000</v>
      </c>
      <c r="EG50" s="167">
        <v>20000</v>
      </c>
      <c r="EH50" s="167">
        <v>20000</v>
      </c>
      <c r="EI50" s="167">
        <v>20000</v>
      </c>
      <c r="EJ50" s="167">
        <v>20000</v>
      </c>
      <c r="EK50" s="167">
        <v>20000</v>
      </c>
      <c r="EL50" s="167">
        <v>20000</v>
      </c>
      <c r="EM50" s="167">
        <v>20000</v>
      </c>
      <c r="EN50" s="167">
        <v>20000</v>
      </c>
      <c r="EO50" s="167">
        <v>20000</v>
      </c>
      <c r="EP50" t="str">
        <f t="shared" si="0"/>
        <v>2y 59d</v>
      </c>
      <c r="ES50" s="277"/>
      <c r="ET50" s="277"/>
      <c r="EU50" s="277"/>
      <c r="EV50" s="277"/>
      <c r="EW50" s="277"/>
      <c r="EX50" s="277"/>
    </row>
    <row r="51" spans="2:154" x14ac:dyDescent="0.25">
      <c r="B51" s="65">
        <v>48</v>
      </c>
      <c r="D51">
        <v>14795664.161777033</v>
      </c>
      <c r="E51" s="12">
        <v>31552621953.40868</v>
      </c>
      <c r="F51" s="12">
        <v>-148728874007.31354</v>
      </c>
      <c r="G51" s="12">
        <v>0</v>
      </c>
      <c r="H51" s="12">
        <v>62898700.425628588</v>
      </c>
      <c r="I51" s="12">
        <v>-353739747278.31421</v>
      </c>
      <c r="J51" s="12">
        <v>297439687059.62817</v>
      </c>
      <c r="K51" s="12">
        <v>-4515682086.3232403</v>
      </c>
      <c r="L51" s="12"/>
      <c r="M51" s="12"/>
      <c r="N51" s="12"/>
      <c r="O51" s="12"/>
      <c r="P51" s="12">
        <v>8049166.7953964891</v>
      </c>
      <c r="Q51" s="12">
        <v>127354417201.45905</v>
      </c>
      <c r="R51" s="12">
        <v>180714753224.37436</v>
      </c>
      <c r="S51" s="12">
        <v>0</v>
      </c>
      <c r="T51" s="12">
        <v>10875405.528894493</v>
      </c>
      <c r="U51" s="12">
        <v>-65241616017.393036</v>
      </c>
      <c r="V51" s="12">
        <v>342364309629.4364</v>
      </c>
      <c r="W51" s="12">
        <v>-412298410.993029</v>
      </c>
      <c r="X51" s="12"/>
      <c r="Y51" s="12"/>
      <c r="Z51" s="12"/>
      <c r="AA51" s="12"/>
      <c r="AB51" s="12"/>
      <c r="AC51" s="12"/>
      <c r="AD51" s="12"/>
      <c r="AE51" s="12"/>
      <c r="AS51" s="6">
        <v>69384495.877241224</v>
      </c>
      <c r="AT51" s="167">
        <v>20000</v>
      </c>
      <c r="AU51" s="167">
        <v>20000</v>
      </c>
      <c r="AV51" s="167">
        <v>20000</v>
      </c>
      <c r="AW51" s="167">
        <v>20000</v>
      </c>
      <c r="AX51" s="167">
        <v>20000</v>
      </c>
      <c r="AY51" s="167">
        <v>20000</v>
      </c>
      <c r="AZ51" s="167">
        <v>17995.116589699704</v>
      </c>
      <c r="BA51" s="167">
        <v>16354.727093300586</v>
      </c>
      <c r="BB51" s="167">
        <v>15529.097373152585</v>
      </c>
      <c r="BC51" s="167">
        <v>15233.331922578145</v>
      </c>
      <c r="BD51" s="167">
        <v>15734.76990732155</v>
      </c>
      <c r="BE51" s="167">
        <v>16997.030075732753</v>
      </c>
      <c r="BF51" s="167">
        <v>18906.067647092081</v>
      </c>
      <c r="BG51" s="167">
        <v>20000</v>
      </c>
      <c r="BH51" s="167">
        <v>20000</v>
      </c>
      <c r="BI51" s="167">
        <v>20000</v>
      </c>
      <c r="BJ51" s="167">
        <v>20000</v>
      </c>
      <c r="BK51" s="167">
        <v>20000</v>
      </c>
      <c r="BL51" s="167">
        <v>20000</v>
      </c>
      <c r="BM51" s="167">
        <v>20000</v>
      </c>
      <c r="BN51" s="167">
        <v>20000</v>
      </c>
      <c r="BO51" s="167">
        <v>20000</v>
      </c>
      <c r="BP51" s="167">
        <v>20000</v>
      </c>
      <c r="BQ51" s="167">
        <v>20000</v>
      </c>
      <c r="BR51" s="167">
        <v>20000</v>
      </c>
      <c r="BS51" s="167">
        <v>20000</v>
      </c>
      <c r="BT51" s="167">
        <v>20000</v>
      </c>
      <c r="BU51" s="167">
        <v>20000</v>
      </c>
      <c r="BV51" s="167">
        <v>20000</v>
      </c>
      <c r="BW51" s="167">
        <v>18991.635165050124</v>
      </c>
      <c r="BX51" s="167">
        <v>15907.803649842559</v>
      </c>
      <c r="BY51" s="167">
        <v>13671.946998552921</v>
      </c>
      <c r="BZ51" s="167">
        <v>12526.1375653988</v>
      </c>
      <c r="CA51" s="167">
        <v>11920.60382519813</v>
      </c>
      <c r="CB51" s="167">
        <v>12307.157739455</v>
      </c>
      <c r="CC51" s="167">
        <v>13686.342535483011</v>
      </c>
      <c r="CD51" s="167">
        <v>15960.970349355877</v>
      </c>
      <c r="CE51" s="167">
        <v>18727.087517332919</v>
      </c>
      <c r="CF51" s="167">
        <v>20000</v>
      </c>
      <c r="CG51" s="167">
        <v>20000</v>
      </c>
      <c r="CH51" s="167">
        <v>20000</v>
      </c>
      <c r="CI51" s="167">
        <v>20000</v>
      </c>
      <c r="CJ51" s="167">
        <v>20000</v>
      </c>
      <c r="CK51" s="167">
        <v>20000</v>
      </c>
      <c r="CL51" s="167">
        <v>20000</v>
      </c>
      <c r="CM51" s="167">
        <v>20000</v>
      </c>
      <c r="CN51" s="167">
        <v>20000</v>
      </c>
      <c r="CO51" s="167">
        <v>20000</v>
      </c>
      <c r="CP51" s="167">
        <v>20000</v>
      </c>
      <c r="CQ51" s="167">
        <v>20000</v>
      </c>
      <c r="CR51" s="167">
        <v>20000</v>
      </c>
      <c r="CS51" s="167">
        <v>20000</v>
      </c>
      <c r="CT51" s="167">
        <v>19146.546686376976</v>
      </c>
      <c r="CU51" s="167">
        <v>15894.094456349321</v>
      </c>
      <c r="CV51" s="167">
        <v>13585.927418238996</v>
      </c>
      <c r="CW51" s="167">
        <v>12451.6400883143</v>
      </c>
      <c r="CX51" s="167">
        <v>11680.100351925237</v>
      </c>
      <c r="CY51" s="167">
        <v>11913.034669757484</v>
      </c>
      <c r="CZ51" s="167">
        <v>13144.863136198584</v>
      </c>
      <c r="DA51" s="167">
        <v>15260.393264018781</v>
      </c>
      <c r="DB51" s="167">
        <v>17902.977716589099</v>
      </c>
      <c r="DC51" s="167">
        <v>20000</v>
      </c>
      <c r="DD51" s="167">
        <v>20000</v>
      </c>
      <c r="DE51" s="167">
        <v>20000</v>
      </c>
      <c r="DF51" s="167">
        <v>20000</v>
      </c>
      <c r="DG51" s="167">
        <v>20000</v>
      </c>
      <c r="DH51" s="167">
        <v>20000</v>
      </c>
      <c r="DI51" s="167">
        <v>20000</v>
      </c>
      <c r="DJ51" s="167">
        <v>20000</v>
      </c>
      <c r="DK51" s="167">
        <v>20000</v>
      </c>
      <c r="DL51" s="167">
        <v>20000</v>
      </c>
      <c r="DM51" s="167">
        <v>20000</v>
      </c>
      <c r="DN51" s="167">
        <v>20000</v>
      </c>
      <c r="DO51" s="167">
        <v>20000</v>
      </c>
      <c r="DP51" s="167">
        <v>20000</v>
      </c>
      <c r="DQ51" s="167">
        <v>20000</v>
      </c>
      <c r="DR51" s="167">
        <v>20000</v>
      </c>
      <c r="DS51" s="167">
        <v>19289.92395202602</v>
      </c>
      <c r="DT51" s="167">
        <v>16730.647163503963</v>
      </c>
      <c r="DU51" s="167">
        <v>15077.439598949288</v>
      </c>
      <c r="DV51" s="167">
        <v>14375.832092519169</v>
      </c>
      <c r="DW51" s="167">
        <v>14540.96009474898</v>
      </c>
      <c r="DX51" s="167">
        <v>15314.847329111668</v>
      </c>
      <c r="DY51" s="167">
        <v>16760.935162912865</v>
      </c>
      <c r="DZ51" s="167">
        <v>18710.453609700744</v>
      </c>
      <c r="EA51" s="167">
        <v>20000</v>
      </c>
      <c r="EB51" s="167">
        <v>20000</v>
      </c>
      <c r="EC51" s="167">
        <v>20000</v>
      </c>
      <c r="ED51" s="167">
        <v>20000</v>
      </c>
      <c r="EE51" s="167">
        <v>20000</v>
      </c>
      <c r="EF51" s="167">
        <v>20000</v>
      </c>
      <c r="EG51" s="167">
        <v>20000</v>
      </c>
      <c r="EH51" s="167">
        <v>20000</v>
      </c>
      <c r="EI51" s="167">
        <v>20000</v>
      </c>
      <c r="EJ51" s="167">
        <v>20000</v>
      </c>
      <c r="EK51" s="167">
        <v>20000</v>
      </c>
      <c r="EL51" s="167">
        <v>20000</v>
      </c>
      <c r="EM51" s="167">
        <v>20000</v>
      </c>
      <c r="EN51" s="167">
        <v>20000</v>
      </c>
      <c r="EO51" s="167">
        <v>20000</v>
      </c>
      <c r="EP51" t="str">
        <f t="shared" si="0"/>
        <v>2y 73d</v>
      </c>
      <c r="ES51" s="277"/>
      <c r="ET51" s="277"/>
      <c r="EU51" s="277"/>
      <c r="EV51" s="277"/>
      <c r="EW51" s="277"/>
      <c r="EX51" s="277"/>
    </row>
    <row r="52" spans="2:154" x14ac:dyDescent="0.25">
      <c r="B52" s="65">
        <v>49</v>
      </c>
      <c r="D52">
        <v>15121816.655232539</v>
      </c>
      <c r="E52" s="12">
        <v>40837012316.729919</v>
      </c>
      <c r="F52" s="12">
        <v>-146482483844.15054</v>
      </c>
      <c r="G52" s="12">
        <v>0</v>
      </c>
      <c r="H52" s="12">
        <v>64693639.195760705</v>
      </c>
      <c r="I52" s="12">
        <v>-374675005961.69257</v>
      </c>
      <c r="J52" s="12">
        <v>276876602630.71771</v>
      </c>
      <c r="K52" s="12">
        <v>-2989431315.923533</v>
      </c>
      <c r="L52" s="12"/>
      <c r="M52" s="12"/>
      <c r="N52" s="12"/>
      <c r="O52" s="12"/>
      <c r="P52" s="12">
        <v>8326779.4519575574</v>
      </c>
      <c r="Q52" s="12">
        <v>123604291767.09676</v>
      </c>
      <c r="R52" s="12">
        <v>187412048187.93704</v>
      </c>
      <c r="S52" s="12">
        <v>0</v>
      </c>
      <c r="T52" s="12">
        <v>11224589.417956907</v>
      </c>
      <c r="U52" s="12">
        <v>-71257126110.030411</v>
      </c>
      <c r="V52" s="12">
        <v>344419409911.63055</v>
      </c>
      <c r="W52" s="12">
        <v>-423200949.80417538</v>
      </c>
      <c r="X52" s="12"/>
      <c r="Y52" s="12"/>
      <c r="Z52" s="12"/>
      <c r="AA52" s="12"/>
      <c r="AB52" s="12"/>
      <c r="AC52" s="12"/>
      <c r="AD52" s="12"/>
      <c r="AE52" s="12"/>
      <c r="AG52" s="254" t="s">
        <v>68</v>
      </c>
      <c r="AH52" s="254"/>
      <c r="AI52" s="254"/>
      <c r="AS52" s="6">
        <v>70572158.41928409</v>
      </c>
      <c r="AT52" s="167">
        <v>20000</v>
      </c>
      <c r="AU52" s="167">
        <v>20000</v>
      </c>
      <c r="AV52" s="167">
        <v>20000</v>
      </c>
      <c r="AW52" s="167">
        <v>20000</v>
      </c>
      <c r="AX52" s="167">
        <v>20000</v>
      </c>
      <c r="AY52" s="167">
        <v>20000</v>
      </c>
      <c r="AZ52" s="167">
        <v>18437.037958237845</v>
      </c>
      <c r="BA52" s="167">
        <v>16595.828744106766</v>
      </c>
      <c r="BB52" s="167">
        <v>15641.070591420996</v>
      </c>
      <c r="BC52" s="167">
        <v>15220.367882991175</v>
      </c>
      <c r="BD52" s="167">
        <v>15590.540989863111</v>
      </c>
      <c r="BE52" s="167">
        <v>16739.318439267303</v>
      </c>
      <c r="BF52" s="167">
        <v>18594.747663426158</v>
      </c>
      <c r="BG52" s="167">
        <v>20000</v>
      </c>
      <c r="BH52" s="167">
        <v>20000</v>
      </c>
      <c r="BI52" s="167">
        <v>20000</v>
      </c>
      <c r="BJ52" s="167">
        <v>20000</v>
      </c>
      <c r="BK52" s="167">
        <v>20000</v>
      </c>
      <c r="BL52" s="167">
        <v>20000</v>
      </c>
      <c r="BM52" s="167">
        <v>20000</v>
      </c>
      <c r="BN52" s="167">
        <v>20000</v>
      </c>
      <c r="BO52" s="167">
        <v>20000</v>
      </c>
      <c r="BP52" s="167">
        <v>20000</v>
      </c>
      <c r="BQ52" s="167">
        <v>20000</v>
      </c>
      <c r="BR52" s="167">
        <v>20000</v>
      </c>
      <c r="BS52" s="167">
        <v>20000</v>
      </c>
      <c r="BT52" s="167">
        <v>20000</v>
      </c>
      <c r="BU52" s="167">
        <v>20000</v>
      </c>
      <c r="BV52" s="167">
        <v>20000</v>
      </c>
      <c r="BW52" s="167">
        <v>19440.352115800888</v>
      </c>
      <c r="BX52" s="167">
        <v>16256.493269850467</v>
      </c>
      <c r="BY52" s="167">
        <v>13928.457621227757</v>
      </c>
      <c r="BZ52" s="167">
        <v>12675.714867601891</v>
      </c>
      <c r="CA52" s="167">
        <v>12014.04861462756</v>
      </c>
      <c r="CB52" s="167">
        <v>12318.772811369327</v>
      </c>
      <c r="CC52" s="167">
        <v>13621.613381385043</v>
      </c>
      <c r="CD52" s="167">
        <v>15828.012484175204</v>
      </c>
      <c r="CE52" s="167">
        <v>18587.05785733401</v>
      </c>
      <c r="CF52" s="167">
        <v>20000</v>
      </c>
      <c r="CG52" s="167">
        <v>20000</v>
      </c>
      <c r="CH52" s="167">
        <v>20000</v>
      </c>
      <c r="CI52" s="167">
        <v>20000</v>
      </c>
      <c r="CJ52" s="167">
        <v>20000</v>
      </c>
      <c r="CK52" s="167">
        <v>20000</v>
      </c>
      <c r="CL52" s="167">
        <v>20000</v>
      </c>
      <c r="CM52" s="167">
        <v>20000</v>
      </c>
      <c r="CN52" s="167">
        <v>20000</v>
      </c>
      <c r="CO52" s="167">
        <v>20000</v>
      </c>
      <c r="CP52" s="167">
        <v>20000</v>
      </c>
      <c r="CQ52" s="167">
        <v>20000</v>
      </c>
      <c r="CR52" s="167">
        <v>20000</v>
      </c>
      <c r="CS52" s="167">
        <v>20000</v>
      </c>
      <c r="CT52" s="167">
        <v>19675.244313202475</v>
      </c>
      <c r="CU52" s="167">
        <v>16305.216770009891</v>
      </c>
      <c r="CV52" s="167">
        <v>13881.174862495969</v>
      </c>
      <c r="CW52" s="167">
        <v>12592.712217989772</v>
      </c>
      <c r="CX52" s="167">
        <v>11833.463387235321</v>
      </c>
      <c r="CY52" s="167">
        <v>11985.184713463963</v>
      </c>
      <c r="CZ52" s="167">
        <v>13135.849464770037</v>
      </c>
      <c r="DA52" s="167">
        <v>15172.42536493539</v>
      </c>
      <c r="DB52" s="167">
        <v>17879.816481076814</v>
      </c>
      <c r="DC52" s="167">
        <v>20000</v>
      </c>
      <c r="DD52" s="167">
        <v>20000</v>
      </c>
      <c r="DE52" s="167">
        <v>20000</v>
      </c>
      <c r="DF52" s="167">
        <v>20000</v>
      </c>
      <c r="DG52" s="167">
        <v>20000</v>
      </c>
      <c r="DH52" s="167">
        <v>20000</v>
      </c>
      <c r="DI52" s="167">
        <v>20000</v>
      </c>
      <c r="DJ52" s="167">
        <v>20000</v>
      </c>
      <c r="DK52" s="167">
        <v>20000</v>
      </c>
      <c r="DL52" s="167">
        <v>20000</v>
      </c>
      <c r="DM52" s="167">
        <v>20000</v>
      </c>
      <c r="DN52" s="167">
        <v>20000</v>
      </c>
      <c r="DO52" s="167">
        <v>20000</v>
      </c>
      <c r="DP52" s="167">
        <v>20000</v>
      </c>
      <c r="DQ52" s="167">
        <v>20000</v>
      </c>
      <c r="DR52" s="167">
        <v>20000</v>
      </c>
      <c r="DS52" s="167">
        <v>20000</v>
      </c>
      <c r="DT52" s="167">
        <v>17507.734989709446</v>
      </c>
      <c r="DU52" s="167">
        <v>15686.894080176931</v>
      </c>
      <c r="DV52" s="167">
        <v>14824.08473466451</v>
      </c>
      <c r="DW52" s="167">
        <v>14847.788979123703</v>
      </c>
      <c r="DX52" s="167">
        <v>15460.295102293439</v>
      </c>
      <c r="DY52" s="167">
        <v>16731.321724581456</v>
      </c>
      <c r="DZ52" s="167">
        <v>18548.633638859541</v>
      </c>
      <c r="EA52" s="167">
        <v>20000</v>
      </c>
      <c r="EB52" s="167">
        <v>20000</v>
      </c>
      <c r="EC52" s="167">
        <v>20000</v>
      </c>
      <c r="ED52" s="167">
        <v>20000</v>
      </c>
      <c r="EE52" s="167">
        <v>20000</v>
      </c>
      <c r="EF52" s="167">
        <v>20000</v>
      </c>
      <c r="EG52" s="167">
        <v>20000</v>
      </c>
      <c r="EH52" s="167">
        <v>20000</v>
      </c>
      <c r="EI52" s="167">
        <v>20000</v>
      </c>
      <c r="EJ52" s="167">
        <v>20000</v>
      </c>
      <c r="EK52" s="167">
        <v>20000</v>
      </c>
      <c r="EL52" s="167">
        <v>20000</v>
      </c>
      <c r="EM52" s="167">
        <v>20000</v>
      </c>
      <c r="EN52" s="167">
        <v>20000</v>
      </c>
      <c r="EO52" s="167">
        <v>20000</v>
      </c>
      <c r="EP52" t="str">
        <f t="shared" si="0"/>
        <v>2y 86d</v>
      </c>
      <c r="ES52" s="277"/>
      <c r="ET52" s="277"/>
      <c r="EU52" s="277"/>
      <c r="EV52" s="277"/>
      <c r="EW52" s="277"/>
      <c r="EX52" s="277"/>
    </row>
    <row r="53" spans="2:154" x14ac:dyDescent="0.25">
      <c r="B53" s="65">
        <v>50</v>
      </c>
      <c r="D53">
        <v>15448073.614476057</v>
      </c>
      <c r="E53" s="12">
        <v>49960482545.66951</v>
      </c>
      <c r="F53" s="12">
        <v>-143647490073.36847</v>
      </c>
      <c r="G53" s="12">
        <v>0</v>
      </c>
      <c r="H53" s="12">
        <v>66516875.763394468</v>
      </c>
      <c r="I53" s="12">
        <v>-394319581748.66748</v>
      </c>
      <c r="J53" s="12">
        <v>254791852395.50217</v>
      </c>
      <c r="K53" s="12">
        <v>-1426196927.0943782</v>
      </c>
      <c r="L53" s="12"/>
      <c r="M53" s="12"/>
      <c r="N53" s="12"/>
      <c r="O53" s="12"/>
      <c r="P53" s="12">
        <v>8613124.9854000751</v>
      </c>
      <c r="Q53" s="12">
        <v>119619244738.31543</v>
      </c>
      <c r="R53" s="12">
        <v>194142661387.74393</v>
      </c>
      <c r="S53" s="12">
        <v>0</v>
      </c>
      <c r="T53" s="12">
        <v>11580173.705445629</v>
      </c>
      <c r="U53" s="12">
        <v>-77355674119.687576</v>
      </c>
      <c r="V53" s="12">
        <v>346380608964.79956</v>
      </c>
      <c r="W53" s="12">
        <v>-434141657.39815551</v>
      </c>
      <c r="X53" s="12"/>
      <c r="Y53" s="12"/>
      <c r="Z53" s="12"/>
      <c r="AA53" s="12"/>
      <c r="AB53" s="12"/>
      <c r="AC53" s="12"/>
      <c r="AD53" s="12"/>
      <c r="AE53" s="12"/>
      <c r="AG53" s="65" t="s">
        <v>22</v>
      </c>
      <c r="AH53" s="65" t="s">
        <v>23</v>
      </c>
      <c r="AI53" s="65" t="s">
        <v>26</v>
      </c>
      <c r="AS53" s="6">
        <v>71759820.961326957</v>
      </c>
      <c r="AT53" s="167">
        <v>20000</v>
      </c>
      <c r="AU53" s="167">
        <v>20000</v>
      </c>
      <c r="AV53" s="167">
        <v>20000</v>
      </c>
      <c r="AW53" s="167">
        <v>20000</v>
      </c>
      <c r="AX53" s="167">
        <v>20000</v>
      </c>
      <c r="AY53" s="167">
        <v>20000</v>
      </c>
      <c r="AZ53" s="167">
        <v>18905.353821403449</v>
      </c>
      <c r="BA53" s="167">
        <v>16872.511678864736</v>
      </c>
      <c r="BB53" s="167">
        <v>15702.059938346303</v>
      </c>
      <c r="BC53" s="167">
        <v>15224.499147922697</v>
      </c>
      <c r="BD53" s="167">
        <v>15462.391804135821</v>
      </c>
      <c r="BE53" s="167">
        <v>16496.293248458267</v>
      </c>
      <c r="BF53" s="167">
        <v>18255.969874915139</v>
      </c>
      <c r="BG53" s="167">
        <v>20000</v>
      </c>
      <c r="BH53" s="167">
        <v>20000</v>
      </c>
      <c r="BI53" s="167">
        <v>20000</v>
      </c>
      <c r="BJ53" s="167">
        <v>20000</v>
      </c>
      <c r="BK53" s="167">
        <v>20000</v>
      </c>
      <c r="BL53" s="167">
        <v>20000</v>
      </c>
      <c r="BM53" s="167">
        <v>20000</v>
      </c>
      <c r="BN53" s="167">
        <v>20000</v>
      </c>
      <c r="BO53" s="167">
        <v>20000</v>
      </c>
      <c r="BP53" s="167">
        <v>20000</v>
      </c>
      <c r="BQ53" s="167">
        <v>20000</v>
      </c>
      <c r="BR53" s="167">
        <v>20000</v>
      </c>
      <c r="BS53" s="167">
        <v>20000</v>
      </c>
      <c r="BT53" s="167">
        <v>20000</v>
      </c>
      <c r="BU53" s="167">
        <v>20000</v>
      </c>
      <c r="BV53" s="167">
        <v>20000</v>
      </c>
      <c r="BW53" s="167">
        <v>19901.683598534604</v>
      </c>
      <c r="BX53" s="167">
        <v>16615.461420897696</v>
      </c>
      <c r="BY53" s="167">
        <v>14193.366476293271</v>
      </c>
      <c r="BZ53" s="167">
        <v>12833.493076826104</v>
      </c>
      <c r="CA53" s="167">
        <v>12114.9224558144</v>
      </c>
      <c r="CB53" s="167">
        <v>12336.808801607895</v>
      </c>
      <c r="CC53" s="167">
        <v>13562.330192024514</v>
      </c>
      <c r="CD53" s="167">
        <v>15699.795581296301</v>
      </c>
      <c r="CE53" s="167">
        <v>18464.739595419105</v>
      </c>
      <c r="CF53" s="167">
        <v>20000</v>
      </c>
      <c r="CG53" s="167">
        <v>20000</v>
      </c>
      <c r="CH53" s="167">
        <v>20000</v>
      </c>
      <c r="CI53" s="167">
        <v>20000</v>
      </c>
      <c r="CJ53" s="167">
        <v>20000</v>
      </c>
      <c r="CK53" s="167">
        <v>20000</v>
      </c>
      <c r="CL53" s="167">
        <v>20000</v>
      </c>
      <c r="CM53" s="167">
        <v>20000</v>
      </c>
      <c r="CN53" s="167">
        <v>20000</v>
      </c>
      <c r="CO53" s="167">
        <v>20000</v>
      </c>
      <c r="CP53" s="167">
        <v>20000</v>
      </c>
      <c r="CQ53" s="167">
        <v>20000</v>
      </c>
      <c r="CR53" s="167">
        <v>20000</v>
      </c>
      <c r="CS53" s="167">
        <v>20000</v>
      </c>
      <c r="CT53" s="167">
        <v>20000</v>
      </c>
      <c r="CU53" s="167">
        <v>16743.006050435786</v>
      </c>
      <c r="CV53" s="167">
        <v>14200.98112873872</v>
      </c>
      <c r="CW53" s="167">
        <v>12762.866719155178</v>
      </c>
      <c r="CX53" s="167">
        <v>11998.968831830465</v>
      </c>
      <c r="CY53" s="167">
        <v>12065.949336819071</v>
      </c>
      <c r="CZ53" s="167">
        <v>13132.366525453799</v>
      </c>
      <c r="DA53" s="167">
        <v>15087.655297867119</v>
      </c>
      <c r="DB53" s="167">
        <v>17767.45720942958</v>
      </c>
      <c r="DC53" s="167">
        <v>20000</v>
      </c>
      <c r="DD53" s="167">
        <v>20000</v>
      </c>
      <c r="DE53" s="167">
        <v>20000</v>
      </c>
      <c r="DF53" s="167">
        <v>20000</v>
      </c>
      <c r="DG53" s="167">
        <v>20000</v>
      </c>
      <c r="DH53" s="167">
        <v>20000</v>
      </c>
      <c r="DI53" s="167">
        <v>20000</v>
      </c>
      <c r="DJ53" s="167">
        <v>20000</v>
      </c>
      <c r="DK53" s="167">
        <v>20000</v>
      </c>
      <c r="DL53" s="167">
        <v>20000</v>
      </c>
      <c r="DM53" s="167">
        <v>20000</v>
      </c>
      <c r="DN53" s="167">
        <v>20000</v>
      </c>
      <c r="DO53" s="167">
        <v>20000</v>
      </c>
      <c r="DP53" s="167">
        <v>20000</v>
      </c>
      <c r="DQ53" s="167">
        <v>20000</v>
      </c>
      <c r="DR53" s="167">
        <v>20000</v>
      </c>
      <c r="DS53" s="167">
        <v>20000</v>
      </c>
      <c r="DT53" s="167">
        <v>18343.582480419303</v>
      </c>
      <c r="DU53" s="167">
        <v>16341.5923695407</v>
      </c>
      <c r="DV53" s="167">
        <v>15303.561942477572</v>
      </c>
      <c r="DW53" s="167">
        <v>15182.938363853082</v>
      </c>
      <c r="DX53" s="167">
        <v>15624.072002233603</v>
      </c>
      <c r="DY53" s="167">
        <v>16715.36091870032</v>
      </c>
      <c r="DZ53" s="167">
        <v>18400.366060312695</v>
      </c>
      <c r="EA53" s="167">
        <v>20000</v>
      </c>
      <c r="EB53" s="167">
        <v>20000</v>
      </c>
      <c r="EC53" s="167">
        <v>20000</v>
      </c>
      <c r="ED53" s="167">
        <v>20000</v>
      </c>
      <c r="EE53" s="167">
        <v>20000</v>
      </c>
      <c r="EF53" s="167">
        <v>20000</v>
      </c>
      <c r="EG53" s="167">
        <v>20000</v>
      </c>
      <c r="EH53" s="167">
        <v>20000</v>
      </c>
      <c r="EI53" s="167">
        <v>20000</v>
      </c>
      <c r="EJ53" s="167">
        <v>20000</v>
      </c>
      <c r="EK53" s="167">
        <v>20000</v>
      </c>
      <c r="EL53" s="167">
        <v>20000</v>
      </c>
      <c r="EM53" s="167">
        <v>20000</v>
      </c>
      <c r="EN53" s="167">
        <v>20000</v>
      </c>
      <c r="EO53" s="167">
        <v>20000</v>
      </c>
      <c r="EP53" t="str">
        <f t="shared" si="0"/>
        <v>2y 100d</v>
      </c>
      <c r="ES53" s="277"/>
      <c r="ET53" s="277"/>
      <c r="EU53" s="277"/>
      <c r="EV53" s="277"/>
      <c r="EW53" s="277"/>
      <c r="EX53" s="277"/>
    </row>
    <row r="54" spans="2:154" x14ac:dyDescent="0.25">
      <c r="B54" s="65">
        <v>51</v>
      </c>
      <c r="D54">
        <v>15774391.638241142</v>
      </c>
      <c r="E54" s="12">
        <v>58885139241.210327</v>
      </c>
      <c r="F54" s="12">
        <v>-140235424650.44055</v>
      </c>
      <c r="G54" s="12">
        <v>0</v>
      </c>
      <c r="H54" s="12">
        <v>68367732.206507161</v>
      </c>
      <c r="I54" s="12">
        <v>-412543467334.31415</v>
      </c>
      <c r="J54" s="12">
        <v>231262457833.76065</v>
      </c>
      <c r="K54" s="12">
        <v>166924396.13816822</v>
      </c>
      <c r="L54" s="12"/>
      <c r="M54" s="12"/>
      <c r="N54" s="12"/>
      <c r="O54" s="12"/>
      <c r="P54" s="12">
        <v>8908629.4453818351</v>
      </c>
      <c r="Q54" s="12">
        <v>115391741440.29382</v>
      </c>
      <c r="R54" s="12">
        <v>200901890278.47443</v>
      </c>
      <c r="S54" s="12">
        <v>0</v>
      </c>
      <c r="T54" s="12">
        <v>11942238.388904512</v>
      </c>
      <c r="U54" s="12">
        <v>-83535545077.91951</v>
      </c>
      <c r="V54" s="12">
        <v>348244033995.6712</v>
      </c>
      <c r="W54" s="12">
        <v>-445114405.8729831</v>
      </c>
      <c r="X54" s="12"/>
      <c r="Y54" s="12"/>
      <c r="Z54" s="12"/>
      <c r="AA54" s="12"/>
      <c r="AB54" s="12"/>
      <c r="AC54" s="12"/>
      <c r="AD54" s="12"/>
      <c r="AE54" s="12"/>
      <c r="AG54" s="27">
        <v>0</v>
      </c>
      <c r="AH54" s="27">
        <v>0</v>
      </c>
      <c r="AI54" s="27">
        <v>0</v>
      </c>
      <c r="AS54" s="6">
        <v>72947483.503369823</v>
      </c>
      <c r="AT54" s="167">
        <v>20000</v>
      </c>
      <c r="AU54" s="167">
        <v>20000</v>
      </c>
      <c r="AV54" s="167">
        <v>20000</v>
      </c>
      <c r="AW54" s="167">
        <v>20000</v>
      </c>
      <c r="AX54" s="167">
        <v>20000</v>
      </c>
      <c r="AY54" s="167">
        <v>20000</v>
      </c>
      <c r="AZ54" s="167">
        <v>19398.129909071045</v>
      </c>
      <c r="BA54" s="167">
        <v>17180.68721572635</v>
      </c>
      <c r="BB54" s="167">
        <v>15810.344325152844</v>
      </c>
      <c r="BC54" s="167">
        <v>15245.796491998264</v>
      </c>
      <c r="BD54" s="167">
        <v>15350.520491618279</v>
      </c>
      <c r="BE54" s="167">
        <v>16268.155103626004</v>
      </c>
      <c r="BF54" s="167">
        <v>17930.853446817011</v>
      </c>
      <c r="BG54" s="167">
        <v>20000</v>
      </c>
      <c r="BH54" s="167">
        <v>20000</v>
      </c>
      <c r="BI54" s="167">
        <v>20000</v>
      </c>
      <c r="BJ54" s="167">
        <v>20000</v>
      </c>
      <c r="BK54" s="167">
        <v>20000</v>
      </c>
      <c r="BL54" s="167">
        <v>20000</v>
      </c>
      <c r="BM54" s="167">
        <v>20000</v>
      </c>
      <c r="BN54" s="167">
        <v>20000</v>
      </c>
      <c r="BO54" s="167">
        <v>20000</v>
      </c>
      <c r="BP54" s="167">
        <v>20000</v>
      </c>
      <c r="BQ54" s="167">
        <v>20000</v>
      </c>
      <c r="BR54" s="167">
        <v>20000</v>
      </c>
      <c r="BS54" s="167">
        <v>20000</v>
      </c>
      <c r="BT54" s="167">
        <v>20000</v>
      </c>
      <c r="BU54" s="167">
        <v>20000</v>
      </c>
      <c r="BV54" s="167">
        <v>20000</v>
      </c>
      <c r="BW54" s="167">
        <v>20000</v>
      </c>
      <c r="BX54" s="167">
        <v>16985.149349351639</v>
      </c>
      <c r="BY54" s="167">
        <v>14467.128332403361</v>
      </c>
      <c r="BZ54" s="167">
        <v>12999.851480245878</v>
      </c>
      <c r="CA54" s="167">
        <v>12223.5345206397</v>
      </c>
      <c r="CB54" s="167">
        <v>12361.540090931398</v>
      </c>
      <c r="CC54" s="167">
        <v>13508.701334002597</v>
      </c>
      <c r="CD54" s="167">
        <v>15576.440114355</v>
      </c>
      <c r="CE54" s="167">
        <v>18363.792054706297</v>
      </c>
      <c r="CF54" s="167">
        <v>20000</v>
      </c>
      <c r="CG54" s="167">
        <v>20000</v>
      </c>
      <c r="CH54" s="167">
        <v>20000</v>
      </c>
      <c r="CI54" s="167">
        <v>20000</v>
      </c>
      <c r="CJ54" s="167">
        <v>20000</v>
      </c>
      <c r="CK54" s="167">
        <v>20000</v>
      </c>
      <c r="CL54" s="167">
        <v>20000</v>
      </c>
      <c r="CM54" s="167">
        <v>20000</v>
      </c>
      <c r="CN54" s="167">
        <v>20000</v>
      </c>
      <c r="CO54" s="167">
        <v>20000</v>
      </c>
      <c r="CP54" s="167">
        <v>20000</v>
      </c>
      <c r="CQ54" s="167">
        <v>20000</v>
      </c>
      <c r="CR54" s="167">
        <v>20000</v>
      </c>
      <c r="CS54" s="167">
        <v>20000</v>
      </c>
      <c r="CT54" s="167">
        <v>20000</v>
      </c>
      <c r="CU54" s="167">
        <v>17208.672895414187</v>
      </c>
      <c r="CV54" s="167">
        <v>14546.083652541882</v>
      </c>
      <c r="CW54" s="167">
        <v>12961.746242568806</v>
      </c>
      <c r="CX54" s="167">
        <v>12177.399658320161</v>
      </c>
      <c r="CY54" s="167">
        <v>12156.051653196071</v>
      </c>
      <c r="CZ54" s="167">
        <v>13135.030555918085</v>
      </c>
      <c r="DA54" s="167">
        <v>15006.552657026545</v>
      </c>
      <c r="DB54" s="167">
        <v>17606.86129474812</v>
      </c>
      <c r="DC54" s="167">
        <v>20000</v>
      </c>
      <c r="DD54" s="167">
        <v>20000</v>
      </c>
      <c r="DE54" s="167">
        <v>20000</v>
      </c>
      <c r="DF54" s="167">
        <v>20000</v>
      </c>
      <c r="DG54" s="167">
        <v>20000</v>
      </c>
      <c r="DH54" s="167">
        <v>20000</v>
      </c>
      <c r="DI54" s="167">
        <v>20000</v>
      </c>
      <c r="DJ54" s="167">
        <v>20000</v>
      </c>
      <c r="DK54" s="167">
        <v>20000</v>
      </c>
      <c r="DL54" s="167">
        <v>20000</v>
      </c>
      <c r="DM54" s="167">
        <v>20000</v>
      </c>
      <c r="DN54" s="167">
        <v>20000</v>
      </c>
      <c r="DO54" s="167">
        <v>20000</v>
      </c>
      <c r="DP54" s="167">
        <v>20000</v>
      </c>
      <c r="DQ54" s="167">
        <v>20000</v>
      </c>
      <c r="DR54" s="167">
        <v>20000</v>
      </c>
      <c r="DS54" s="167">
        <v>20000</v>
      </c>
      <c r="DT54" s="167">
        <v>19241.881373972254</v>
      </c>
      <c r="DU54" s="167">
        <v>17044.714273498503</v>
      </c>
      <c r="DV54" s="167">
        <v>15817.897226627603</v>
      </c>
      <c r="DW54" s="167">
        <v>15549.074484747753</v>
      </c>
      <c r="DX54" s="167">
        <v>15784.497985810092</v>
      </c>
      <c r="DY54" s="167">
        <v>16720.513925638523</v>
      </c>
      <c r="DZ54" s="167">
        <v>18267.548151370513</v>
      </c>
      <c r="EA54" s="167">
        <v>20000</v>
      </c>
      <c r="EB54" s="167">
        <v>20000</v>
      </c>
      <c r="EC54" s="167">
        <v>20000</v>
      </c>
      <c r="ED54" s="167">
        <v>20000</v>
      </c>
      <c r="EE54" s="167">
        <v>20000</v>
      </c>
      <c r="EF54" s="167">
        <v>20000</v>
      </c>
      <c r="EG54" s="167">
        <v>20000</v>
      </c>
      <c r="EH54" s="167">
        <v>20000</v>
      </c>
      <c r="EI54" s="167">
        <v>20000</v>
      </c>
      <c r="EJ54" s="167">
        <v>20000</v>
      </c>
      <c r="EK54" s="167">
        <v>20000</v>
      </c>
      <c r="EL54" s="167">
        <v>20000</v>
      </c>
      <c r="EM54" s="167">
        <v>20000</v>
      </c>
      <c r="EN54" s="167">
        <v>20000</v>
      </c>
      <c r="EO54" s="167">
        <v>20000</v>
      </c>
      <c r="EP54" t="str">
        <f t="shared" si="0"/>
        <v>2y 114d</v>
      </c>
      <c r="ES54" s="277"/>
      <c r="ET54" s="277"/>
      <c r="EU54" s="277"/>
      <c r="EV54" s="277"/>
      <c r="EW54" s="277"/>
      <c r="EX54" s="277"/>
    </row>
    <row r="55" spans="2:154" x14ac:dyDescent="0.25">
      <c r="B55" s="65">
        <v>52</v>
      </c>
      <c r="D55">
        <v>16100727.047653262</v>
      </c>
      <c r="E55" s="12">
        <v>67573932465.863159</v>
      </c>
      <c r="F55" s="12">
        <v>-136260334774.76605</v>
      </c>
      <c r="G55" s="12">
        <v>0</v>
      </c>
      <c r="H55" s="12">
        <v>70245346.329395518</v>
      </c>
      <c r="I55" s="12">
        <v>-429220519209.05432</v>
      </c>
      <c r="J55" s="12">
        <v>206378269184.58887</v>
      </c>
      <c r="K55" s="12">
        <v>1782336470.1589403</v>
      </c>
      <c r="L55" s="12"/>
      <c r="M55" s="12"/>
      <c r="N55" s="12"/>
      <c r="O55" s="12"/>
      <c r="P55" s="12">
        <v>9213737.8063023575</v>
      </c>
      <c r="Q55" s="12">
        <v>110914115238.13634</v>
      </c>
      <c r="R55" s="12">
        <v>207684491007.91641</v>
      </c>
      <c r="S55" s="12">
        <v>0</v>
      </c>
      <c r="T55" s="12">
        <v>12310860.317425285</v>
      </c>
      <c r="U55" s="12">
        <v>-89794845479.984879</v>
      </c>
      <c r="V55" s="12">
        <v>350005766475.59009</v>
      </c>
      <c r="W55" s="12">
        <v>-456112757.76477128</v>
      </c>
      <c r="X55" s="12"/>
      <c r="Y55" s="12"/>
      <c r="Z55" s="12"/>
      <c r="AA55" s="12"/>
      <c r="AB55" s="12"/>
      <c r="AC55" s="12"/>
      <c r="AD55" s="12"/>
      <c r="AE55" s="12"/>
      <c r="AS55" s="6">
        <v>74135146.045412689</v>
      </c>
      <c r="AT55" s="167">
        <v>20000</v>
      </c>
      <c r="AU55" s="167">
        <v>20000</v>
      </c>
      <c r="AV55" s="167">
        <v>20000</v>
      </c>
      <c r="AW55" s="167">
        <v>20000</v>
      </c>
      <c r="AX55" s="167">
        <v>20000</v>
      </c>
      <c r="AY55" s="167">
        <v>20000</v>
      </c>
      <c r="AZ55" s="167">
        <v>19913.780246502589</v>
      </c>
      <c r="BA55" s="167">
        <v>17517.016263405698</v>
      </c>
      <c r="BB55" s="167">
        <v>15959.33384729303</v>
      </c>
      <c r="BC55" s="167">
        <v>15283.854497419379</v>
      </c>
      <c r="BD55" s="167">
        <v>15255.083217364034</v>
      </c>
      <c r="BE55" s="167">
        <v>16055.08375332407</v>
      </c>
      <c r="BF55" s="167">
        <v>17619.497027356429</v>
      </c>
      <c r="BG55" s="167">
        <v>19735.10295578355</v>
      </c>
      <c r="BH55" s="167">
        <v>20000</v>
      </c>
      <c r="BI55" s="167">
        <v>20000</v>
      </c>
      <c r="BJ55" s="167">
        <v>20000</v>
      </c>
      <c r="BK55" s="167">
        <v>20000</v>
      </c>
      <c r="BL55" s="167">
        <v>20000</v>
      </c>
      <c r="BM55" s="167">
        <v>20000</v>
      </c>
      <c r="BN55" s="167">
        <v>20000</v>
      </c>
      <c r="BO55" s="167">
        <v>20000</v>
      </c>
      <c r="BP55" s="167">
        <v>20000</v>
      </c>
      <c r="BQ55" s="167">
        <v>20000</v>
      </c>
      <c r="BR55" s="167">
        <v>20000</v>
      </c>
      <c r="BS55" s="167">
        <v>20000</v>
      </c>
      <c r="BT55" s="167">
        <v>20000</v>
      </c>
      <c r="BU55" s="167">
        <v>20000</v>
      </c>
      <c r="BV55" s="167">
        <v>20000</v>
      </c>
      <c r="BW55" s="167">
        <v>20000</v>
      </c>
      <c r="BX55" s="167">
        <v>17366.033081805221</v>
      </c>
      <c r="BY55" s="167">
        <v>14750.211755356973</v>
      </c>
      <c r="BZ55" s="167">
        <v>13175.184724000475</v>
      </c>
      <c r="CA55" s="167">
        <v>12340.208899037314</v>
      </c>
      <c r="CB55" s="167">
        <v>12393.254900948554</v>
      </c>
      <c r="CC55" s="167">
        <v>13460.949201583082</v>
      </c>
      <c r="CD55" s="167">
        <v>15458.079638087698</v>
      </c>
      <c r="CE55" s="167">
        <v>18239.464484569718</v>
      </c>
      <c r="CF55" s="167">
        <v>20000</v>
      </c>
      <c r="CG55" s="167">
        <v>20000</v>
      </c>
      <c r="CH55" s="167">
        <v>20000</v>
      </c>
      <c r="CI55" s="167">
        <v>20000</v>
      </c>
      <c r="CJ55" s="167">
        <v>20000</v>
      </c>
      <c r="CK55" s="167">
        <v>20000</v>
      </c>
      <c r="CL55" s="167">
        <v>20000</v>
      </c>
      <c r="CM55" s="167">
        <v>20000</v>
      </c>
      <c r="CN55" s="167">
        <v>20000</v>
      </c>
      <c r="CO55" s="167">
        <v>20000</v>
      </c>
      <c r="CP55" s="167">
        <v>20000</v>
      </c>
      <c r="CQ55" s="167">
        <v>20000</v>
      </c>
      <c r="CR55" s="167">
        <v>20000</v>
      </c>
      <c r="CS55" s="167">
        <v>20000</v>
      </c>
      <c r="CT55" s="167">
        <v>20000</v>
      </c>
      <c r="CU55" s="167">
        <v>17703.639668419761</v>
      </c>
      <c r="CV55" s="167">
        <v>14917.419261395724</v>
      </c>
      <c r="CW55" s="167">
        <v>13189.301887137339</v>
      </c>
      <c r="CX55" s="167">
        <v>12369.661419373126</v>
      </c>
      <c r="CY55" s="167">
        <v>12256.318671115934</v>
      </c>
      <c r="CZ55" s="167">
        <v>13144.543062070101</v>
      </c>
      <c r="DA55" s="167">
        <v>14929.653467570182</v>
      </c>
      <c r="DB55" s="167">
        <v>17448.680345805027</v>
      </c>
      <c r="DC55" s="167">
        <v>20000</v>
      </c>
      <c r="DD55" s="167">
        <v>20000</v>
      </c>
      <c r="DE55" s="167">
        <v>20000</v>
      </c>
      <c r="DF55" s="167">
        <v>20000</v>
      </c>
      <c r="DG55" s="167">
        <v>20000</v>
      </c>
      <c r="DH55" s="167">
        <v>20000</v>
      </c>
      <c r="DI55" s="167">
        <v>20000</v>
      </c>
      <c r="DJ55" s="167">
        <v>20000</v>
      </c>
      <c r="DK55" s="167">
        <v>20000</v>
      </c>
      <c r="DL55" s="167">
        <v>20000</v>
      </c>
      <c r="DM55" s="167">
        <v>20000</v>
      </c>
      <c r="DN55" s="167">
        <v>20000</v>
      </c>
      <c r="DO55" s="167">
        <v>20000</v>
      </c>
      <c r="DP55" s="167">
        <v>20000</v>
      </c>
      <c r="DQ55" s="167">
        <v>20000</v>
      </c>
      <c r="DR55" s="167">
        <v>20000</v>
      </c>
      <c r="DS55" s="167">
        <v>20000</v>
      </c>
      <c r="DT55" s="167">
        <v>20000</v>
      </c>
      <c r="DU55" s="167">
        <v>17799.665713458719</v>
      </c>
      <c r="DV55" s="167">
        <v>16370.997766059327</v>
      </c>
      <c r="DW55" s="167">
        <v>15925.001467926781</v>
      </c>
      <c r="DX55" s="167">
        <v>15975.524112907342</v>
      </c>
      <c r="DY55" s="167">
        <v>16749.236741251174</v>
      </c>
      <c r="DZ55" s="167">
        <v>18152.205106079407</v>
      </c>
      <c r="EA55" s="167">
        <v>20000</v>
      </c>
      <c r="EB55" s="167">
        <v>20000</v>
      </c>
      <c r="EC55" s="167">
        <v>20000</v>
      </c>
      <c r="ED55" s="167">
        <v>20000</v>
      </c>
      <c r="EE55" s="167">
        <v>20000</v>
      </c>
      <c r="EF55" s="167">
        <v>20000</v>
      </c>
      <c r="EG55" s="167">
        <v>20000</v>
      </c>
      <c r="EH55" s="167">
        <v>20000</v>
      </c>
      <c r="EI55" s="167">
        <v>20000</v>
      </c>
      <c r="EJ55" s="167">
        <v>20000</v>
      </c>
      <c r="EK55" s="167">
        <v>20000</v>
      </c>
      <c r="EL55" s="167">
        <v>20000</v>
      </c>
      <c r="EM55" s="167">
        <v>20000</v>
      </c>
      <c r="EN55" s="167">
        <v>20000</v>
      </c>
      <c r="EO55" s="167">
        <v>20000</v>
      </c>
      <c r="EP55" t="str">
        <f t="shared" si="0"/>
        <v>2y 128d</v>
      </c>
      <c r="ES55" s="277"/>
      <c r="ET55" s="277"/>
      <c r="EU55" s="277"/>
      <c r="EV55" s="277"/>
      <c r="EW55" s="277"/>
      <c r="EX55" s="277"/>
    </row>
    <row r="56" spans="2:154" x14ac:dyDescent="0.25">
      <c r="B56" s="65">
        <v>53</v>
      </c>
      <c r="D56">
        <v>16427036.08476082</v>
      </c>
      <c r="E56" s="12">
        <v>75990832035.931442</v>
      </c>
      <c r="F56" s="12">
        <v>-131738717966.92433</v>
      </c>
      <c r="G56" s="12">
        <v>0</v>
      </c>
      <c r="H56" s="12">
        <v>72148668.160113901</v>
      </c>
      <c r="I56" s="12">
        <v>-444229978074.0014</v>
      </c>
      <c r="J56" s="12">
        <v>180241936790.349</v>
      </c>
      <c r="K56" s="12">
        <v>3411985625.0325103</v>
      </c>
      <c r="L56" s="12"/>
      <c r="M56" s="12"/>
      <c r="N56" s="12"/>
      <c r="O56" s="12"/>
      <c r="P56" s="12">
        <v>9528914.4883742537</v>
      </c>
      <c r="Q56" s="12">
        <v>106178591508.08461</v>
      </c>
      <c r="R56" s="12">
        <v>214484636248.8942</v>
      </c>
      <c r="S56" s="12">
        <v>0</v>
      </c>
      <c r="T56" s="12">
        <v>12686112.871247031</v>
      </c>
      <c r="U56" s="12">
        <v>-96131497347.631241</v>
      </c>
      <c r="V56" s="12">
        <v>351661848227.57391</v>
      </c>
      <c r="W56" s="12">
        <v>-467129962.74274093</v>
      </c>
      <c r="X56" s="12"/>
      <c r="Y56" s="12"/>
      <c r="Z56" s="12"/>
      <c r="AA56" s="12"/>
      <c r="AB56" s="12"/>
      <c r="AC56" s="12"/>
      <c r="AD56" s="12"/>
      <c r="AE56" s="12"/>
      <c r="AG56" s="254" t="s">
        <v>69</v>
      </c>
      <c r="AH56" s="254"/>
      <c r="AI56" s="254"/>
      <c r="AS56" s="6">
        <v>75322808.587455556</v>
      </c>
      <c r="AT56" s="167">
        <v>20000</v>
      </c>
      <c r="AU56" s="167">
        <v>20000</v>
      </c>
      <c r="AV56" s="167">
        <v>20000</v>
      </c>
      <c r="AW56" s="167">
        <v>20000</v>
      </c>
      <c r="AX56" s="167">
        <v>20000</v>
      </c>
      <c r="AY56" s="167">
        <v>20000</v>
      </c>
      <c r="AZ56" s="167">
        <v>20000</v>
      </c>
      <c r="BA56" s="167">
        <v>17878.794307207168</v>
      </c>
      <c r="BB56" s="167">
        <v>16143.594661392952</v>
      </c>
      <c r="BC56" s="167">
        <v>15273.407818427813</v>
      </c>
      <c r="BD56" s="167">
        <v>15176.195741962589</v>
      </c>
      <c r="BE56" s="167">
        <v>15857.240157633934</v>
      </c>
      <c r="BF56" s="167">
        <v>17321.994466051667</v>
      </c>
      <c r="BG56" s="167">
        <v>19389.52541672032</v>
      </c>
      <c r="BH56" s="167">
        <v>20000</v>
      </c>
      <c r="BI56" s="167">
        <v>20000</v>
      </c>
      <c r="BJ56" s="167">
        <v>20000</v>
      </c>
      <c r="BK56" s="167">
        <v>20000</v>
      </c>
      <c r="BL56" s="167">
        <v>20000</v>
      </c>
      <c r="BM56" s="167">
        <v>20000</v>
      </c>
      <c r="BN56" s="167">
        <v>20000</v>
      </c>
      <c r="BO56" s="167">
        <v>20000</v>
      </c>
      <c r="BP56" s="167">
        <v>20000</v>
      </c>
      <c r="BQ56" s="167">
        <v>20000</v>
      </c>
      <c r="BR56" s="167">
        <v>20000</v>
      </c>
      <c r="BS56" s="167">
        <v>20000</v>
      </c>
      <c r="BT56" s="167">
        <v>20000</v>
      </c>
      <c r="BU56" s="167">
        <v>20000</v>
      </c>
      <c r="BV56" s="167">
        <v>20000</v>
      </c>
      <c r="BW56" s="167">
        <v>20000</v>
      </c>
      <c r="BX56" s="167">
        <v>17758.624165676709</v>
      </c>
      <c r="BY56" s="167">
        <v>15043.101652909481</v>
      </c>
      <c r="BZ56" s="167">
        <v>13359.901946644772</v>
      </c>
      <c r="CA56" s="167">
        <v>12465.285569723193</v>
      </c>
      <c r="CB56" s="167">
        <v>12432.255801273606</v>
      </c>
      <c r="CC56" s="167">
        <v>13419.310902136505</v>
      </c>
      <c r="CD56" s="167">
        <v>15344.86158051319</v>
      </c>
      <c r="CE56" s="167">
        <v>18063.913796312136</v>
      </c>
      <c r="CF56" s="167">
        <v>20000</v>
      </c>
      <c r="CG56" s="167">
        <v>20000</v>
      </c>
      <c r="CH56" s="167">
        <v>20000</v>
      </c>
      <c r="CI56" s="167">
        <v>20000</v>
      </c>
      <c r="CJ56" s="167">
        <v>20000</v>
      </c>
      <c r="CK56" s="167">
        <v>20000</v>
      </c>
      <c r="CL56" s="167">
        <v>20000</v>
      </c>
      <c r="CM56" s="167">
        <v>20000</v>
      </c>
      <c r="CN56" s="167">
        <v>20000</v>
      </c>
      <c r="CO56" s="167">
        <v>20000</v>
      </c>
      <c r="CP56" s="167">
        <v>20000</v>
      </c>
      <c r="CQ56" s="167">
        <v>20000</v>
      </c>
      <c r="CR56" s="167">
        <v>20000</v>
      </c>
      <c r="CS56" s="167">
        <v>20000</v>
      </c>
      <c r="CT56" s="167">
        <v>20000</v>
      </c>
      <c r="CU56" s="167">
        <v>18229.54721838162</v>
      </c>
      <c r="CV56" s="167">
        <v>15316.125054776981</v>
      </c>
      <c r="CW56" s="167">
        <v>13445.760624615235</v>
      </c>
      <c r="CX56" s="167">
        <v>12576.784564360511</v>
      </c>
      <c r="CY56" s="167">
        <v>12367.684190750777</v>
      </c>
      <c r="CZ56" s="167">
        <v>13161.696584931336</v>
      </c>
      <c r="DA56" s="167">
        <v>14857.564312909706</v>
      </c>
      <c r="DB56" s="167">
        <v>17293.334570063573</v>
      </c>
      <c r="DC56" s="167">
        <v>19968.217369278136</v>
      </c>
      <c r="DD56" s="167">
        <v>20000</v>
      </c>
      <c r="DE56" s="167">
        <v>20000</v>
      </c>
      <c r="DF56" s="167">
        <v>20000</v>
      </c>
      <c r="DG56" s="167">
        <v>20000</v>
      </c>
      <c r="DH56" s="167">
        <v>20000</v>
      </c>
      <c r="DI56" s="167">
        <v>20000</v>
      </c>
      <c r="DJ56" s="167">
        <v>20000</v>
      </c>
      <c r="DK56" s="167">
        <v>20000</v>
      </c>
      <c r="DL56" s="167">
        <v>20000</v>
      </c>
      <c r="DM56" s="167">
        <v>20000</v>
      </c>
      <c r="DN56" s="167">
        <v>20000</v>
      </c>
      <c r="DO56" s="167">
        <v>20000</v>
      </c>
      <c r="DP56" s="167">
        <v>20000</v>
      </c>
      <c r="DQ56" s="167">
        <v>20000</v>
      </c>
      <c r="DR56" s="167">
        <v>20000</v>
      </c>
      <c r="DS56" s="167">
        <v>20000</v>
      </c>
      <c r="DT56" s="167">
        <v>20000</v>
      </c>
      <c r="DU56" s="167">
        <v>18609.971659474562</v>
      </c>
      <c r="DV56" s="167">
        <v>16966.837007397793</v>
      </c>
      <c r="DW56" s="167">
        <v>16332.407468770301</v>
      </c>
      <c r="DX56" s="167">
        <v>16199.905038073523</v>
      </c>
      <c r="DY56" s="167">
        <v>16804.067318992737</v>
      </c>
      <c r="DZ56" s="167">
        <v>18056.477533215966</v>
      </c>
      <c r="EA56" s="167">
        <v>19855.894676880907</v>
      </c>
      <c r="EB56" s="167">
        <v>20000</v>
      </c>
      <c r="EC56" s="167">
        <v>20000</v>
      </c>
      <c r="ED56" s="167">
        <v>20000</v>
      </c>
      <c r="EE56" s="167">
        <v>20000</v>
      </c>
      <c r="EF56" s="167">
        <v>20000</v>
      </c>
      <c r="EG56" s="167">
        <v>20000</v>
      </c>
      <c r="EH56" s="167">
        <v>20000</v>
      </c>
      <c r="EI56" s="167">
        <v>20000</v>
      </c>
      <c r="EJ56" s="167">
        <v>20000</v>
      </c>
      <c r="EK56" s="167">
        <v>20000</v>
      </c>
      <c r="EL56" s="167">
        <v>20000</v>
      </c>
      <c r="EM56" s="167">
        <v>20000</v>
      </c>
      <c r="EN56" s="167">
        <v>20000</v>
      </c>
      <c r="EO56" s="167">
        <v>20000</v>
      </c>
      <c r="EP56" t="str">
        <f t="shared" si="0"/>
        <v>2y 141d</v>
      </c>
      <c r="ES56" s="277"/>
      <c r="ET56" s="277"/>
      <c r="EU56" s="277"/>
      <c r="EV56" s="277"/>
      <c r="EW56" s="277"/>
      <c r="EX56" s="277"/>
    </row>
    <row r="57" spans="2:154" x14ac:dyDescent="0.25">
      <c r="B57" s="65">
        <v>54</v>
      </c>
      <c r="D57">
        <v>16753275.11155743</v>
      </c>
      <c r="E57" s="12">
        <v>84100998304.181488</v>
      </c>
      <c r="F57" s="12">
        <v>-126689443644.75052</v>
      </c>
      <c r="G57" s="12">
        <v>0</v>
      </c>
      <c r="H57" s="12">
        <v>74076458.657064661</v>
      </c>
      <c r="I57" s="12">
        <v>-457458038226.48853</v>
      </c>
      <c r="J57" s="12">
        <v>152968679424.00711</v>
      </c>
      <c r="K57" s="12">
        <v>5047413567.6713972</v>
      </c>
      <c r="L57" s="12"/>
      <c r="M57" s="12"/>
      <c r="N57" s="12"/>
      <c r="O57" s="12"/>
      <c r="P57" s="12">
        <v>9854643.8220555391</v>
      </c>
      <c r="Q57" s="12">
        <v>101177315963.57155</v>
      </c>
      <c r="R57" s="12">
        <v>221295871086.18961</v>
      </c>
      <c r="S57" s="12">
        <v>0</v>
      </c>
      <c r="T57" s="12">
        <v>13068065.63031159</v>
      </c>
      <c r="U57" s="12">
        <v>-102543232508.86182</v>
      </c>
      <c r="V57" s="12">
        <v>353208288057.77417</v>
      </c>
      <c r="W57" s="12">
        <v>-478158955.12953192</v>
      </c>
      <c r="X57" s="12"/>
      <c r="Y57" s="12"/>
      <c r="Z57" s="12"/>
      <c r="AA57" s="12"/>
      <c r="AB57" s="12"/>
      <c r="AC57" s="12"/>
      <c r="AD57" s="12"/>
      <c r="AE57" s="12"/>
      <c r="AG57" s="65" t="s">
        <v>22</v>
      </c>
      <c r="AH57" s="65" t="s">
        <v>23</v>
      </c>
      <c r="AI57" s="65" t="s">
        <v>26</v>
      </c>
      <c r="AS57" s="6">
        <v>76510471.129498422</v>
      </c>
      <c r="AT57" s="167">
        <v>20000</v>
      </c>
      <c r="AU57" s="167">
        <v>20000</v>
      </c>
      <c r="AV57" s="167">
        <v>20000</v>
      </c>
      <c r="AW57" s="167">
        <v>20000</v>
      </c>
      <c r="AX57" s="167">
        <v>20000</v>
      </c>
      <c r="AY57" s="167">
        <v>20000</v>
      </c>
      <c r="AZ57" s="167">
        <v>20000</v>
      </c>
      <c r="BA57" s="167">
        <v>18263.842692873019</v>
      </c>
      <c r="BB57" s="167">
        <v>16358.699053627955</v>
      </c>
      <c r="BC57" s="167">
        <v>15308.963956882195</v>
      </c>
      <c r="BD57" s="167">
        <v>15113.935434558744</v>
      </c>
      <c r="BE57" s="167">
        <v>15674.764534693139</v>
      </c>
      <c r="BF57" s="167">
        <v>17038.435328819891</v>
      </c>
      <c r="BG57" s="167">
        <v>19057.549785341078</v>
      </c>
      <c r="BH57" s="167">
        <v>20000</v>
      </c>
      <c r="BI57" s="167">
        <v>20000</v>
      </c>
      <c r="BJ57" s="167">
        <v>20000</v>
      </c>
      <c r="BK57" s="167">
        <v>20000</v>
      </c>
      <c r="BL57" s="167">
        <v>20000</v>
      </c>
      <c r="BM57" s="167">
        <v>20000</v>
      </c>
      <c r="BN57" s="167">
        <v>20000</v>
      </c>
      <c r="BO57" s="167">
        <v>20000</v>
      </c>
      <c r="BP57" s="167">
        <v>20000</v>
      </c>
      <c r="BQ57" s="167">
        <v>20000</v>
      </c>
      <c r="BR57" s="167">
        <v>20000</v>
      </c>
      <c r="BS57" s="167">
        <v>20000</v>
      </c>
      <c r="BT57" s="167">
        <v>20000</v>
      </c>
      <c r="BU57" s="167">
        <v>20000</v>
      </c>
      <c r="BV57" s="167">
        <v>20000</v>
      </c>
      <c r="BW57" s="167">
        <v>20000</v>
      </c>
      <c r="BX57" s="167">
        <v>18163.470965760302</v>
      </c>
      <c r="BY57" s="167">
        <v>15346.302072694418</v>
      </c>
      <c r="BZ57" s="167">
        <v>13554.426911826318</v>
      </c>
      <c r="CA57" s="167">
        <v>12599.12191478662</v>
      </c>
      <c r="CB57" s="167">
        <v>12478.861748163072</v>
      </c>
      <c r="CC57" s="167">
        <v>13384.039903629167</v>
      </c>
      <c r="CD57" s="167">
        <v>15236.948146476703</v>
      </c>
      <c r="CE57" s="167">
        <v>17892.969434135699</v>
      </c>
      <c r="CF57" s="167">
        <v>20000</v>
      </c>
      <c r="CG57" s="167">
        <v>20000</v>
      </c>
      <c r="CH57" s="167">
        <v>20000</v>
      </c>
      <c r="CI57" s="167">
        <v>20000</v>
      </c>
      <c r="CJ57" s="167">
        <v>20000</v>
      </c>
      <c r="CK57" s="167">
        <v>20000</v>
      </c>
      <c r="CL57" s="167">
        <v>20000</v>
      </c>
      <c r="CM57" s="167">
        <v>20000</v>
      </c>
      <c r="CN57" s="167">
        <v>20000</v>
      </c>
      <c r="CO57" s="167">
        <v>20000</v>
      </c>
      <c r="CP57" s="167">
        <v>20000</v>
      </c>
      <c r="CQ57" s="167">
        <v>20000</v>
      </c>
      <c r="CR57" s="167">
        <v>20000</v>
      </c>
      <c r="CS57" s="167">
        <v>20000</v>
      </c>
      <c r="CT57" s="167">
        <v>20000</v>
      </c>
      <c r="CU57" s="167">
        <v>18788.264093152262</v>
      </c>
      <c r="CV57" s="167">
        <v>15743.542273754196</v>
      </c>
      <c r="CW57" s="167">
        <v>13731.603055610623</v>
      </c>
      <c r="CX57" s="167">
        <v>12799.927765556569</v>
      </c>
      <c r="CY57" s="167">
        <v>12491.192619238816</v>
      </c>
      <c r="CZ57" s="167">
        <v>13187.377450288332</v>
      </c>
      <c r="DA57" s="167">
        <v>14790.96757810503</v>
      </c>
      <c r="DB57" s="167">
        <v>17141.300567502585</v>
      </c>
      <c r="DC57" s="167">
        <v>19810.486218175138</v>
      </c>
      <c r="DD57" s="167">
        <v>20000</v>
      </c>
      <c r="DE57" s="167">
        <v>20000</v>
      </c>
      <c r="DF57" s="167">
        <v>20000</v>
      </c>
      <c r="DG57" s="167">
        <v>20000</v>
      </c>
      <c r="DH57" s="167">
        <v>20000</v>
      </c>
      <c r="DI57" s="167">
        <v>20000</v>
      </c>
      <c r="DJ57" s="167">
        <v>20000</v>
      </c>
      <c r="DK57" s="167">
        <v>20000</v>
      </c>
      <c r="DL57" s="167">
        <v>20000</v>
      </c>
      <c r="DM57" s="167">
        <v>20000</v>
      </c>
      <c r="DN57" s="167">
        <v>20000</v>
      </c>
      <c r="DO57" s="167">
        <v>20000</v>
      </c>
      <c r="DP57" s="167">
        <v>20000</v>
      </c>
      <c r="DQ57" s="167">
        <v>20000</v>
      </c>
      <c r="DR57" s="167">
        <v>20000</v>
      </c>
      <c r="DS57" s="167">
        <v>20000</v>
      </c>
      <c r="DT57" s="167">
        <v>20000</v>
      </c>
      <c r="DU57" s="167">
        <v>19479.186861820501</v>
      </c>
      <c r="DV57" s="167">
        <v>17609.284891949505</v>
      </c>
      <c r="DW57" s="167">
        <v>16767.081951849566</v>
      </c>
      <c r="DX57" s="167">
        <v>16460.360472005894</v>
      </c>
      <c r="DY57" s="167">
        <v>16887.584709632531</v>
      </c>
      <c r="DZ57" s="167">
        <v>17982.59665764778</v>
      </c>
      <c r="EA57" s="167">
        <v>19646.477349570596</v>
      </c>
      <c r="EB57" s="167">
        <v>20000</v>
      </c>
      <c r="EC57" s="167">
        <v>20000</v>
      </c>
      <c r="ED57" s="167">
        <v>20000</v>
      </c>
      <c r="EE57" s="167">
        <v>20000</v>
      </c>
      <c r="EF57" s="167">
        <v>20000</v>
      </c>
      <c r="EG57" s="167">
        <v>20000</v>
      </c>
      <c r="EH57" s="167">
        <v>20000</v>
      </c>
      <c r="EI57" s="167">
        <v>20000</v>
      </c>
      <c r="EJ57" s="167">
        <v>20000</v>
      </c>
      <c r="EK57" s="167">
        <v>20000</v>
      </c>
      <c r="EL57" s="167">
        <v>20000</v>
      </c>
      <c r="EM57" s="167">
        <v>20000</v>
      </c>
      <c r="EN57" s="167">
        <v>20000</v>
      </c>
      <c r="EO57" s="167">
        <v>20000</v>
      </c>
      <c r="EP57" t="str">
        <f t="shared" si="0"/>
        <v>2y 155d</v>
      </c>
    </row>
    <row r="58" spans="2:154" x14ac:dyDescent="0.25">
      <c r="B58" s="65">
        <v>55</v>
      </c>
      <c r="D58">
        <v>17079400.808259241</v>
      </c>
      <c r="E58" s="12">
        <v>91870946265.543762</v>
      </c>
      <c r="F58" s="12">
        <v>-121133661737.87871</v>
      </c>
      <c r="G58" s="12">
        <v>0</v>
      </c>
      <c r="H58" s="12">
        <v>76027290.866338775</v>
      </c>
      <c r="I58" s="12">
        <v>-468799435151.13318</v>
      </c>
      <c r="J58" s="12">
        <v>124685835004.08525</v>
      </c>
      <c r="K58" s="12">
        <v>6679820957.9188576</v>
      </c>
      <c r="L58" s="12"/>
      <c r="M58" s="12"/>
      <c r="N58" s="12"/>
      <c r="O58" s="12"/>
      <c r="P58" s="12">
        <v>10191430.441200022</v>
      </c>
      <c r="Q58" s="12">
        <v>95902387814.863327</v>
      </c>
      <c r="R58" s="12">
        <v>228111067083.94025</v>
      </c>
      <c r="S58" s="12">
        <v>0</v>
      </c>
      <c r="T58" s="12">
        <v>13456784.032369943</v>
      </c>
      <c r="U58" s="12">
        <v>-109027587138.91803</v>
      </c>
      <c r="V58" s="12">
        <v>354641068942.91766</v>
      </c>
      <c r="W58" s="12">
        <v>-489192352.32373905</v>
      </c>
      <c r="X58" s="12"/>
      <c r="Y58" s="12"/>
      <c r="Z58" s="12"/>
      <c r="AA58" s="12"/>
      <c r="AB58" s="12"/>
      <c r="AC58" s="12"/>
      <c r="AD58" s="12"/>
      <c r="AE58" s="12"/>
      <c r="AG58" s="27">
        <v>0</v>
      </c>
      <c r="AH58" s="27">
        <v>0</v>
      </c>
      <c r="AI58" s="27">
        <v>0</v>
      </c>
      <c r="AS58" s="6">
        <v>77698133.671541288</v>
      </c>
      <c r="AT58" s="167">
        <v>20000</v>
      </c>
      <c r="AU58" s="167">
        <v>20000</v>
      </c>
      <c r="AV58" s="167">
        <v>20000</v>
      </c>
      <c r="AW58" s="167">
        <v>20000</v>
      </c>
      <c r="AX58" s="167">
        <v>20000</v>
      </c>
      <c r="AY58" s="167">
        <v>20000</v>
      </c>
      <c r="AZ58" s="167">
        <v>20000</v>
      </c>
      <c r="BA58" s="167">
        <v>18670.412237996432</v>
      </c>
      <c r="BB58" s="167">
        <v>16601.079224388584</v>
      </c>
      <c r="BC58" s="167">
        <v>15383.319998897936</v>
      </c>
      <c r="BD58" s="167">
        <v>15040.718832809744</v>
      </c>
      <c r="BE58" s="167">
        <v>15507.777918120217</v>
      </c>
      <c r="BF58" s="167">
        <v>16768.905287372658</v>
      </c>
      <c r="BG58" s="167">
        <v>18742.499468804606</v>
      </c>
      <c r="BH58" s="167">
        <v>20000</v>
      </c>
      <c r="BI58" s="167">
        <v>20000</v>
      </c>
      <c r="BJ58" s="167">
        <v>20000</v>
      </c>
      <c r="BK58" s="167">
        <v>20000</v>
      </c>
      <c r="BL58" s="167">
        <v>20000</v>
      </c>
      <c r="BM58" s="167">
        <v>20000</v>
      </c>
      <c r="BN58" s="167">
        <v>20000</v>
      </c>
      <c r="BO58" s="167">
        <v>20000</v>
      </c>
      <c r="BP58" s="167">
        <v>20000</v>
      </c>
      <c r="BQ58" s="167">
        <v>20000</v>
      </c>
      <c r="BR58" s="167">
        <v>20000</v>
      </c>
      <c r="BS58" s="167">
        <v>20000</v>
      </c>
      <c r="BT58" s="167">
        <v>20000</v>
      </c>
      <c r="BU58" s="167">
        <v>20000</v>
      </c>
      <c r="BV58" s="167">
        <v>20000</v>
      </c>
      <c r="BW58" s="167">
        <v>20000</v>
      </c>
      <c r="BX58" s="167">
        <v>18581.160438398001</v>
      </c>
      <c r="BY58" s="167">
        <v>15660.339222316634</v>
      </c>
      <c r="BZ58" s="167">
        <v>13759.198956505817</v>
      </c>
      <c r="CA58" s="167">
        <v>12742.093928812694</v>
      </c>
      <c r="CB58" s="167">
        <v>12533.408080228897</v>
      </c>
      <c r="CC58" s="167">
        <v>13355.406364798579</v>
      </c>
      <c r="CD58" s="167">
        <v>15134.51733475917</v>
      </c>
      <c r="CE58" s="167">
        <v>17726.71522044708</v>
      </c>
      <c r="CF58" s="167">
        <v>20000</v>
      </c>
      <c r="CG58" s="167">
        <v>20000</v>
      </c>
      <c r="CH58" s="167">
        <v>20000</v>
      </c>
      <c r="CI58" s="167">
        <v>20000</v>
      </c>
      <c r="CJ58" s="167">
        <v>20000</v>
      </c>
      <c r="CK58" s="167">
        <v>20000</v>
      </c>
      <c r="CL58" s="167">
        <v>20000</v>
      </c>
      <c r="CM58" s="167">
        <v>20000</v>
      </c>
      <c r="CN58" s="167">
        <v>20000</v>
      </c>
      <c r="CO58" s="167">
        <v>20000</v>
      </c>
      <c r="CP58" s="167">
        <v>20000</v>
      </c>
      <c r="CQ58" s="167">
        <v>20000</v>
      </c>
      <c r="CR58" s="167">
        <v>20000</v>
      </c>
      <c r="CS58" s="167">
        <v>20000</v>
      </c>
      <c r="CT58" s="167">
        <v>20000</v>
      </c>
      <c r="CU58" s="167">
        <v>19381.898224076966</v>
      </c>
      <c r="CV58" s="167">
        <v>16201.223062372579</v>
      </c>
      <c r="CW58" s="167">
        <v>14047.549661852441</v>
      </c>
      <c r="CX58" s="167">
        <v>13040.382599956316</v>
      </c>
      <c r="CY58" s="167">
        <v>12628.004414655066</v>
      </c>
      <c r="CZ58" s="167">
        <v>13222.574698803719</v>
      </c>
      <c r="DA58" s="167">
        <v>14730.629725060116</v>
      </c>
      <c r="DB58" s="167">
        <v>16993.117698728558</v>
      </c>
      <c r="DC58" s="167">
        <v>19662.327451552945</v>
      </c>
      <c r="DD58" s="167">
        <v>20000</v>
      </c>
      <c r="DE58" s="167">
        <v>20000</v>
      </c>
      <c r="DF58" s="167">
        <v>20000</v>
      </c>
      <c r="DG58" s="167">
        <v>20000</v>
      </c>
      <c r="DH58" s="167">
        <v>20000</v>
      </c>
      <c r="DI58" s="167">
        <v>20000</v>
      </c>
      <c r="DJ58" s="167">
        <v>20000</v>
      </c>
      <c r="DK58" s="167">
        <v>20000</v>
      </c>
      <c r="DL58" s="167">
        <v>20000</v>
      </c>
      <c r="DM58" s="167">
        <v>20000</v>
      </c>
      <c r="DN58" s="167">
        <v>20000</v>
      </c>
      <c r="DO58" s="167">
        <v>20000</v>
      </c>
      <c r="DP58" s="167">
        <v>20000</v>
      </c>
      <c r="DQ58" s="167">
        <v>20000</v>
      </c>
      <c r="DR58" s="167">
        <v>20000</v>
      </c>
      <c r="DS58" s="167">
        <v>20000</v>
      </c>
      <c r="DT58" s="167">
        <v>20000</v>
      </c>
      <c r="DU58" s="167">
        <v>20000</v>
      </c>
      <c r="DV58" s="167">
        <v>18301.982215864624</v>
      </c>
      <c r="DW58" s="167">
        <v>17217.758833521191</v>
      </c>
      <c r="DX58" s="167">
        <v>16759.518733397061</v>
      </c>
      <c r="DY58" s="167">
        <v>17002.362730956047</v>
      </c>
      <c r="DZ58" s="167">
        <v>17932.859039296512</v>
      </c>
      <c r="EA58" s="167">
        <v>19455.234167329145</v>
      </c>
      <c r="EB58" s="167">
        <v>20000</v>
      </c>
      <c r="EC58" s="167">
        <v>20000</v>
      </c>
      <c r="ED58" s="167">
        <v>20000</v>
      </c>
      <c r="EE58" s="167">
        <v>20000</v>
      </c>
      <c r="EF58" s="167">
        <v>20000</v>
      </c>
      <c r="EG58" s="167">
        <v>20000</v>
      </c>
      <c r="EH58" s="167">
        <v>20000</v>
      </c>
      <c r="EI58" s="167">
        <v>20000</v>
      </c>
      <c r="EJ58" s="167">
        <v>20000</v>
      </c>
      <c r="EK58" s="167">
        <v>20000</v>
      </c>
      <c r="EL58" s="167">
        <v>20000</v>
      </c>
      <c r="EM58" s="167">
        <v>20000</v>
      </c>
      <c r="EN58" s="167">
        <v>20000</v>
      </c>
      <c r="EO58" s="167">
        <v>20000</v>
      </c>
      <c r="EP58" t="str">
        <f t="shared" si="0"/>
        <v>2y 169d</v>
      </c>
    </row>
    <row r="59" spans="2:154" x14ac:dyDescent="0.25">
      <c r="B59" s="65">
        <v>56</v>
      </c>
      <c r="D59">
        <v>17405370.369610045</v>
      </c>
      <c r="E59" s="13">
        <v>99268701880.715561</v>
      </c>
      <c r="F59" s="13">
        <v>-115094698996.15649</v>
      </c>
      <c r="G59" s="13">
        <v>0</v>
      </c>
      <c r="H59" s="13">
        <v>77999553.728200182</v>
      </c>
      <c r="I59" s="13">
        <v>-478159016754.73004</v>
      </c>
      <c r="J59" s="12">
        <v>95532184166.082321</v>
      </c>
      <c r="K59" s="12">
        <v>8300141221.0059662</v>
      </c>
      <c r="L59" s="12"/>
      <c r="M59" s="12"/>
      <c r="N59" s="12"/>
      <c r="O59" s="12"/>
      <c r="P59" s="12">
        <v>10539799.588238619</v>
      </c>
      <c r="Q59" s="12">
        <v>90345898269.099396</v>
      </c>
      <c r="R59" s="12">
        <v>234922374712.07281</v>
      </c>
      <c r="S59" s="12">
        <v>0</v>
      </c>
      <c r="T59" s="12">
        <v>13852329.02135135</v>
      </c>
      <c r="U59" s="12">
        <v>-115581896608.89734</v>
      </c>
      <c r="V59" s="12">
        <v>355956155782.77057</v>
      </c>
      <c r="W59" s="12">
        <v>-500222454.20254028</v>
      </c>
      <c r="X59" s="12"/>
      <c r="Y59" s="12"/>
      <c r="Z59" s="12"/>
      <c r="AA59" s="12"/>
      <c r="AB59" s="12"/>
      <c r="AC59" s="12"/>
      <c r="AD59" s="12"/>
      <c r="AE59" s="12"/>
      <c r="AS59" s="6">
        <v>78885796.213584155</v>
      </c>
      <c r="AT59" s="167">
        <v>20000</v>
      </c>
      <c r="AU59" s="167">
        <v>20000</v>
      </c>
      <c r="AV59" s="167">
        <v>20000</v>
      </c>
      <c r="AW59" s="167">
        <v>20000</v>
      </c>
      <c r="AX59" s="167">
        <v>20000</v>
      </c>
      <c r="AY59" s="167">
        <v>20000</v>
      </c>
      <c r="AZ59" s="167">
        <v>20000</v>
      </c>
      <c r="BA59" s="167">
        <v>19097.101593471132</v>
      </c>
      <c r="BB59" s="167">
        <v>16867.886577827543</v>
      </c>
      <c r="BC59" s="167">
        <v>15490.806680200276</v>
      </c>
      <c r="BD59" s="167">
        <v>14986.486027701689</v>
      </c>
      <c r="BE59" s="167">
        <v>15356.382361334492</v>
      </c>
      <c r="BF59" s="167">
        <v>16513.486563493454</v>
      </c>
      <c r="BG59" s="167">
        <v>18451.981773047817</v>
      </c>
      <c r="BH59" s="167">
        <v>20000</v>
      </c>
      <c r="BI59" s="167">
        <v>20000</v>
      </c>
      <c r="BJ59" s="167">
        <v>20000</v>
      </c>
      <c r="BK59" s="167">
        <v>20000</v>
      </c>
      <c r="BL59" s="167">
        <v>20000</v>
      </c>
      <c r="BM59" s="167">
        <v>20000</v>
      </c>
      <c r="BN59" s="167">
        <v>20000</v>
      </c>
      <c r="BO59" s="167">
        <v>20000</v>
      </c>
      <c r="BP59" s="167">
        <v>20000</v>
      </c>
      <c r="BQ59" s="167">
        <v>20000</v>
      </c>
      <c r="BR59" s="167">
        <v>20000</v>
      </c>
      <c r="BS59" s="167">
        <v>20000</v>
      </c>
      <c r="BT59" s="167">
        <v>20000</v>
      </c>
      <c r="BU59" s="167">
        <v>20000</v>
      </c>
      <c r="BV59" s="167">
        <v>20000</v>
      </c>
      <c r="BW59" s="167">
        <v>20000</v>
      </c>
      <c r="BX59" s="167">
        <v>19012.32032723766</v>
      </c>
      <c r="BY59" s="167">
        <v>15985.764697321005</v>
      </c>
      <c r="BZ59" s="167">
        <v>13974.674615923062</v>
      </c>
      <c r="CA59" s="167">
        <v>12894.598036726406</v>
      </c>
      <c r="CB59" s="167">
        <v>12596.248439786925</v>
      </c>
      <c r="CC59" s="167">
        <v>13333.698796252402</v>
      </c>
      <c r="CD59" s="167">
        <v>15037.764072711285</v>
      </c>
      <c r="CE59" s="167">
        <v>17565.249544070739</v>
      </c>
      <c r="CF59" s="167">
        <v>20000</v>
      </c>
      <c r="CG59" s="167">
        <v>20000</v>
      </c>
      <c r="CH59" s="167">
        <v>20000</v>
      </c>
      <c r="CI59" s="167">
        <v>20000</v>
      </c>
      <c r="CJ59" s="167">
        <v>20000</v>
      </c>
      <c r="CK59" s="167">
        <v>20000</v>
      </c>
      <c r="CL59" s="167">
        <v>20000</v>
      </c>
      <c r="CM59" s="167">
        <v>20000</v>
      </c>
      <c r="CN59" s="167">
        <v>20000</v>
      </c>
      <c r="CO59" s="167">
        <v>20000</v>
      </c>
      <c r="CP59" s="167">
        <v>20000</v>
      </c>
      <c r="CQ59" s="167">
        <v>20000</v>
      </c>
      <c r="CR59" s="167">
        <v>20000</v>
      </c>
      <c r="CS59" s="167">
        <v>20000</v>
      </c>
      <c r="CT59" s="167">
        <v>20000</v>
      </c>
      <c r="CU59" s="167">
        <v>20000</v>
      </c>
      <c r="CV59" s="167">
        <v>16690.940035856143</v>
      </c>
      <c r="CW59" s="167">
        <v>14394.554118732609</v>
      </c>
      <c r="CX59" s="167">
        <v>13223.199570128123</v>
      </c>
      <c r="CY59" s="167">
        <v>12779.400857190063</v>
      </c>
      <c r="CZ59" s="167">
        <v>13268.384758809831</v>
      </c>
      <c r="DA59" s="167">
        <v>14677.407435862275</v>
      </c>
      <c r="DB59" s="167">
        <v>16849.394316777252</v>
      </c>
      <c r="DC59" s="167">
        <v>19527.258683786888</v>
      </c>
      <c r="DD59" s="167">
        <v>20000</v>
      </c>
      <c r="DE59" s="167">
        <v>20000</v>
      </c>
      <c r="DF59" s="167">
        <v>20000</v>
      </c>
      <c r="DG59" s="167">
        <v>20000</v>
      </c>
      <c r="DH59" s="167">
        <v>20000</v>
      </c>
      <c r="DI59" s="167">
        <v>20000</v>
      </c>
      <c r="DJ59" s="167">
        <v>20000</v>
      </c>
      <c r="DK59" s="167">
        <v>20000</v>
      </c>
      <c r="DL59" s="167">
        <v>20000</v>
      </c>
      <c r="DM59" s="167">
        <v>20000</v>
      </c>
      <c r="DN59" s="167">
        <v>20000</v>
      </c>
      <c r="DO59" s="167">
        <v>20000</v>
      </c>
      <c r="DP59" s="167">
        <v>20000</v>
      </c>
      <c r="DQ59" s="167">
        <v>20000</v>
      </c>
      <c r="DR59" s="167">
        <v>20000</v>
      </c>
      <c r="DS59" s="167">
        <v>20000</v>
      </c>
      <c r="DT59" s="167">
        <v>20000</v>
      </c>
      <c r="DU59" s="167">
        <v>20000</v>
      </c>
      <c r="DV59" s="167">
        <v>19048.257830073602</v>
      </c>
      <c r="DW59" s="167">
        <v>17712.457066308045</v>
      </c>
      <c r="DX59" s="167">
        <v>17099.86137477931</v>
      </c>
      <c r="DY59" s="167">
        <v>17150.91529369399</v>
      </c>
      <c r="DZ59" s="167">
        <v>17909.58639909116</v>
      </c>
      <c r="EA59" s="167">
        <v>19284.099039316476</v>
      </c>
      <c r="EB59" s="167">
        <v>20000</v>
      </c>
      <c r="EC59" s="167">
        <v>20000</v>
      </c>
      <c r="ED59" s="167">
        <v>20000</v>
      </c>
      <c r="EE59" s="167">
        <v>20000</v>
      </c>
      <c r="EF59" s="167">
        <v>20000</v>
      </c>
      <c r="EG59" s="167">
        <v>20000</v>
      </c>
      <c r="EH59" s="167">
        <v>20000</v>
      </c>
      <c r="EI59" s="167">
        <v>20000</v>
      </c>
      <c r="EJ59" s="167">
        <v>20000</v>
      </c>
      <c r="EK59" s="167">
        <v>20000</v>
      </c>
      <c r="EL59" s="167">
        <v>20000</v>
      </c>
      <c r="EM59" s="167">
        <v>20000</v>
      </c>
      <c r="EN59" s="167">
        <v>20000</v>
      </c>
      <c r="EO59" s="167">
        <v>20000</v>
      </c>
      <c r="EP59" t="str">
        <f t="shared" si="0"/>
        <v>2y 183d</v>
      </c>
    </row>
    <row r="60" spans="2:154" x14ac:dyDescent="0.25">
      <c r="B60" s="65">
        <v>57</v>
      </c>
      <c r="D60">
        <v>17731141.698007587</v>
      </c>
      <c r="E60" s="12">
        <v>106263949587.78192</v>
      </c>
      <c r="F60" s="12">
        <v>-108597943754.79123</v>
      </c>
      <c r="G60" s="12">
        <v>0</v>
      </c>
      <c r="H60" s="12">
        <v>79991458.675691083</v>
      </c>
      <c r="I60" s="12">
        <v>-485453260804.98175</v>
      </c>
      <c r="J60" s="12">
        <v>65657043176.377068</v>
      </c>
      <c r="K60" s="12">
        <v>9899123760.1005249</v>
      </c>
      <c r="L60" s="12"/>
      <c r="M60" s="12"/>
      <c r="N60" s="12"/>
      <c r="O60" s="12"/>
      <c r="P60" s="12">
        <v>10900297.312487934</v>
      </c>
      <c r="Q60" s="12">
        <v>84499974902.328735</v>
      </c>
      <c r="R60" s="12">
        <v>241721174372.62292</v>
      </c>
      <c r="S60" s="12">
        <v>0</v>
      </c>
      <c r="T60" s="12">
        <v>14254756.686829997</v>
      </c>
      <c r="U60" s="12">
        <v>-122203290690.72212</v>
      </c>
      <c r="V60" s="12">
        <v>357149503723.86725</v>
      </c>
      <c r="W60" s="12">
        <v>-511241243.58315569</v>
      </c>
      <c r="X60" s="12"/>
      <c r="Y60" s="12"/>
      <c r="Z60" s="12"/>
      <c r="AA60" s="12"/>
      <c r="AB60" s="12"/>
      <c r="AC60" s="12"/>
      <c r="AD60" s="12"/>
      <c r="AE60" s="12"/>
      <c r="AS60" s="6">
        <v>80073458.755627021</v>
      </c>
      <c r="AT60" s="167">
        <v>20000</v>
      </c>
      <c r="AU60" s="167">
        <v>20000</v>
      </c>
      <c r="AV60" s="167">
        <v>20000</v>
      </c>
      <c r="AW60" s="167">
        <v>20000</v>
      </c>
      <c r="AX60" s="167">
        <v>20000</v>
      </c>
      <c r="AY60" s="167">
        <v>20000</v>
      </c>
      <c r="AZ60" s="167">
        <v>20000</v>
      </c>
      <c r="BA60" s="167">
        <v>19542.790312161946</v>
      </c>
      <c r="BB60" s="167">
        <v>17156.862424252202</v>
      </c>
      <c r="BC60" s="167">
        <v>15626.968498182818</v>
      </c>
      <c r="BD60" s="167">
        <v>14973.291303570433</v>
      </c>
      <c r="BE60" s="167">
        <v>15203.567978496198</v>
      </c>
      <c r="BF60" s="167">
        <v>16298.268242628066</v>
      </c>
      <c r="BG60" s="167">
        <v>18204.200622300206</v>
      </c>
      <c r="BH60" s="167">
        <v>20000</v>
      </c>
      <c r="BI60" s="167">
        <v>20000</v>
      </c>
      <c r="BJ60" s="167">
        <v>20000</v>
      </c>
      <c r="BK60" s="167">
        <v>20000</v>
      </c>
      <c r="BL60" s="167">
        <v>20000</v>
      </c>
      <c r="BM60" s="167">
        <v>20000</v>
      </c>
      <c r="BN60" s="167">
        <v>20000</v>
      </c>
      <c r="BO60" s="167">
        <v>20000</v>
      </c>
      <c r="BP60" s="167">
        <v>20000</v>
      </c>
      <c r="BQ60" s="167">
        <v>20000</v>
      </c>
      <c r="BR60" s="167">
        <v>20000</v>
      </c>
      <c r="BS60" s="167">
        <v>20000</v>
      </c>
      <c r="BT60" s="167">
        <v>20000</v>
      </c>
      <c r="BU60" s="167">
        <v>20000</v>
      </c>
      <c r="BV60" s="167">
        <v>20000</v>
      </c>
      <c r="BW60" s="167">
        <v>20000</v>
      </c>
      <c r="BX60" s="167">
        <v>19457.621741182185</v>
      </c>
      <c r="BY60" s="167">
        <v>16323.158914739231</v>
      </c>
      <c r="BZ60" s="167">
        <v>14201.329819631919</v>
      </c>
      <c r="CA60" s="167">
        <v>13057.052865442751</v>
      </c>
      <c r="CB60" s="167">
        <v>12667.756085983467</v>
      </c>
      <c r="CC60" s="167">
        <v>13319.22529383427</v>
      </c>
      <c r="CD60" s="167">
        <v>14946.901451547054</v>
      </c>
      <c r="CE60" s="167">
        <v>17408.685453592374</v>
      </c>
      <c r="CF60" s="167">
        <v>20000</v>
      </c>
      <c r="CG60" s="167">
        <v>20000</v>
      </c>
      <c r="CH60" s="167">
        <v>20000</v>
      </c>
      <c r="CI60" s="167">
        <v>20000</v>
      </c>
      <c r="CJ60" s="167">
        <v>20000</v>
      </c>
      <c r="CK60" s="167">
        <v>20000</v>
      </c>
      <c r="CL60" s="167">
        <v>20000</v>
      </c>
      <c r="CM60" s="167">
        <v>20000</v>
      </c>
      <c r="CN60" s="167">
        <v>20000</v>
      </c>
      <c r="CO60" s="167">
        <v>20000</v>
      </c>
      <c r="CP60" s="167">
        <v>20000</v>
      </c>
      <c r="CQ60" s="167">
        <v>20000</v>
      </c>
      <c r="CR60" s="167">
        <v>20000</v>
      </c>
      <c r="CS60" s="167">
        <v>20000</v>
      </c>
      <c r="CT60" s="167">
        <v>20000</v>
      </c>
      <c r="CU60" s="167">
        <v>20000</v>
      </c>
      <c r="CV60" s="167">
        <v>17214.698579517772</v>
      </c>
      <c r="CW60" s="167">
        <v>14773.802523939852</v>
      </c>
      <c r="CX60" s="167">
        <v>13432.600184035513</v>
      </c>
      <c r="CY60" s="167">
        <v>12946.791734837072</v>
      </c>
      <c r="CZ60" s="167">
        <v>13326.021844568771</v>
      </c>
      <c r="DA60" s="167">
        <v>14632.256915036231</v>
      </c>
      <c r="DB60" s="167">
        <v>16710.81613607988</v>
      </c>
      <c r="DC60" s="167">
        <v>19390.85676844437</v>
      </c>
      <c r="DD60" s="167">
        <v>20000</v>
      </c>
      <c r="DE60" s="167">
        <v>20000</v>
      </c>
      <c r="DF60" s="167">
        <v>20000</v>
      </c>
      <c r="DG60" s="167">
        <v>20000</v>
      </c>
      <c r="DH60" s="167">
        <v>20000</v>
      </c>
      <c r="DI60" s="167">
        <v>20000</v>
      </c>
      <c r="DJ60" s="167">
        <v>20000</v>
      </c>
      <c r="DK60" s="167">
        <v>20000</v>
      </c>
      <c r="DL60" s="167">
        <v>20000</v>
      </c>
      <c r="DM60" s="167">
        <v>20000</v>
      </c>
      <c r="DN60" s="167">
        <v>20000</v>
      </c>
      <c r="DO60" s="167">
        <v>20000</v>
      </c>
      <c r="DP60" s="167">
        <v>20000</v>
      </c>
      <c r="DQ60" s="167">
        <v>20000</v>
      </c>
      <c r="DR60" s="167">
        <v>20000</v>
      </c>
      <c r="DS60" s="167">
        <v>20000</v>
      </c>
      <c r="DT60" s="167">
        <v>20000</v>
      </c>
      <c r="DU60" s="167">
        <v>20000</v>
      </c>
      <c r="DV60" s="167">
        <v>19851.081539785868</v>
      </c>
      <c r="DW60" s="167">
        <v>18255.229302795797</v>
      </c>
      <c r="DX60" s="167">
        <v>17483.67075678664</v>
      </c>
      <c r="DY60" s="167">
        <v>17335.6396048391</v>
      </c>
      <c r="DZ60" s="167">
        <v>17915.088525961048</v>
      </c>
      <c r="EA60" s="167">
        <v>19135.049308737292</v>
      </c>
      <c r="EB60" s="167">
        <v>20000</v>
      </c>
      <c r="EC60" s="167">
        <v>20000</v>
      </c>
      <c r="ED60" s="167">
        <v>20000</v>
      </c>
      <c r="EE60" s="167">
        <v>20000</v>
      </c>
      <c r="EF60" s="167">
        <v>20000</v>
      </c>
      <c r="EG60" s="167">
        <v>20000</v>
      </c>
      <c r="EH60" s="167">
        <v>20000</v>
      </c>
      <c r="EI60" s="167">
        <v>20000</v>
      </c>
      <c r="EJ60" s="167">
        <v>20000</v>
      </c>
      <c r="EK60" s="167">
        <v>20000</v>
      </c>
      <c r="EL60" s="167">
        <v>20000</v>
      </c>
      <c r="EM60" s="167">
        <v>20000</v>
      </c>
      <c r="EN60" s="167">
        <v>20000</v>
      </c>
      <c r="EO60" s="167">
        <v>20000</v>
      </c>
      <c r="EP60" t="str">
        <f t="shared" si="0"/>
        <v>2y 196d</v>
      </c>
    </row>
    <row r="61" spans="2:154" x14ac:dyDescent="0.25">
      <c r="B61" s="65">
        <v>58</v>
      </c>
      <c r="D61">
        <v>18056673.592278257</v>
      </c>
      <c r="E61" s="12">
        <v>112828170058.98318</v>
      </c>
      <c r="F61" s="12">
        <v>-101670720016.63437</v>
      </c>
      <c r="G61" s="12">
        <v>0</v>
      </c>
      <c r="H61" s="12">
        <v>82001049.101797312</v>
      </c>
      <c r="I61" s="12">
        <v>-490611699428.36865</v>
      </c>
      <c r="J61" s="12">
        <v>35219129465.541168</v>
      </c>
      <c r="K61" s="12">
        <v>11467425367.953121</v>
      </c>
      <c r="L61" s="12"/>
      <c r="M61" s="12"/>
      <c r="N61" s="12"/>
      <c r="O61" s="12"/>
      <c r="P61" s="12">
        <v>11273490.540301582</v>
      </c>
      <c r="Q61" s="12">
        <v>78356832455.224487</v>
      </c>
      <c r="R61" s="12">
        <v>248498026339.12085</v>
      </c>
      <c r="S61" s="12">
        <v>0</v>
      </c>
      <c r="T61" s="12">
        <v>14664117.895552503</v>
      </c>
      <c r="U61" s="12">
        <v>-128888689169.03767</v>
      </c>
      <c r="V61" s="12">
        <v>358217067057.54919</v>
      </c>
      <c r="W61" s="12">
        <v>-522240387.82172859</v>
      </c>
      <c r="X61" s="12"/>
      <c r="Y61" s="12"/>
      <c r="Z61" s="12"/>
      <c r="AA61" s="12"/>
      <c r="AB61" s="12"/>
      <c r="AC61" s="12"/>
      <c r="AD61" s="12"/>
      <c r="AE61" s="12"/>
      <c r="AS61" s="6">
        <v>81261121.297669888</v>
      </c>
      <c r="AT61" s="167">
        <v>20000</v>
      </c>
      <c r="AU61" s="167">
        <v>20000</v>
      </c>
      <c r="AV61" s="167">
        <v>20000</v>
      </c>
      <c r="AW61" s="167">
        <v>20000</v>
      </c>
      <c r="AX61" s="167">
        <v>20000</v>
      </c>
      <c r="AY61" s="167">
        <v>20000</v>
      </c>
      <c r="AZ61" s="167">
        <v>20000</v>
      </c>
      <c r="BA61" s="167">
        <v>20000</v>
      </c>
      <c r="BB61" s="167">
        <v>17466.224719163034</v>
      </c>
      <c r="BC61" s="167">
        <v>15788.321128856773</v>
      </c>
      <c r="BD61" s="167">
        <v>14993.464339068494</v>
      </c>
      <c r="BE61" s="167">
        <v>15100.915694474872</v>
      </c>
      <c r="BF61" s="167">
        <v>16144.55061409659</v>
      </c>
      <c r="BG61" s="167">
        <v>17973.246758009685</v>
      </c>
      <c r="BH61" s="167">
        <v>20000</v>
      </c>
      <c r="BI61" s="167">
        <v>20000</v>
      </c>
      <c r="BJ61" s="167">
        <v>20000</v>
      </c>
      <c r="BK61" s="167">
        <v>20000</v>
      </c>
      <c r="BL61" s="167">
        <v>20000</v>
      </c>
      <c r="BM61" s="167">
        <v>20000</v>
      </c>
      <c r="BN61" s="167">
        <v>20000</v>
      </c>
      <c r="BO61" s="167">
        <v>20000</v>
      </c>
      <c r="BP61" s="167">
        <v>20000</v>
      </c>
      <c r="BQ61" s="167">
        <v>20000</v>
      </c>
      <c r="BR61" s="167">
        <v>20000</v>
      </c>
      <c r="BS61" s="167">
        <v>20000</v>
      </c>
      <c r="BT61" s="167">
        <v>20000</v>
      </c>
      <c r="BU61" s="167">
        <v>20000</v>
      </c>
      <c r="BV61" s="167">
        <v>20000</v>
      </c>
      <c r="BW61" s="167">
        <v>20000</v>
      </c>
      <c r="BX61" s="167">
        <v>19917.782087490512</v>
      </c>
      <c r="BY61" s="167">
        <v>16673.13475885021</v>
      </c>
      <c r="BZ61" s="167">
        <v>14439.662578767675</v>
      </c>
      <c r="CA61" s="167">
        <v>13229.901500792901</v>
      </c>
      <c r="CB61" s="167">
        <v>12748.325329401219</v>
      </c>
      <c r="CC61" s="167">
        <v>13312.314980302159</v>
      </c>
      <c r="CD61" s="167">
        <v>14862.162203730919</v>
      </c>
      <c r="CE61" s="167">
        <v>17257.152624378163</v>
      </c>
      <c r="CF61" s="167">
        <v>20000</v>
      </c>
      <c r="CG61" s="167">
        <v>20000</v>
      </c>
      <c r="CH61" s="167">
        <v>20000</v>
      </c>
      <c r="CI61" s="167">
        <v>20000</v>
      </c>
      <c r="CJ61" s="167">
        <v>20000</v>
      </c>
      <c r="CK61" s="167">
        <v>20000</v>
      </c>
      <c r="CL61" s="167">
        <v>20000</v>
      </c>
      <c r="CM61" s="167">
        <v>20000</v>
      </c>
      <c r="CN61" s="167">
        <v>20000</v>
      </c>
      <c r="CO61" s="167">
        <v>20000</v>
      </c>
      <c r="CP61" s="167">
        <v>20000</v>
      </c>
      <c r="CQ61" s="167">
        <v>20000</v>
      </c>
      <c r="CR61" s="167">
        <v>20000</v>
      </c>
      <c r="CS61" s="167">
        <v>20000</v>
      </c>
      <c r="CT61" s="167">
        <v>20000</v>
      </c>
      <c r="CU61" s="167">
        <v>20000</v>
      </c>
      <c r="CV61" s="167">
        <v>17774.751802015926</v>
      </c>
      <c r="CW61" s="167">
        <v>15186.717620303023</v>
      </c>
      <c r="CX61" s="167">
        <v>13679.174305866512</v>
      </c>
      <c r="CY61" s="167">
        <v>13131.722374509493</v>
      </c>
      <c r="CZ61" s="167">
        <v>13396.824615509051</v>
      </c>
      <c r="DA61" s="167">
        <v>14596.243647316776</v>
      </c>
      <c r="DB61" s="167">
        <v>16578.154251243435</v>
      </c>
      <c r="DC61" s="167">
        <v>19170.921579179885</v>
      </c>
      <c r="DD61" s="167">
        <v>20000</v>
      </c>
      <c r="DE61" s="167">
        <v>20000</v>
      </c>
      <c r="DF61" s="167">
        <v>20000</v>
      </c>
      <c r="DG61" s="167">
        <v>20000</v>
      </c>
      <c r="DH61" s="167">
        <v>20000</v>
      </c>
      <c r="DI61" s="167">
        <v>20000</v>
      </c>
      <c r="DJ61" s="167">
        <v>20000</v>
      </c>
      <c r="DK61" s="167">
        <v>20000</v>
      </c>
      <c r="DL61" s="167">
        <v>20000</v>
      </c>
      <c r="DM61" s="167">
        <v>20000</v>
      </c>
      <c r="DN61" s="167">
        <v>20000</v>
      </c>
      <c r="DO61" s="167">
        <v>20000</v>
      </c>
      <c r="DP61" s="167">
        <v>20000</v>
      </c>
      <c r="DQ61" s="167">
        <v>20000</v>
      </c>
      <c r="DR61" s="167">
        <v>20000</v>
      </c>
      <c r="DS61" s="167">
        <v>20000</v>
      </c>
      <c r="DT61" s="167">
        <v>20000</v>
      </c>
      <c r="DU61" s="167">
        <v>20000</v>
      </c>
      <c r="DV61" s="167">
        <v>20000</v>
      </c>
      <c r="DW61" s="167">
        <v>18849.392666562271</v>
      </c>
      <c r="DX61" s="167">
        <v>17912.98487382794</v>
      </c>
      <c r="DY61" s="167">
        <v>17558.758279107478</v>
      </c>
      <c r="DZ61" s="167">
        <v>17951.610915785197</v>
      </c>
      <c r="EA61" s="167">
        <v>19010.07823572035</v>
      </c>
      <c r="EB61" s="167">
        <v>20000</v>
      </c>
      <c r="EC61" s="167">
        <v>20000</v>
      </c>
      <c r="ED61" s="167">
        <v>20000</v>
      </c>
      <c r="EE61" s="167">
        <v>20000</v>
      </c>
      <c r="EF61" s="167">
        <v>20000</v>
      </c>
      <c r="EG61" s="167">
        <v>20000</v>
      </c>
      <c r="EH61" s="167">
        <v>20000</v>
      </c>
      <c r="EI61" s="167">
        <v>20000</v>
      </c>
      <c r="EJ61" s="167">
        <v>20000</v>
      </c>
      <c r="EK61" s="167">
        <v>20000</v>
      </c>
      <c r="EL61" s="167">
        <v>20000</v>
      </c>
      <c r="EM61" s="167">
        <v>20000</v>
      </c>
      <c r="EN61" s="167">
        <v>20000</v>
      </c>
      <c r="EO61" s="167">
        <v>20000</v>
      </c>
      <c r="EP61" t="str">
        <f t="shared" si="0"/>
        <v>2y 210d</v>
      </c>
    </row>
    <row r="62" spans="2:154" x14ac:dyDescent="0.25">
      <c r="B62" s="65">
        <v>59</v>
      </c>
      <c r="D62">
        <v>18381925.930974074</v>
      </c>
      <c r="E62" s="12">
        <v>118934767357.09688</v>
      </c>
      <c r="F62" s="12">
        <v>-94342151798.223053</v>
      </c>
      <c r="G62" s="12">
        <v>0</v>
      </c>
      <c r="H62" s="12">
        <v>84026212.695846409</v>
      </c>
      <c r="I62" s="12">
        <v>-493578211208.68073</v>
      </c>
      <c r="J62" s="12">
        <v>4385210372.6345282</v>
      </c>
      <c r="K62" s="12">
        <v>12995708284.525499</v>
      </c>
      <c r="L62" s="12"/>
      <c r="M62" s="12"/>
      <c r="N62" s="12"/>
      <c r="O62" s="12"/>
      <c r="P62" s="12">
        <v>11659966.993248722</v>
      </c>
      <c r="Q62" s="12">
        <v>71908830617.81012</v>
      </c>
      <c r="R62" s="12">
        <v>255242620005.3479</v>
      </c>
      <c r="S62" s="12">
        <v>0</v>
      </c>
      <c r="T62" s="12">
        <v>15080457.916123053</v>
      </c>
      <c r="U62" s="12">
        <v>-135634797912.47374</v>
      </c>
      <c r="V62" s="12">
        <v>359154808691.87946</v>
      </c>
      <c r="W62" s="12">
        <v>-533211241.6278035</v>
      </c>
      <c r="X62" s="12"/>
      <c r="Y62" s="12"/>
      <c r="Z62" s="12"/>
      <c r="AA62" s="12"/>
      <c r="AB62" s="12"/>
      <c r="AC62" s="12"/>
      <c r="AD62" s="12"/>
      <c r="AE62" s="12"/>
      <c r="AS62" s="6">
        <v>82448783.839712754</v>
      </c>
      <c r="AT62" s="167">
        <v>20000</v>
      </c>
      <c r="AU62" s="167">
        <v>20000</v>
      </c>
      <c r="AV62" s="167">
        <v>20000</v>
      </c>
      <c r="AW62" s="167">
        <v>20000</v>
      </c>
      <c r="AX62" s="167">
        <v>20000</v>
      </c>
      <c r="AY62" s="167">
        <v>20000</v>
      </c>
      <c r="AZ62" s="167">
        <v>20000</v>
      </c>
      <c r="BA62" s="167">
        <v>20000</v>
      </c>
      <c r="BB62" s="167">
        <v>17794.572797753815</v>
      </c>
      <c r="BC62" s="167">
        <v>15972.156615121001</v>
      </c>
      <c r="BD62" s="167">
        <v>15041.510577269126</v>
      </c>
      <c r="BE62" s="167">
        <v>15035.863988692396</v>
      </c>
      <c r="BF62" s="167">
        <v>16003.462689194108</v>
      </c>
      <c r="BG62" s="167">
        <v>17742.147684485935</v>
      </c>
      <c r="BH62" s="167">
        <v>20000</v>
      </c>
      <c r="BI62" s="167">
        <v>20000</v>
      </c>
      <c r="BJ62" s="167">
        <v>20000</v>
      </c>
      <c r="BK62" s="167">
        <v>20000</v>
      </c>
      <c r="BL62" s="167">
        <v>20000</v>
      </c>
      <c r="BM62" s="167">
        <v>20000</v>
      </c>
      <c r="BN62" s="167">
        <v>20000</v>
      </c>
      <c r="BO62" s="167">
        <v>20000</v>
      </c>
      <c r="BP62" s="167">
        <v>20000</v>
      </c>
      <c r="BQ62" s="167">
        <v>20000</v>
      </c>
      <c r="BR62" s="167">
        <v>20000</v>
      </c>
      <c r="BS62" s="167">
        <v>20000</v>
      </c>
      <c r="BT62" s="167">
        <v>20000</v>
      </c>
      <c r="BU62" s="167">
        <v>20000</v>
      </c>
      <c r="BV62" s="167">
        <v>20000</v>
      </c>
      <c r="BW62" s="167">
        <v>20000</v>
      </c>
      <c r="BX62" s="167">
        <v>20000</v>
      </c>
      <c r="BY62" s="167">
        <v>17036.341452679262</v>
      </c>
      <c r="BZ62" s="167">
        <v>14690.196105852647</v>
      </c>
      <c r="CA62" s="167">
        <v>13413.613625395466</v>
      </c>
      <c r="CB62" s="167">
        <v>12838.373609322338</v>
      </c>
      <c r="CC62" s="167">
        <v>13313.319549473967</v>
      </c>
      <c r="CD62" s="167">
        <v>14783.799823800764</v>
      </c>
      <c r="CE62" s="167">
        <v>17110.797828921608</v>
      </c>
      <c r="CF62" s="167">
        <v>20000</v>
      </c>
      <c r="CG62" s="167">
        <v>20000</v>
      </c>
      <c r="CH62" s="167">
        <v>20000</v>
      </c>
      <c r="CI62" s="167">
        <v>20000</v>
      </c>
      <c r="CJ62" s="167">
        <v>20000</v>
      </c>
      <c r="CK62" s="167">
        <v>20000</v>
      </c>
      <c r="CL62" s="167">
        <v>20000</v>
      </c>
      <c r="CM62" s="167">
        <v>20000</v>
      </c>
      <c r="CN62" s="167">
        <v>20000</v>
      </c>
      <c r="CO62" s="167">
        <v>20000</v>
      </c>
      <c r="CP62" s="167">
        <v>20000</v>
      </c>
      <c r="CQ62" s="167">
        <v>20000</v>
      </c>
      <c r="CR62" s="167">
        <v>20000</v>
      </c>
      <c r="CS62" s="167">
        <v>20000</v>
      </c>
      <c r="CT62" s="167">
        <v>20000</v>
      </c>
      <c r="CU62" s="167">
        <v>20000</v>
      </c>
      <c r="CV62" s="167">
        <v>18373.618051040939</v>
      </c>
      <c r="CW62" s="167">
        <v>15634.967266256055</v>
      </c>
      <c r="CX62" s="167">
        <v>13963.391639646055</v>
      </c>
      <c r="CY62" s="167">
        <v>13335.881960684246</v>
      </c>
      <c r="CZ62" s="167">
        <v>13482.264660224053</v>
      </c>
      <c r="DA62" s="167">
        <v>14570.553088613002</v>
      </c>
      <c r="DB62" s="167">
        <v>16452.277307186094</v>
      </c>
      <c r="DC62" s="167">
        <v>18955.24685597009</v>
      </c>
      <c r="DD62" s="167">
        <v>20000</v>
      </c>
      <c r="DE62" s="167">
        <v>20000</v>
      </c>
      <c r="DF62" s="167">
        <v>20000</v>
      </c>
      <c r="DG62" s="167">
        <v>20000</v>
      </c>
      <c r="DH62" s="167">
        <v>20000</v>
      </c>
      <c r="DI62" s="167">
        <v>20000</v>
      </c>
      <c r="DJ62" s="167">
        <v>20000</v>
      </c>
      <c r="DK62" s="167">
        <v>20000</v>
      </c>
      <c r="DL62" s="167">
        <v>20000</v>
      </c>
      <c r="DM62" s="167">
        <v>20000</v>
      </c>
      <c r="DN62" s="167">
        <v>20000</v>
      </c>
      <c r="DO62" s="167">
        <v>20000</v>
      </c>
      <c r="DP62" s="167">
        <v>20000</v>
      </c>
      <c r="DQ62" s="167">
        <v>20000</v>
      </c>
      <c r="DR62" s="167">
        <v>20000</v>
      </c>
      <c r="DS62" s="167">
        <v>20000</v>
      </c>
      <c r="DT62" s="167">
        <v>20000</v>
      </c>
      <c r="DU62" s="167">
        <v>20000</v>
      </c>
      <c r="DV62" s="167">
        <v>20000</v>
      </c>
      <c r="DW62" s="167">
        <v>19497.498209157831</v>
      </c>
      <c r="DX62" s="167">
        <v>18389.561318304295</v>
      </c>
      <c r="DY62" s="167">
        <v>17822.265219906472</v>
      </c>
      <c r="DZ62" s="167">
        <v>18021.289679187266</v>
      </c>
      <c r="EA62" s="167">
        <v>18911.164460063646</v>
      </c>
      <c r="EB62" s="167">
        <v>20000</v>
      </c>
      <c r="EC62" s="167">
        <v>20000</v>
      </c>
      <c r="ED62" s="167">
        <v>20000</v>
      </c>
      <c r="EE62" s="167">
        <v>20000</v>
      </c>
      <c r="EF62" s="167">
        <v>20000</v>
      </c>
      <c r="EG62" s="167">
        <v>20000</v>
      </c>
      <c r="EH62" s="167">
        <v>20000</v>
      </c>
      <c r="EI62" s="167">
        <v>20000</v>
      </c>
      <c r="EJ62" s="167">
        <v>20000</v>
      </c>
      <c r="EK62" s="167">
        <v>20000</v>
      </c>
      <c r="EL62" s="167">
        <v>20000</v>
      </c>
      <c r="EM62" s="167">
        <v>20000</v>
      </c>
      <c r="EN62" s="167">
        <v>20000</v>
      </c>
      <c r="EO62" s="167">
        <v>20000</v>
      </c>
      <c r="EP62" t="str">
        <f t="shared" si="0"/>
        <v>2y 224d</v>
      </c>
    </row>
    <row r="63" spans="2:154" x14ac:dyDescent="0.25">
      <c r="B63" s="65">
        <v>60</v>
      </c>
      <c r="D63">
        <v>18706859.849122863</v>
      </c>
      <c r="E63" s="12">
        <v>124559184751.90112</v>
      </c>
      <c r="F63" s="12">
        <v>-86643018759.922241</v>
      </c>
      <c r="G63" s="12">
        <v>0</v>
      </c>
      <c r="H63" s="12">
        <v>86064696.567454219</v>
      </c>
      <c r="I63" s="12">
        <v>-494312142662.89258</v>
      </c>
      <c r="J63" s="12">
        <v>-26671446780.630169</v>
      </c>
      <c r="K63" s="12">
        <v>14474743026.802271</v>
      </c>
      <c r="L63" s="12"/>
      <c r="M63" s="12"/>
      <c r="N63" s="12"/>
      <c r="O63" s="12"/>
      <c r="P63" s="12">
        <v>12060334.92784719</v>
      </c>
      <c r="Q63" s="12">
        <v>65148539373.662086</v>
      </c>
      <c r="R63" s="12">
        <v>261943722934.46887</v>
      </c>
      <c r="S63" s="12">
        <v>0</v>
      </c>
      <c r="T63" s="12">
        <v>15503816.038080562</v>
      </c>
      <c r="U63" s="12">
        <v>-142438105458.08658</v>
      </c>
      <c r="V63" s="12">
        <v>359958710193.12976</v>
      </c>
      <c r="W63" s="12">
        <v>-544144851.1710968</v>
      </c>
      <c r="X63" s="12"/>
      <c r="Y63" s="12"/>
      <c r="Z63" s="12"/>
      <c r="AA63" s="12"/>
      <c r="AB63" s="12"/>
      <c r="AC63" s="12"/>
      <c r="AD63" s="12"/>
      <c r="AE63" s="12"/>
      <c r="AS63" s="6">
        <v>83636446.38175562</v>
      </c>
      <c r="AT63" s="167">
        <v>20000</v>
      </c>
      <c r="AU63" s="167">
        <v>20000</v>
      </c>
      <c r="AV63" s="167">
        <v>20000</v>
      </c>
      <c r="AW63" s="167">
        <v>20000</v>
      </c>
      <c r="AX63" s="167">
        <v>20000</v>
      </c>
      <c r="AY63" s="167">
        <v>20000</v>
      </c>
      <c r="AZ63" s="167">
        <v>20000</v>
      </c>
      <c r="BA63" s="167">
        <v>20000</v>
      </c>
      <c r="BB63" s="167">
        <v>18140.809783524139</v>
      </c>
      <c r="BC63" s="167">
        <v>16176.383427237357</v>
      </c>
      <c r="BD63" s="167">
        <v>15113.433936473033</v>
      </c>
      <c r="BE63" s="167">
        <v>14998.1238269856</v>
      </c>
      <c r="BF63" s="167">
        <v>15875.043571840242</v>
      </c>
      <c r="BG63" s="167">
        <v>17522.011534066776</v>
      </c>
      <c r="BH63" s="167">
        <v>19805.380241101564</v>
      </c>
      <c r="BI63" s="167">
        <v>20000</v>
      </c>
      <c r="BJ63" s="167">
        <v>20000</v>
      </c>
      <c r="BK63" s="167">
        <v>20000</v>
      </c>
      <c r="BL63" s="167">
        <v>20000</v>
      </c>
      <c r="BM63" s="167">
        <v>20000</v>
      </c>
      <c r="BN63" s="167">
        <v>20000</v>
      </c>
      <c r="BO63" s="167">
        <v>20000</v>
      </c>
      <c r="BP63" s="167">
        <v>20000</v>
      </c>
      <c r="BQ63" s="167">
        <v>20000</v>
      </c>
      <c r="BR63" s="167">
        <v>20000</v>
      </c>
      <c r="BS63" s="167">
        <v>20000</v>
      </c>
      <c r="BT63" s="167">
        <v>20000</v>
      </c>
      <c r="BU63" s="167">
        <v>20000</v>
      </c>
      <c r="BV63" s="167">
        <v>20000</v>
      </c>
      <c r="BW63" s="167">
        <v>20000</v>
      </c>
      <c r="BX63" s="167">
        <v>20000</v>
      </c>
      <c r="BY63" s="167">
        <v>17413.468674211981</v>
      </c>
      <c r="BZ63" s="167">
        <v>14953.482326353034</v>
      </c>
      <c r="CA63" s="167">
        <v>13608.688288805499</v>
      </c>
      <c r="CB63" s="167">
        <v>12938.343043616293</v>
      </c>
      <c r="CC63" s="167">
        <v>13322.61526576277</v>
      </c>
      <c r="CD63" s="167">
        <v>14712.091170632533</v>
      </c>
      <c r="CE63" s="167">
        <v>16969.787029270137</v>
      </c>
      <c r="CF63" s="167">
        <v>19930.540259986774</v>
      </c>
      <c r="CG63" s="167">
        <v>20000</v>
      </c>
      <c r="CH63" s="167">
        <v>20000</v>
      </c>
      <c r="CI63" s="167">
        <v>20000</v>
      </c>
      <c r="CJ63" s="167">
        <v>20000</v>
      </c>
      <c r="CK63" s="167">
        <v>20000</v>
      </c>
      <c r="CL63" s="167">
        <v>20000</v>
      </c>
      <c r="CM63" s="167">
        <v>20000</v>
      </c>
      <c r="CN63" s="167">
        <v>20000</v>
      </c>
      <c r="CO63" s="167">
        <v>20000</v>
      </c>
      <c r="CP63" s="167">
        <v>20000</v>
      </c>
      <c r="CQ63" s="167">
        <v>20000</v>
      </c>
      <c r="CR63" s="167">
        <v>20000</v>
      </c>
      <c r="CS63" s="167">
        <v>20000</v>
      </c>
      <c r="CT63" s="167">
        <v>20000</v>
      </c>
      <c r="CU63" s="167">
        <v>20000</v>
      </c>
      <c r="CV63" s="167">
        <v>19014.100860862367</v>
      </c>
      <c r="CW63" s="167">
        <v>16120.476547202314</v>
      </c>
      <c r="CX63" s="167">
        <v>14285.994877057186</v>
      </c>
      <c r="CY63" s="167">
        <v>13553.202798839855</v>
      </c>
      <c r="CZ63" s="167">
        <v>13583.959335602476</v>
      </c>
      <c r="DA63" s="167">
        <v>14556.501707795371</v>
      </c>
      <c r="DB63" s="167">
        <v>16334.161006798329</v>
      </c>
      <c r="DC63" s="167">
        <v>18744.49919830506</v>
      </c>
      <c r="DD63" s="167">
        <v>20000</v>
      </c>
      <c r="DE63" s="167">
        <v>20000</v>
      </c>
      <c r="DF63" s="167">
        <v>20000</v>
      </c>
      <c r="DG63" s="167">
        <v>20000</v>
      </c>
      <c r="DH63" s="167">
        <v>20000</v>
      </c>
      <c r="DI63" s="167">
        <v>20000</v>
      </c>
      <c r="DJ63" s="167">
        <v>20000</v>
      </c>
      <c r="DK63" s="167">
        <v>20000</v>
      </c>
      <c r="DL63" s="167">
        <v>20000</v>
      </c>
      <c r="DM63" s="167">
        <v>20000</v>
      </c>
      <c r="DN63" s="167">
        <v>20000</v>
      </c>
      <c r="DO63" s="167">
        <v>20000</v>
      </c>
      <c r="DP63" s="167">
        <v>20000</v>
      </c>
      <c r="DQ63" s="167">
        <v>20000</v>
      </c>
      <c r="DR63" s="167">
        <v>20000</v>
      </c>
      <c r="DS63" s="167">
        <v>20000</v>
      </c>
      <c r="DT63" s="167">
        <v>20000</v>
      </c>
      <c r="DU63" s="167">
        <v>20000</v>
      </c>
      <c r="DV63" s="167">
        <v>20000</v>
      </c>
      <c r="DW63" s="167">
        <v>20000</v>
      </c>
      <c r="DX63" s="167">
        <v>18821.836937806955</v>
      </c>
      <c r="DY63" s="167">
        <v>18127.878802941468</v>
      </c>
      <c r="DZ63" s="167">
        <v>18126.093858986478</v>
      </c>
      <c r="EA63" s="167">
        <v>18814.492272290874</v>
      </c>
      <c r="EB63" s="167">
        <v>20000</v>
      </c>
      <c r="EC63" s="167">
        <v>20000</v>
      </c>
      <c r="ED63" s="167">
        <v>20000</v>
      </c>
      <c r="EE63" s="167">
        <v>20000</v>
      </c>
      <c r="EF63" s="167">
        <v>20000</v>
      </c>
      <c r="EG63" s="167">
        <v>20000</v>
      </c>
      <c r="EH63" s="167">
        <v>20000</v>
      </c>
      <c r="EI63" s="167">
        <v>20000</v>
      </c>
      <c r="EJ63" s="167">
        <v>20000</v>
      </c>
      <c r="EK63" s="167">
        <v>20000</v>
      </c>
      <c r="EL63" s="167">
        <v>20000</v>
      </c>
      <c r="EM63" s="167">
        <v>20000</v>
      </c>
      <c r="EN63" s="167">
        <v>20000</v>
      </c>
      <c r="EO63" s="167">
        <v>20000</v>
      </c>
      <c r="EP63" t="str">
        <f t="shared" si="0"/>
        <v>2y 238d</v>
      </c>
    </row>
    <row r="64" spans="2:154" x14ac:dyDescent="0.25">
      <c r="B64" s="65">
        <v>61</v>
      </c>
      <c r="D64">
        <v>19031437.907430384</v>
      </c>
      <c r="E64" s="12">
        <v>129679008570.10904</v>
      </c>
      <c r="F64" s="12">
        <v>-78605604200.801147</v>
      </c>
      <c r="G64" s="12">
        <v>0</v>
      </c>
      <c r="H64" s="12">
        <v>88114124.990723997</v>
      </c>
      <c r="I64" s="12">
        <v>-492789223735.37445</v>
      </c>
      <c r="J64" s="12">
        <v>-57772797784.948311</v>
      </c>
      <c r="K64" s="12">
        <v>15895513846.705526</v>
      </c>
      <c r="L64" s="12"/>
      <c r="M64" s="12"/>
      <c r="N64" s="12"/>
      <c r="O64" s="12"/>
      <c r="P64" s="12">
        <v>12475222.667630084</v>
      </c>
      <c r="Q64" s="12">
        <v>58068812468.099777</v>
      </c>
      <c r="R64" s="12">
        <v>268589130306.5224</v>
      </c>
      <c r="S64" s="12">
        <v>0</v>
      </c>
      <c r="T64" s="12">
        <v>15934225.186743038</v>
      </c>
      <c r="U64" s="12">
        <v>-149294880164.00812</v>
      </c>
      <c r="V64" s="12">
        <v>360624782388.36316</v>
      </c>
      <c r="W64" s="12">
        <v>-555031959.55523109</v>
      </c>
      <c r="X64" s="12"/>
      <c r="Y64" s="12"/>
      <c r="Z64" s="12"/>
      <c r="AA64" s="12"/>
      <c r="AB64" s="12"/>
      <c r="AC64" s="12"/>
      <c r="AD64" s="12"/>
      <c r="AE64" s="12"/>
      <c r="AS64" s="6">
        <v>84824108.923798487</v>
      </c>
      <c r="AT64" s="167">
        <v>20000</v>
      </c>
      <c r="AU64" s="167">
        <v>20000</v>
      </c>
      <c r="AV64" s="167">
        <v>20000</v>
      </c>
      <c r="AW64" s="167">
        <v>20000</v>
      </c>
      <c r="AX64" s="167">
        <v>20000</v>
      </c>
      <c r="AY64" s="167">
        <v>20000</v>
      </c>
      <c r="AZ64" s="167">
        <v>20000</v>
      </c>
      <c r="BA64" s="167">
        <v>20000</v>
      </c>
      <c r="BB64" s="167">
        <v>18504.080934226658</v>
      </c>
      <c r="BC64" s="167">
        <v>16399.395389800455</v>
      </c>
      <c r="BD64" s="167">
        <v>15206.307204254706</v>
      </c>
      <c r="BE64" s="167">
        <v>14981.833131476993</v>
      </c>
      <c r="BF64" s="167">
        <v>15759.333108012803</v>
      </c>
      <c r="BG64" s="167">
        <v>17312.85000575774</v>
      </c>
      <c r="BH64" s="167">
        <v>19584.768556789946</v>
      </c>
      <c r="BI64" s="167">
        <v>20000</v>
      </c>
      <c r="BJ64" s="167">
        <v>20000</v>
      </c>
      <c r="BK64" s="167">
        <v>20000</v>
      </c>
      <c r="BL64" s="167">
        <v>20000</v>
      </c>
      <c r="BM64" s="167">
        <v>20000</v>
      </c>
      <c r="BN64" s="167">
        <v>20000</v>
      </c>
      <c r="BO64" s="167">
        <v>20000</v>
      </c>
      <c r="BP64" s="167">
        <v>20000</v>
      </c>
      <c r="BQ64" s="167">
        <v>20000</v>
      </c>
      <c r="BR64" s="167">
        <v>20000</v>
      </c>
      <c r="BS64" s="167">
        <v>20000</v>
      </c>
      <c r="BT64" s="167">
        <v>20000</v>
      </c>
      <c r="BU64" s="167">
        <v>20000</v>
      </c>
      <c r="BV64" s="167">
        <v>20000</v>
      </c>
      <c r="BW64" s="167">
        <v>20000</v>
      </c>
      <c r="BX64" s="167">
        <v>20000</v>
      </c>
      <c r="BY64" s="167">
        <v>17805.250940697661</v>
      </c>
      <c r="BZ64" s="167">
        <v>15230.105756766603</v>
      </c>
      <c r="CA64" s="167">
        <v>13815.656556938722</v>
      </c>
      <c r="CB64" s="167">
        <v>13048.702708287165</v>
      </c>
      <c r="CC64" s="167">
        <v>13340.604074057857</v>
      </c>
      <c r="CD64" s="167">
        <v>14647.337118495381</v>
      </c>
      <c r="CE64" s="167">
        <v>16834.306018864794</v>
      </c>
      <c r="CF64" s="167">
        <v>19734.884684361652</v>
      </c>
      <c r="CG64" s="167">
        <v>20000</v>
      </c>
      <c r="CH64" s="167">
        <v>20000</v>
      </c>
      <c r="CI64" s="167">
        <v>20000</v>
      </c>
      <c r="CJ64" s="167">
        <v>20000</v>
      </c>
      <c r="CK64" s="167">
        <v>20000</v>
      </c>
      <c r="CL64" s="167">
        <v>20000</v>
      </c>
      <c r="CM64" s="167">
        <v>20000</v>
      </c>
      <c r="CN64" s="167">
        <v>20000</v>
      </c>
      <c r="CO64" s="167">
        <v>20000</v>
      </c>
      <c r="CP64" s="167">
        <v>20000</v>
      </c>
      <c r="CQ64" s="167">
        <v>20000</v>
      </c>
      <c r="CR64" s="167">
        <v>20000</v>
      </c>
      <c r="CS64" s="167">
        <v>20000</v>
      </c>
      <c r="CT64" s="167">
        <v>20000</v>
      </c>
      <c r="CU64" s="167">
        <v>20000</v>
      </c>
      <c r="CV64" s="167">
        <v>19699.311129261052</v>
      </c>
      <c r="CW64" s="167">
        <v>16645.443029325059</v>
      </c>
      <c r="CX64" s="167">
        <v>14647.99472788148</v>
      </c>
      <c r="CY64" s="167">
        <v>13733.042913066422</v>
      </c>
      <c r="CZ64" s="167">
        <v>13703.678295876169</v>
      </c>
      <c r="DA64" s="167">
        <v>14555.549801806093</v>
      </c>
      <c r="DB64" s="167">
        <v>16224.901729274778</v>
      </c>
      <c r="DC64" s="167">
        <v>18539.437033814458</v>
      </c>
      <c r="DD64" s="167">
        <v>20000</v>
      </c>
      <c r="DE64" s="167">
        <v>20000</v>
      </c>
      <c r="DF64" s="167">
        <v>20000</v>
      </c>
      <c r="DG64" s="167">
        <v>20000</v>
      </c>
      <c r="DH64" s="167">
        <v>20000</v>
      </c>
      <c r="DI64" s="167">
        <v>20000</v>
      </c>
      <c r="DJ64" s="167">
        <v>20000</v>
      </c>
      <c r="DK64" s="167">
        <v>20000</v>
      </c>
      <c r="DL64" s="167">
        <v>20000</v>
      </c>
      <c r="DM64" s="167">
        <v>20000</v>
      </c>
      <c r="DN64" s="167">
        <v>20000</v>
      </c>
      <c r="DO64" s="167">
        <v>20000</v>
      </c>
      <c r="DP64" s="167">
        <v>20000</v>
      </c>
      <c r="DQ64" s="167">
        <v>20000</v>
      </c>
      <c r="DR64" s="167">
        <v>20000</v>
      </c>
      <c r="DS64" s="167">
        <v>20000</v>
      </c>
      <c r="DT64" s="167">
        <v>20000</v>
      </c>
      <c r="DU64" s="167">
        <v>20000</v>
      </c>
      <c r="DV64" s="167">
        <v>20000</v>
      </c>
      <c r="DW64" s="167">
        <v>20000</v>
      </c>
      <c r="DX64" s="167">
        <v>19294.852983844194</v>
      </c>
      <c r="DY64" s="167">
        <v>18477.006140956688</v>
      </c>
      <c r="DZ64" s="167">
        <v>18254.158346234548</v>
      </c>
      <c r="EA64" s="167">
        <v>18736.595144212537</v>
      </c>
      <c r="EB64" s="167">
        <v>19863.567244169077</v>
      </c>
      <c r="EC64" s="167">
        <v>20000</v>
      </c>
      <c r="ED64" s="167">
        <v>20000</v>
      </c>
      <c r="EE64" s="167">
        <v>20000</v>
      </c>
      <c r="EF64" s="167">
        <v>20000</v>
      </c>
      <c r="EG64" s="167">
        <v>20000</v>
      </c>
      <c r="EH64" s="167">
        <v>20000</v>
      </c>
      <c r="EI64" s="167">
        <v>20000</v>
      </c>
      <c r="EJ64" s="167">
        <v>20000</v>
      </c>
      <c r="EK64" s="167">
        <v>20000</v>
      </c>
      <c r="EL64" s="167">
        <v>20000</v>
      </c>
      <c r="EM64" s="167">
        <v>20000</v>
      </c>
      <c r="EN64" s="167">
        <v>20000</v>
      </c>
      <c r="EO64" s="167">
        <v>20000</v>
      </c>
      <c r="EP64" t="str">
        <f t="shared" si="0"/>
        <v>2y 251d</v>
      </c>
    </row>
    <row r="65" spans="2:146" x14ac:dyDescent="0.25">
      <c r="B65" s="65">
        <v>62</v>
      </c>
      <c r="D65">
        <v>19355624.253010701</v>
      </c>
      <c r="E65" s="12">
        <v>134274059570.13168</v>
      </c>
      <c r="F65" s="12">
        <v>-70263536545.078751</v>
      </c>
      <c r="G65" s="12">
        <v>0</v>
      </c>
      <c r="H65" s="12">
        <v>90172019.516338244</v>
      </c>
      <c r="I65" s="12">
        <v>-489002246432.51733</v>
      </c>
      <c r="J65" s="12">
        <v>-88737885452.602295</v>
      </c>
      <c r="K65" s="12">
        <v>17249324470.797554</v>
      </c>
      <c r="L65" s="12"/>
      <c r="M65" s="12"/>
      <c r="N65" s="12"/>
      <c r="O65" s="12"/>
      <c r="P65" s="12">
        <v>12905277.895533061</v>
      </c>
      <c r="Q65" s="12">
        <v>50662869545.23996</v>
      </c>
      <c r="R65" s="12">
        <v>275165615481.63361</v>
      </c>
      <c r="S65" s="12">
        <v>0</v>
      </c>
      <c r="T65" s="12">
        <v>16371711.535336906</v>
      </c>
      <c r="U65" s="12">
        <v>-156201167986.09824</v>
      </c>
      <c r="V65" s="12">
        <v>361149076516.12543</v>
      </c>
      <c r="W65" s="12">
        <v>-565863013.73011458</v>
      </c>
      <c r="X65" s="12"/>
      <c r="Y65" s="12"/>
      <c r="Z65" s="12"/>
      <c r="AA65" s="12"/>
      <c r="AB65" s="12"/>
      <c r="AC65" s="12"/>
      <c r="AD65" s="12"/>
      <c r="AE65" s="12"/>
      <c r="AS65" s="6">
        <v>86011771.465841353</v>
      </c>
      <c r="AT65" s="167">
        <v>20000</v>
      </c>
      <c r="AU65" s="167">
        <v>20000</v>
      </c>
      <c r="AV65" s="167">
        <v>20000</v>
      </c>
      <c r="AW65" s="167">
        <v>20000</v>
      </c>
      <c r="AX65" s="167">
        <v>20000</v>
      </c>
      <c r="AY65" s="167">
        <v>20000</v>
      </c>
      <c r="AZ65" s="167">
        <v>20000</v>
      </c>
      <c r="BA65" s="167">
        <v>20000</v>
      </c>
      <c r="BB65" s="167">
        <v>18883.725552462485</v>
      </c>
      <c r="BC65" s="167">
        <v>16639.965735900332</v>
      </c>
      <c r="BD65" s="167">
        <v>15317.985329983394</v>
      </c>
      <c r="BE65" s="167">
        <v>14983.455303718925</v>
      </c>
      <c r="BF65" s="167">
        <v>15656.372475183891</v>
      </c>
      <c r="BG65" s="167">
        <v>17114.682804183973</v>
      </c>
      <c r="BH65" s="167">
        <v>19318.937884533683</v>
      </c>
      <c r="BI65" s="167">
        <v>20000</v>
      </c>
      <c r="BJ65" s="167">
        <v>20000</v>
      </c>
      <c r="BK65" s="167">
        <v>20000</v>
      </c>
      <c r="BL65" s="167">
        <v>20000</v>
      </c>
      <c r="BM65" s="167">
        <v>20000</v>
      </c>
      <c r="BN65" s="167">
        <v>20000</v>
      </c>
      <c r="BO65" s="167">
        <v>20000</v>
      </c>
      <c r="BP65" s="167">
        <v>20000</v>
      </c>
      <c r="BQ65" s="167">
        <v>20000</v>
      </c>
      <c r="BR65" s="167">
        <v>20000</v>
      </c>
      <c r="BS65" s="167">
        <v>20000</v>
      </c>
      <c r="BT65" s="167">
        <v>20000</v>
      </c>
      <c r="BU65" s="167">
        <v>20000</v>
      </c>
      <c r="BV65" s="167">
        <v>20000</v>
      </c>
      <c r="BW65" s="167">
        <v>20000</v>
      </c>
      <c r="BX65" s="167">
        <v>20000</v>
      </c>
      <c r="BY65" s="167">
        <v>18212.472287984085</v>
      </c>
      <c r="BZ65" s="167">
        <v>15520.687737752374</v>
      </c>
      <c r="CA65" s="167">
        <v>14010.782341279188</v>
      </c>
      <c r="CB65" s="167">
        <v>13169.951038467283</v>
      </c>
      <c r="CC65" s="167">
        <v>13367.716416422367</v>
      </c>
      <c r="CD65" s="167">
        <v>14589.865290864787</v>
      </c>
      <c r="CE65" s="167">
        <v>16704.562924389083</v>
      </c>
      <c r="CF65" s="167">
        <v>19543.870229713979</v>
      </c>
      <c r="CG65" s="167">
        <v>20000</v>
      </c>
      <c r="CH65" s="167">
        <v>20000</v>
      </c>
      <c r="CI65" s="167">
        <v>20000</v>
      </c>
      <c r="CJ65" s="167">
        <v>20000</v>
      </c>
      <c r="CK65" s="167">
        <v>20000</v>
      </c>
      <c r="CL65" s="167">
        <v>20000</v>
      </c>
      <c r="CM65" s="167">
        <v>20000</v>
      </c>
      <c r="CN65" s="167">
        <v>20000</v>
      </c>
      <c r="CO65" s="167">
        <v>20000</v>
      </c>
      <c r="CP65" s="167">
        <v>20000</v>
      </c>
      <c r="CQ65" s="167">
        <v>20000</v>
      </c>
      <c r="CR65" s="167">
        <v>20000</v>
      </c>
      <c r="CS65" s="167">
        <v>20000</v>
      </c>
      <c r="CT65" s="167">
        <v>20000</v>
      </c>
      <c r="CU65" s="167">
        <v>20000</v>
      </c>
      <c r="CV65" s="167">
        <v>20000</v>
      </c>
      <c r="CW65" s="167">
        <v>17212.354732203603</v>
      </c>
      <c r="CX65" s="167">
        <v>15050.676214756657</v>
      </c>
      <c r="CY65" s="167">
        <v>13957.580849669084</v>
      </c>
      <c r="CZ65" s="167">
        <v>13843.354423775847</v>
      </c>
      <c r="DA65" s="167">
        <v>14569.313373433724</v>
      </c>
      <c r="DB65" s="167">
        <v>16125.730088981709</v>
      </c>
      <c r="DC65" s="167">
        <v>18340.922894702366</v>
      </c>
      <c r="DD65" s="167">
        <v>20000</v>
      </c>
      <c r="DE65" s="167">
        <v>20000</v>
      </c>
      <c r="DF65" s="167">
        <v>20000</v>
      </c>
      <c r="DG65" s="167">
        <v>20000</v>
      </c>
      <c r="DH65" s="167">
        <v>20000</v>
      </c>
      <c r="DI65" s="167">
        <v>20000</v>
      </c>
      <c r="DJ65" s="167">
        <v>20000</v>
      </c>
      <c r="DK65" s="167">
        <v>20000</v>
      </c>
      <c r="DL65" s="167">
        <v>20000</v>
      </c>
      <c r="DM65" s="167">
        <v>20000</v>
      </c>
      <c r="DN65" s="167">
        <v>20000</v>
      </c>
      <c r="DO65" s="167">
        <v>20000</v>
      </c>
      <c r="DP65" s="167">
        <v>20000</v>
      </c>
      <c r="DQ65" s="167">
        <v>20000</v>
      </c>
      <c r="DR65" s="167">
        <v>20000</v>
      </c>
      <c r="DS65" s="167">
        <v>20000</v>
      </c>
      <c r="DT65" s="167">
        <v>20000</v>
      </c>
      <c r="DU65" s="167">
        <v>20000</v>
      </c>
      <c r="DV65" s="167">
        <v>20000</v>
      </c>
      <c r="DW65" s="167">
        <v>20000</v>
      </c>
      <c r="DX65" s="167">
        <v>19823.110782556887</v>
      </c>
      <c r="DY65" s="167">
        <v>18868.1726348786</v>
      </c>
      <c r="DZ65" s="167">
        <v>18398.98003713978</v>
      </c>
      <c r="EA65" s="167">
        <v>18686.875897183756</v>
      </c>
      <c r="EB65" s="167">
        <v>19648.423912648788</v>
      </c>
      <c r="EC65" s="167">
        <v>20000</v>
      </c>
      <c r="ED65" s="167">
        <v>20000</v>
      </c>
      <c r="EE65" s="167">
        <v>20000</v>
      </c>
      <c r="EF65" s="167">
        <v>20000</v>
      </c>
      <c r="EG65" s="167">
        <v>20000</v>
      </c>
      <c r="EH65" s="167">
        <v>20000</v>
      </c>
      <c r="EI65" s="167">
        <v>20000</v>
      </c>
      <c r="EJ65" s="167">
        <v>20000</v>
      </c>
      <c r="EK65" s="167">
        <v>20000</v>
      </c>
      <c r="EL65" s="167">
        <v>20000</v>
      </c>
      <c r="EM65" s="167">
        <v>20000</v>
      </c>
      <c r="EN65" s="167">
        <v>20000</v>
      </c>
      <c r="EO65" s="167">
        <v>20000</v>
      </c>
      <c r="EP65" t="str">
        <f t="shared" si="0"/>
        <v>2y 265d</v>
      </c>
    </row>
    <row r="66" spans="2:146" x14ac:dyDescent="0.25">
      <c r="B66" s="65">
        <v>63</v>
      </c>
      <c r="D66">
        <v>19679384.770805512</v>
      </c>
      <c r="E66" s="12">
        <v>138326471454.09796</v>
      </c>
      <c r="F66" s="12">
        <v>-61651625478.732979</v>
      </c>
      <c r="G66" s="12">
        <v>0</v>
      </c>
      <c r="H66" s="12">
        <v>92235821.11880143</v>
      </c>
      <c r="I66" s="12">
        <v>-482961481704.85352</v>
      </c>
      <c r="J66" s="12">
        <v>-119384806041.76816</v>
      </c>
      <c r="K66" s="12">
        <v>18527901656.225117</v>
      </c>
      <c r="L66" s="12"/>
      <c r="M66" s="12"/>
      <c r="N66" s="12"/>
      <c r="O66" s="12"/>
      <c r="P66" s="12">
        <v>13351166.671819074</v>
      </c>
      <c r="Q66" s="12">
        <v>42924387462.096992</v>
      </c>
      <c r="R66" s="12">
        <v>281658882528.36365</v>
      </c>
      <c r="S66" s="12">
        <v>0</v>
      </c>
      <c r="T66" s="12">
        <v>16816294.116072349</v>
      </c>
      <c r="U66" s="12">
        <v>-163152790934.74054</v>
      </c>
      <c r="V66" s="12">
        <v>361527695907.42664</v>
      </c>
      <c r="W66" s="12">
        <v>-576628172.91072607</v>
      </c>
      <c r="X66" s="12"/>
      <c r="Y66" s="12"/>
      <c r="Z66" s="12"/>
      <c r="AA66" s="12"/>
      <c r="AB66" s="12"/>
      <c r="AC66" s="12"/>
      <c r="AD66" s="12"/>
      <c r="AE66" s="12"/>
      <c r="AS66" s="6">
        <v>87199434.007884219</v>
      </c>
      <c r="AT66" s="167">
        <v>20000</v>
      </c>
      <c r="AU66" s="167">
        <v>20000</v>
      </c>
      <c r="AV66" s="167">
        <v>20000</v>
      </c>
      <c r="AW66" s="167">
        <v>20000</v>
      </c>
      <c r="AX66" s="167">
        <v>20000</v>
      </c>
      <c r="AY66" s="167">
        <v>20000</v>
      </c>
      <c r="AZ66" s="167">
        <v>20000</v>
      </c>
      <c r="BA66" s="167">
        <v>20000</v>
      </c>
      <c r="BB66" s="167">
        <v>19279.239984666463</v>
      </c>
      <c r="BC66" s="167">
        <v>16897.163010999448</v>
      </c>
      <c r="BD66" s="167">
        <v>15446.904718638998</v>
      </c>
      <c r="BE66" s="167">
        <v>15000.761202675891</v>
      </c>
      <c r="BF66" s="167">
        <v>15566.204130513133</v>
      </c>
      <c r="BG66" s="167">
        <v>16927.539187734274</v>
      </c>
      <c r="BH66" s="167">
        <v>19054.215866973707</v>
      </c>
      <c r="BI66" s="167">
        <v>20000</v>
      </c>
      <c r="BJ66" s="167">
        <v>20000</v>
      </c>
      <c r="BK66" s="167">
        <v>20000</v>
      </c>
      <c r="BL66" s="167">
        <v>20000</v>
      </c>
      <c r="BM66" s="167">
        <v>20000</v>
      </c>
      <c r="BN66" s="167">
        <v>20000</v>
      </c>
      <c r="BO66" s="167">
        <v>20000</v>
      </c>
      <c r="BP66" s="167">
        <v>20000</v>
      </c>
      <c r="BQ66" s="167">
        <v>20000</v>
      </c>
      <c r="BR66" s="167">
        <v>20000</v>
      </c>
      <c r="BS66" s="167">
        <v>20000</v>
      </c>
      <c r="BT66" s="167">
        <v>20000</v>
      </c>
      <c r="BU66" s="167">
        <v>20000</v>
      </c>
      <c r="BV66" s="167">
        <v>20000</v>
      </c>
      <c r="BW66" s="167">
        <v>20000</v>
      </c>
      <c r="BX66" s="167">
        <v>20000</v>
      </c>
      <c r="BY66" s="167">
        <v>18635.971274670526</v>
      </c>
      <c r="BZ66" s="167">
        <v>15825.891023063323</v>
      </c>
      <c r="CA66" s="167">
        <v>14181.906593775391</v>
      </c>
      <c r="CB66" s="167">
        <v>13302.618133696773</v>
      </c>
      <c r="CC66" s="167">
        <v>13404.412970296587</v>
      </c>
      <c r="CD66" s="167">
        <v>14540.031981224474</v>
      </c>
      <c r="CE66" s="167">
        <v>16580.789933470736</v>
      </c>
      <c r="CF66" s="167">
        <v>19357.617687802653</v>
      </c>
      <c r="CG66" s="167">
        <v>20000</v>
      </c>
      <c r="CH66" s="167">
        <v>20000</v>
      </c>
      <c r="CI66" s="167">
        <v>20000</v>
      </c>
      <c r="CJ66" s="167">
        <v>20000</v>
      </c>
      <c r="CK66" s="167">
        <v>20000</v>
      </c>
      <c r="CL66" s="167">
        <v>20000</v>
      </c>
      <c r="CM66" s="167">
        <v>20000</v>
      </c>
      <c r="CN66" s="167">
        <v>20000</v>
      </c>
      <c r="CO66" s="167">
        <v>20000</v>
      </c>
      <c r="CP66" s="167">
        <v>20000</v>
      </c>
      <c r="CQ66" s="167">
        <v>20000</v>
      </c>
      <c r="CR66" s="167">
        <v>20000</v>
      </c>
      <c r="CS66" s="167">
        <v>20000</v>
      </c>
      <c r="CT66" s="167">
        <v>20000</v>
      </c>
      <c r="CU66" s="167">
        <v>20000</v>
      </c>
      <c r="CV66" s="167">
        <v>20000</v>
      </c>
      <c r="CW66" s="167">
        <v>17824.010431670093</v>
      </c>
      <c r="CX66" s="167">
        <v>15495.612697316523</v>
      </c>
      <c r="CY66" s="167">
        <v>14226.98129915772</v>
      </c>
      <c r="CZ66" s="167">
        <v>13992.633385659099</v>
      </c>
      <c r="DA66" s="167">
        <v>14599.577077456748</v>
      </c>
      <c r="DB66" s="167">
        <v>16038.025693813601</v>
      </c>
      <c r="DC66" s="167">
        <v>18149.937117392383</v>
      </c>
      <c r="DD66" s="167">
        <v>20000</v>
      </c>
      <c r="DE66" s="167">
        <v>20000</v>
      </c>
      <c r="DF66" s="167">
        <v>20000</v>
      </c>
      <c r="DG66" s="167">
        <v>20000</v>
      </c>
      <c r="DH66" s="167">
        <v>20000</v>
      </c>
      <c r="DI66" s="167">
        <v>20000</v>
      </c>
      <c r="DJ66" s="167">
        <v>20000</v>
      </c>
      <c r="DK66" s="167">
        <v>20000</v>
      </c>
      <c r="DL66" s="167">
        <v>20000</v>
      </c>
      <c r="DM66" s="167">
        <v>20000</v>
      </c>
      <c r="DN66" s="167">
        <v>20000</v>
      </c>
      <c r="DO66" s="167">
        <v>20000</v>
      </c>
      <c r="DP66" s="167">
        <v>20000</v>
      </c>
      <c r="DQ66" s="167">
        <v>20000</v>
      </c>
      <c r="DR66" s="167">
        <v>20000</v>
      </c>
      <c r="DS66" s="167">
        <v>20000</v>
      </c>
      <c r="DT66" s="167">
        <v>20000</v>
      </c>
      <c r="DU66" s="167">
        <v>20000</v>
      </c>
      <c r="DV66" s="167">
        <v>20000</v>
      </c>
      <c r="DW66" s="167">
        <v>20000</v>
      </c>
      <c r="DX66" s="167">
        <v>20000</v>
      </c>
      <c r="DY66" s="167">
        <v>19201.860864273982</v>
      </c>
      <c r="DZ66" s="167">
        <v>18579.413298945583</v>
      </c>
      <c r="EA66" s="167">
        <v>18666.967710807668</v>
      </c>
      <c r="EB66" s="167">
        <v>19457.166135640498</v>
      </c>
      <c r="EC66" s="167">
        <v>20000</v>
      </c>
      <c r="ED66" s="167">
        <v>20000</v>
      </c>
      <c r="EE66" s="167">
        <v>20000</v>
      </c>
      <c r="EF66" s="167">
        <v>20000</v>
      </c>
      <c r="EG66" s="167">
        <v>20000</v>
      </c>
      <c r="EH66" s="167">
        <v>20000</v>
      </c>
      <c r="EI66" s="167">
        <v>20000</v>
      </c>
      <c r="EJ66" s="167">
        <v>20000</v>
      </c>
      <c r="EK66" s="167">
        <v>20000</v>
      </c>
      <c r="EL66" s="167">
        <v>20000</v>
      </c>
      <c r="EM66" s="167">
        <v>20000</v>
      </c>
      <c r="EN66" s="167">
        <v>20000</v>
      </c>
      <c r="EO66" s="167">
        <v>20000</v>
      </c>
      <c r="EP66" t="str">
        <f t="shared" si="0"/>
        <v>2y 279d</v>
      </c>
    </row>
    <row r="67" spans="2:146" x14ac:dyDescent="0.25">
      <c r="B67" s="65">
        <v>64</v>
      </c>
      <c r="D67">
        <v>20002687.224944916</v>
      </c>
      <c r="E67" s="12">
        <v>141820756251.83145</v>
      </c>
      <c r="F67" s="12">
        <v>-52805693912.070473</v>
      </c>
      <c r="G67" s="12">
        <v>0</v>
      </c>
      <c r="H67" s="12">
        <v>94302913.974496827</v>
      </c>
      <c r="I67" s="12">
        <v>-474694816959.05011</v>
      </c>
      <c r="J67" s="12">
        <v>-149532735216.21658</v>
      </c>
      <c r="K67" s="12">
        <v>19723494071.995831</v>
      </c>
      <c r="L67" s="12"/>
      <c r="M67" s="12"/>
      <c r="N67" s="12"/>
      <c r="O67" s="12"/>
      <c r="P67" s="12">
        <v>13813572.140090145</v>
      </c>
      <c r="Q67" s="12">
        <v>34847601230.797966</v>
      </c>
      <c r="R67" s="12">
        <v>288053521710.73938</v>
      </c>
      <c r="S67" s="12">
        <v>0</v>
      </c>
      <c r="T67" s="12">
        <v>17267984.431968495</v>
      </c>
      <c r="U67" s="12">
        <v>-170145346267.85803</v>
      </c>
      <c r="V67" s="12">
        <v>361756808174.09094</v>
      </c>
      <c r="W67" s="12">
        <v>-587317318.56527781</v>
      </c>
      <c r="X67" s="12"/>
      <c r="Y67" s="12"/>
      <c r="Z67" s="12"/>
      <c r="AA67" s="12"/>
      <c r="AB67" s="12"/>
      <c r="AC67" s="12"/>
      <c r="AD67" s="12"/>
      <c r="AE67" s="12"/>
      <c r="AS67" s="6">
        <v>88387096.549927086</v>
      </c>
      <c r="AT67" s="167">
        <v>20000</v>
      </c>
      <c r="AU67" s="167">
        <v>20000</v>
      </c>
      <c r="AV67" s="167">
        <v>20000</v>
      </c>
      <c r="AW67" s="167">
        <v>20000</v>
      </c>
      <c r="AX67" s="167">
        <v>20000</v>
      </c>
      <c r="AY67" s="167">
        <v>20000</v>
      </c>
      <c r="AZ67" s="167">
        <v>20000</v>
      </c>
      <c r="BA67" s="167">
        <v>20000</v>
      </c>
      <c r="BB67" s="167">
        <v>19690.249427541039</v>
      </c>
      <c r="BC67" s="167">
        <v>17170.285550989225</v>
      </c>
      <c r="BD67" s="167">
        <v>15591.937260397273</v>
      </c>
      <c r="BE67" s="167">
        <v>15032.309284195262</v>
      </c>
      <c r="BF67" s="167">
        <v>15488.871854377179</v>
      </c>
      <c r="BG67" s="167">
        <v>16751.457807483919</v>
      </c>
      <c r="BH67" s="167">
        <v>18798.983201132512</v>
      </c>
      <c r="BI67" s="167">
        <v>20000</v>
      </c>
      <c r="BJ67" s="167">
        <v>20000</v>
      </c>
      <c r="BK67" s="167">
        <v>20000</v>
      </c>
      <c r="BL67" s="167">
        <v>20000</v>
      </c>
      <c r="BM67" s="167">
        <v>20000</v>
      </c>
      <c r="BN67" s="167">
        <v>20000</v>
      </c>
      <c r="BO67" s="167">
        <v>20000</v>
      </c>
      <c r="BP67" s="167">
        <v>20000</v>
      </c>
      <c r="BQ67" s="167">
        <v>20000</v>
      </c>
      <c r="BR67" s="167">
        <v>20000</v>
      </c>
      <c r="BS67" s="167">
        <v>20000</v>
      </c>
      <c r="BT67" s="167">
        <v>20000</v>
      </c>
      <c r="BU67" s="167">
        <v>20000</v>
      </c>
      <c r="BV67" s="167">
        <v>20000</v>
      </c>
      <c r="BW67" s="167">
        <v>20000</v>
      </c>
      <c r="BX67" s="167">
        <v>20000</v>
      </c>
      <c r="BY67" s="167">
        <v>19076.646342999604</v>
      </c>
      <c r="BZ67" s="167">
        <v>16146.424736017732</v>
      </c>
      <c r="CA67" s="167">
        <v>14368.748274889445</v>
      </c>
      <c r="CB67" s="167">
        <v>13447.26890003962</v>
      </c>
      <c r="CC67" s="167">
        <v>13451.187183710765</v>
      </c>
      <c r="CD67" s="167">
        <v>14498.224521993779</v>
      </c>
      <c r="CE67" s="167">
        <v>16463.24449146691</v>
      </c>
      <c r="CF67" s="167">
        <v>19173.754082208743</v>
      </c>
      <c r="CG67" s="167">
        <v>20000</v>
      </c>
      <c r="CH67" s="167">
        <v>20000</v>
      </c>
      <c r="CI67" s="167">
        <v>20000</v>
      </c>
      <c r="CJ67" s="167">
        <v>20000</v>
      </c>
      <c r="CK67" s="167">
        <v>20000</v>
      </c>
      <c r="CL67" s="167">
        <v>20000</v>
      </c>
      <c r="CM67" s="167">
        <v>20000</v>
      </c>
      <c r="CN67" s="167">
        <v>20000</v>
      </c>
      <c r="CO67" s="167">
        <v>20000</v>
      </c>
      <c r="CP67" s="167">
        <v>20000</v>
      </c>
      <c r="CQ67" s="167">
        <v>20000</v>
      </c>
      <c r="CR67" s="167">
        <v>20000</v>
      </c>
      <c r="CS67" s="167">
        <v>20000</v>
      </c>
      <c r="CT67" s="167">
        <v>20000</v>
      </c>
      <c r="CU67" s="167">
        <v>20000</v>
      </c>
      <c r="CV67" s="167">
        <v>20000</v>
      </c>
      <c r="CW67" s="167">
        <v>18483.541889492444</v>
      </c>
      <c r="CX67" s="167">
        <v>15984.684642733864</v>
      </c>
      <c r="CY67" s="167">
        <v>14541.715550493243</v>
      </c>
      <c r="CZ67" s="167">
        <v>14129.497591236712</v>
      </c>
      <c r="DA67" s="167">
        <v>14648.306838614459</v>
      </c>
      <c r="DB67" s="167">
        <v>15963.332640928029</v>
      </c>
      <c r="DC67" s="167">
        <v>17967.593018655283</v>
      </c>
      <c r="DD67" s="167">
        <v>20000</v>
      </c>
      <c r="DE67" s="167">
        <v>20000</v>
      </c>
      <c r="DF67" s="167">
        <v>20000</v>
      </c>
      <c r="DG67" s="167">
        <v>20000</v>
      </c>
      <c r="DH67" s="167">
        <v>20000</v>
      </c>
      <c r="DI67" s="167">
        <v>20000</v>
      </c>
      <c r="DJ67" s="167">
        <v>20000</v>
      </c>
      <c r="DK67" s="167">
        <v>20000</v>
      </c>
      <c r="DL67" s="167">
        <v>20000</v>
      </c>
      <c r="DM67" s="167">
        <v>20000</v>
      </c>
      <c r="DN67" s="167">
        <v>20000</v>
      </c>
      <c r="DO67" s="167">
        <v>20000</v>
      </c>
      <c r="DP67" s="167">
        <v>20000</v>
      </c>
      <c r="DQ67" s="167">
        <v>20000</v>
      </c>
      <c r="DR67" s="167">
        <v>20000</v>
      </c>
      <c r="DS67" s="167">
        <v>20000</v>
      </c>
      <c r="DT67" s="167">
        <v>20000</v>
      </c>
      <c r="DU67" s="167">
        <v>20000</v>
      </c>
      <c r="DV67" s="167">
        <v>20000</v>
      </c>
      <c r="DW67" s="167">
        <v>20000</v>
      </c>
      <c r="DX67" s="167">
        <v>20000</v>
      </c>
      <c r="DY67" s="167">
        <v>19546.363507132501</v>
      </c>
      <c r="DZ67" s="167">
        <v>18796.408094055507</v>
      </c>
      <c r="EA67" s="167">
        <v>18678.295497226733</v>
      </c>
      <c r="EB67" s="167">
        <v>19291.325044240933</v>
      </c>
      <c r="EC67" s="167">
        <v>20000</v>
      </c>
      <c r="ED67" s="167">
        <v>20000</v>
      </c>
      <c r="EE67" s="167">
        <v>20000</v>
      </c>
      <c r="EF67" s="167">
        <v>20000</v>
      </c>
      <c r="EG67" s="167">
        <v>20000</v>
      </c>
      <c r="EH67" s="167">
        <v>20000</v>
      </c>
      <c r="EI67" s="167">
        <v>20000</v>
      </c>
      <c r="EJ67" s="167">
        <v>20000</v>
      </c>
      <c r="EK67" s="167">
        <v>20000</v>
      </c>
      <c r="EL67" s="167">
        <v>20000</v>
      </c>
      <c r="EM67" s="167">
        <v>20000</v>
      </c>
      <c r="EN67" s="167">
        <v>20000</v>
      </c>
      <c r="EO67" s="167">
        <v>20000</v>
      </c>
      <c r="EP67" t="str">
        <f t="shared" si="0"/>
        <v>2y 292d</v>
      </c>
    </row>
    <row r="68" spans="2:146" x14ac:dyDescent="0.25">
      <c r="B68" s="65">
        <v>65</v>
      </c>
      <c r="D68">
        <v>20325501.389398653</v>
      </c>
      <c r="E68" s="12">
        <v>144743856433.0408</v>
      </c>
      <c r="F68" s="12">
        <v>-43762406946.879662</v>
      </c>
      <c r="G68" s="12">
        <v>0</v>
      </c>
      <c r="H68" s="12">
        <v>96370650.407266304</v>
      </c>
      <c r="I68" s="12">
        <v>-464247604842.19958</v>
      </c>
      <c r="J68" s="12">
        <v>-179003967439.15433</v>
      </c>
      <c r="K68" s="12">
        <v>20828964088.923889</v>
      </c>
      <c r="L68" s="12"/>
      <c r="M68" s="12"/>
      <c r="N68" s="12"/>
      <c r="O68" s="12"/>
      <c r="P68" s="12">
        <v>14293192.881476909</v>
      </c>
      <c r="Q68" s="12">
        <v>26427414958.471695</v>
      </c>
      <c r="R68" s="12">
        <v>294332969082.88458</v>
      </c>
      <c r="S68" s="12">
        <v>0</v>
      </c>
      <c r="T68" s="12">
        <v>17726786.071371868</v>
      </c>
      <c r="U68" s="12">
        <v>-177174206475.59933</v>
      </c>
      <c r="V68" s="12">
        <v>361832657876.16547</v>
      </c>
      <c r="W68" s="12">
        <v>-597920066.02984643</v>
      </c>
      <c r="X68" s="12"/>
      <c r="Y68" s="12"/>
      <c r="Z68" s="12"/>
      <c r="AA68" s="12"/>
      <c r="AB68" s="12"/>
      <c r="AC68" s="12"/>
      <c r="AD68" s="12"/>
      <c r="AE68" s="12"/>
      <c r="AS68" s="6">
        <v>89574759.091969952</v>
      </c>
      <c r="AT68" s="167">
        <v>20000</v>
      </c>
      <c r="AU68" s="167">
        <v>20000</v>
      </c>
      <c r="AV68" s="167">
        <v>20000</v>
      </c>
      <c r="AW68" s="167">
        <v>20000</v>
      </c>
      <c r="AX68" s="167">
        <v>20000</v>
      </c>
      <c r="AY68" s="167">
        <v>20000</v>
      </c>
      <c r="AZ68" s="167">
        <v>20000</v>
      </c>
      <c r="BA68" s="167">
        <v>20000</v>
      </c>
      <c r="BB68" s="167">
        <v>20000</v>
      </c>
      <c r="BC68" s="167">
        <v>17458.81131471003</v>
      </c>
      <c r="BD68" s="167">
        <v>15752.281510201039</v>
      </c>
      <c r="BE68" s="167">
        <v>15077.165987224951</v>
      </c>
      <c r="BF68" s="167">
        <v>15424.421201790519</v>
      </c>
      <c r="BG68" s="167">
        <v>16586.485533927251</v>
      </c>
      <c r="BH68" s="167">
        <v>18553.232502139148</v>
      </c>
      <c r="BI68" s="167">
        <v>20000</v>
      </c>
      <c r="BJ68" s="167">
        <v>20000</v>
      </c>
      <c r="BK68" s="167">
        <v>20000</v>
      </c>
      <c r="BL68" s="167">
        <v>20000</v>
      </c>
      <c r="BM68" s="167">
        <v>20000</v>
      </c>
      <c r="BN68" s="167">
        <v>20000</v>
      </c>
      <c r="BO68" s="167">
        <v>20000</v>
      </c>
      <c r="BP68" s="167">
        <v>20000</v>
      </c>
      <c r="BQ68" s="167">
        <v>20000</v>
      </c>
      <c r="BR68" s="167">
        <v>20000</v>
      </c>
      <c r="BS68" s="167">
        <v>20000</v>
      </c>
      <c r="BT68" s="167">
        <v>20000</v>
      </c>
      <c r="BU68" s="167">
        <v>20000</v>
      </c>
      <c r="BV68" s="167">
        <v>20000</v>
      </c>
      <c r="BW68" s="167">
        <v>20000</v>
      </c>
      <c r="BX68" s="167">
        <v>20000</v>
      </c>
      <c r="BY68" s="167">
        <v>19535.461569755505</v>
      </c>
      <c r="BZ68" s="167">
        <v>16483.049715116314</v>
      </c>
      <c r="CA68" s="167">
        <v>14571.819866923954</v>
      </c>
      <c r="CB68" s="167">
        <v>13604.505717939475</v>
      </c>
      <c r="CC68" s="167">
        <v>13508.567191997548</v>
      </c>
      <c r="CD68" s="167">
        <v>14464.863826347027</v>
      </c>
      <c r="CE68" s="167">
        <v>16352.213463034786</v>
      </c>
      <c r="CF68" s="167">
        <v>18966.148798330643</v>
      </c>
      <c r="CG68" s="167">
        <v>20000</v>
      </c>
      <c r="CH68" s="167">
        <v>20000</v>
      </c>
      <c r="CI68" s="167">
        <v>20000</v>
      </c>
      <c r="CJ68" s="167">
        <v>20000</v>
      </c>
      <c r="CK68" s="167">
        <v>20000</v>
      </c>
      <c r="CL68" s="167">
        <v>20000</v>
      </c>
      <c r="CM68" s="167">
        <v>20000</v>
      </c>
      <c r="CN68" s="167">
        <v>20000</v>
      </c>
      <c r="CO68" s="167">
        <v>20000</v>
      </c>
      <c r="CP68" s="167">
        <v>20000</v>
      </c>
      <c r="CQ68" s="167">
        <v>20000</v>
      </c>
      <c r="CR68" s="167">
        <v>20000</v>
      </c>
      <c r="CS68" s="167">
        <v>20000</v>
      </c>
      <c r="CT68" s="167">
        <v>20000</v>
      </c>
      <c r="CU68" s="167">
        <v>20000</v>
      </c>
      <c r="CV68" s="167">
        <v>20000</v>
      </c>
      <c r="CW68" s="167">
        <v>19194.437527476446</v>
      </c>
      <c r="CX68" s="167">
        <v>16520.100771176592</v>
      </c>
      <c r="CY68" s="167">
        <v>14902.545962017437</v>
      </c>
      <c r="CZ68" s="167">
        <v>14315.201333423294</v>
      </c>
      <c r="DA68" s="167">
        <v>14686.725903298578</v>
      </c>
      <c r="DB68" s="167">
        <v>15903.375267994972</v>
      </c>
      <c r="DC68" s="167">
        <v>17795.151265730841</v>
      </c>
      <c r="DD68" s="167">
        <v>20000</v>
      </c>
      <c r="DE68" s="167">
        <v>20000</v>
      </c>
      <c r="DF68" s="167">
        <v>20000</v>
      </c>
      <c r="DG68" s="167">
        <v>20000</v>
      </c>
      <c r="DH68" s="167">
        <v>20000</v>
      </c>
      <c r="DI68" s="167">
        <v>20000</v>
      </c>
      <c r="DJ68" s="167">
        <v>20000</v>
      </c>
      <c r="DK68" s="167">
        <v>20000</v>
      </c>
      <c r="DL68" s="167">
        <v>20000</v>
      </c>
      <c r="DM68" s="167">
        <v>20000</v>
      </c>
      <c r="DN68" s="167">
        <v>20000</v>
      </c>
      <c r="DO68" s="167">
        <v>20000</v>
      </c>
      <c r="DP68" s="167">
        <v>20000</v>
      </c>
      <c r="DQ68" s="167">
        <v>20000</v>
      </c>
      <c r="DR68" s="167">
        <v>20000</v>
      </c>
      <c r="DS68" s="167">
        <v>20000</v>
      </c>
      <c r="DT68" s="167">
        <v>20000</v>
      </c>
      <c r="DU68" s="167">
        <v>20000</v>
      </c>
      <c r="DV68" s="167">
        <v>20000</v>
      </c>
      <c r="DW68" s="167">
        <v>20000</v>
      </c>
      <c r="DX68" s="167">
        <v>20000</v>
      </c>
      <c r="DY68" s="167">
        <v>19946.869690089574</v>
      </c>
      <c r="DZ68" s="167">
        <v>19050.587477184894</v>
      </c>
      <c r="EA68" s="167">
        <v>18722.043004595653</v>
      </c>
      <c r="EB68" s="167">
        <v>19152.310716776883</v>
      </c>
      <c r="EC68" s="167">
        <v>20000</v>
      </c>
      <c r="ED68" s="167">
        <v>20000</v>
      </c>
      <c r="EE68" s="167">
        <v>20000</v>
      </c>
      <c r="EF68" s="167">
        <v>20000</v>
      </c>
      <c r="EG68" s="167">
        <v>20000</v>
      </c>
      <c r="EH68" s="167">
        <v>20000</v>
      </c>
      <c r="EI68" s="167">
        <v>20000</v>
      </c>
      <c r="EJ68" s="167">
        <v>20000</v>
      </c>
      <c r="EK68" s="167">
        <v>20000</v>
      </c>
      <c r="EL68" s="167">
        <v>20000</v>
      </c>
      <c r="EM68" s="167">
        <v>20000</v>
      </c>
      <c r="EN68" s="167">
        <v>20000</v>
      </c>
      <c r="EO68" s="167">
        <v>20000</v>
      </c>
      <c r="EP68" t="str">
        <f t="shared" ref="EP68:EP102" si="1">ROUNDDOWN(AS68/$EX$4, 0) &amp; "y " &amp; ROUND(MOD(AS68, $EX$4)/$EX$5, 0) &amp; "d"</f>
        <v>2y 306d</v>
      </c>
    </row>
    <row r="69" spans="2:146" x14ac:dyDescent="0.25">
      <c r="B69" s="65">
        <v>66</v>
      </c>
      <c r="D69">
        <v>20647799.167366687</v>
      </c>
      <c r="E69" s="12">
        <v>147085183723.00034</v>
      </c>
      <c r="F69" s="12">
        <v>-34559099015.71035</v>
      </c>
      <c r="G69" s="12">
        <v>0</v>
      </c>
      <c r="H69" s="12">
        <v>98436376.49518311</v>
      </c>
      <c r="I69" s="12">
        <v>-451682222805.39838</v>
      </c>
      <c r="J69" s="12">
        <v>-207625921351.25507</v>
      </c>
      <c r="K69" s="12">
        <v>21837870235.305988</v>
      </c>
      <c r="L69" s="12"/>
      <c r="M69" s="12"/>
      <c r="N69" s="12"/>
      <c r="O69" s="12"/>
      <c r="P69" s="12">
        <v>14790740.874972489</v>
      </c>
      <c r="Q69" s="12">
        <v>17659523044.44799</v>
      </c>
      <c r="R69" s="12">
        <v>300479471505.04358</v>
      </c>
      <c r="S69" s="12">
        <v>0</v>
      </c>
      <c r="T69" s="12">
        <v>18192694.327248029</v>
      </c>
      <c r="U69" s="12">
        <v>-184234520110.97812</v>
      </c>
      <c r="V69" s="12">
        <v>361751579634.47791</v>
      </c>
      <c r="W69" s="12">
        <v>-608425777.7996608</v>
      </c>
      <c r="X69" s="12"/>
      <c r="Y69" s="12"/>
      <c r="Z69" s="12"/>
      <c r="AA69" s="12"/>
      <c r="AB69" s="12"/>
      <c r="AC69" s="12"/>
      <c r="AD69" s="12"/>
      <c r="AE69" s="12"/>
      <c r="AS69" s="6">
        <v>90762421.634012818</v>
      </c>
      <c r="AT69" s="167">
        <v>20000</v>
      </c>
      <c r="AU69" s="167">
        <v>20000</v>
      </c>
      <c r="AV69" s="167">
        <v>20000</v>
      </c>
      <c r="AW69" s="167">
        <v>20000</v>
      </c>
      <c r="AX69" s="167">
        <v>20000</v>
      </c>
      <c r="AY69" s="167">
        <v>20000</v>
      </c>
      <c r="AZ69" s="167">
        <v>20000</v>
      </c>
      <c r="BA69" s="167">
        <v>20000</v>
      </c>
      <c r="BB69" s="167">
        <v>20000</v>
      </c>
      <c r="BC69" s="167">
        <v>17762.360076338908</v>
      </c>
      <c r="BD69" s="167">
        <v>15927.380653031509</v>
      </c>
      <c r="BE69" s="167">
        <v>15134.746135009864</v>
      </c>
      <c r="BF69" s="167">
        <v>15372.899459544155</v>
      </c>
      <c r="BG69" s="167">
        <v>16432.680946490371</v>
      </c>
      <c r="BH69" s="167">
        <v>18316.968647984213</v>
      </c>
      <c r="BI69" s="167">
        <v>20000</v>
      </c>
      <c r="BJ69" s="167">
        <v>20000</v>
      </c>
      <c r="BK69" s="167">
        <v>20000</v>
      </c>
      <c r="BL69" s="167">
        <v>20000</v>
      </c>
      <c r="BM69" s="167">
        <v>20000</v>
      </c>
      <c r="BN69" s="167">
        <v>20000</v>
      </c>
      <c r="BO69" s="167">
        <v>20000</v>
      </c>
      <c r="BP69" s="167">
        <v>20000</v>
      </c>
      <c r="BQ69" s="167">
        <v>20000</v>
      </c>
      <c r="BR69" s="167">
        <v>20000</v>
      </c>
      <c r="BS69" s="167">
        <v>20000</v>
      </c>
      <c r="BT69" s="167">
        <v>20000</v>
      </c>
      <c r="BU69" s="167">
        <v>20000</v>
      </c>
      <c r="BV69" s="167">
        <v>20000</v>
      </c>
      <c r="BW69" s="167">
        <v>20000</v>
      </c>
      <c r="BX69" s="167">
        <v>20000</v>
      </c>
      <c r="BY69" s="167">
        <v>20000</v>
      </c>
      <c r="BZ69" s="167">
        <v>16836.584279287985</v>
      </c>
      <c r="CA69" s="167">
        <v>14791.690087264989</v>
      </c>
      <c r="CB69" s="167">
        <v>13774.972547818921</v>
      </c>
      <c r="CC69" s="167">
        <v>13577.119981036902</v>
      </c>
      <c r="CD69" s="167">
        <v>14440.407148635448</v>
      </c>
      <c r="CE69" s="167">
        <v>16227.14708909778</v>
      </c>
      <c r="CF69" s="167">
        <v>18762.442297724294</v>
      </c>
      <c r="CG69" s="167">
        <v>20000</v>
      </c>
      <c r="CH69" s="167">
        <v>20000</v>
      </c>
      <c r="CI69" s="167">
        <v>20000</v>
      </c>
      <c r="CJ69" s="167">
        <v>20000</v>
      </c>
      <c r="CK69" s="167">
        <v>20000</v>
      </c>
      <c r="CL69" s="167">
        <v>20000</v>
      </c>
      <c r="CM69" s="167">
        <v>20000</v>
      </c>
      <c r="CN69" s="167">
        <v>20000</v>
      </c>
      <c r="CO69" s="167">
        <v>20000</v>
      </c>
      <c r="CP69" s="167">
        <v>20000</v>
      </c>
      <c r="CQ69" s="167">
        <v>20000</v>
      </c>
      <c r="CR69" s="167">
        <v>20000</v>
      </c>
      <c r="CS69" s="167">
        <v>20000</v>
      </c>
      <c r="CT69" s="167">
        <v>20000</v>
      </c>
      <c r="CU69" s="167">
        <v>20000</v>
      </c>
      <c r="CV69" s="167">
        <v>20000</v>
      </c>
      <c r="CW69" s="167">
        <v>19960.566901456434</v>
      </c>
      <c r="CX69" s="167">
        <v>17104.419806122114</v>
      </c>
      <c r="CY69" s="167">
        <v>15310.540231532281</v>
      </c>
      <c r="CZ69" s="167">
        <v>14549.064816960903</v>
      </c>
      <c r="DA69" s="167">
        <v>14759.198317312752</v>
      </c>
      <c r="DB69" s="167">
        <v>15838.560869985056</v>
      </c>
      <c r="DC69" s="167">
        <v>17633.473401940941</v>
      </c>
      <c r="DD69" s="167">
        <v>20000</v>
      </c>
      <c r="DE69" s="167">
        <v>20000</v>
      </c>
      <c r="DF69" s="167">
        <v>20000</v>
      </c>
      <c r="DG69" s="167">
        <v>20000</v>
      </c>
      <c r="DH69" s="167">
        <v>20000</v>
      </c>
      <c r="DI69" s="167">
        <v>20000</v>
      </c>
      <c r="DJ69" s="167">
        <v>20000</v>
      </c>
      <c r="DK69" s="167">
        <v>20000</v>
      </c>
      <c r="DL69" s="167">
        <v>20000</v>
      </c>
      <c r="DM69" s="167">
        <v>20000</v>
      </c>
      <c r="DN69" s="167">
        <v>20000</v>
      </c>
      <c r="DO69" s="167">
        <v>20000</v>
      </c>
      <c r="DP69" s="167">
        <v>20000</v>
      </c>
      <c r="DQ69" s="167">
        <v>20000</v>
      </c>
      <c r="DR69" s="167">
        <v>20000</v>
      </c>
      <c r="DS69" s="167">
        <v>20000</v>
      </c>
      <c r="DT69" s="167">
        <v>20000</v>
      </c>
      <c r="DU69" s="167">
        <v>20000</v>
      </c>
      <c r="DV69" s="167">
        <v>20000</v>
      </c>
      <c r="DW69" s="167">
        <v>20000</v>
      </c>
      <c r="DX69" s="167">
        <v>20000</v>
      </c>
      <c r="DY69" s="167">
        <v>20000</v>
      </c>
      <c r="DZ69" s="167">
        <v>19342.252759011873</v>
      </c>
      <c r="EA69" s="167">
        <v>18799.132058851115</v>
      </c>
      <c r="EB69" s="167">
        <v>19041.385698561055</v>
      </c>
      <c r="EC69" s="167">
        <v>19984.149119210466</v>
      </c>
      <c r="ED69" s="167">
        <v>20000</v>
      </c>
      <c r="EE69" s="167">
        <v>20000</v>
      </c>
      <c r="EF69" s="167">
        <v>20000</v>
      </c>
      <c r="EG69" s="167">
        <v>20000</v>
      </c>
      <c r="EH69" s="167">
        <v>20000</v>
      </c>
      <c r="EI69" s="167">
        <v>20000</v>
      </c>
      <c r="EJ69" s="167">
        <v>20000</v>
      </c>
      <c r="EK69" s="167">
        <v>20000</v>
      </c>
      <c r="EL69" s="167">
        <v>20000</v>
      </c>
      <c r="EM69" s="167">
        <v>20000</v>
      </c>
      <c r="EN69" s="167">
        <v>20000</v>
      </c>
      <c r="EO69" s="167">
        <v>20000</v>
      </c>
      <c r="EP69" t="str">
        <f t="shared" si="1"/>
        <v>2y 320d</v>
      </c>
    </row>
    <row r="70" spans="2:146" x14ac:dyDescent="0.25">
      <c r="B70" s="65">
        <v>67</v>
      </c>
      <c r="D70">
        <v>20969554.698960036</v>
      </c>
      <c r="E70" s="12">
        <v>148836644711.78073</v>
      </c>
      <c r="F70" s="12">
        <v>-25233600336.483749</v>
      </c>
      <c r="G70" s="12">
        <v>0</v>
      </c>
      <c r="H70" s="12">
        <v>100497457.80751608</v>
      </c>
      <c r="I70" s="12">
        <v>-437077351992.56317</v>
      </c>
      <c r="J70" s="12">
        <v>-235233064219.02356</v>
      </c>
      <c r="K70" s="12">
        <v>22744538342.346291</v>
      </c>
      <c r="L70" s="12"/>
      <c r="M70" s="12"/>
      <c r="N70" s="12"/>
      <c r="O70" s="12"/>
      <c r="P70" s="12">
        <v>15306939.020242263</v>
      </c>
      <c r="Q70" s="12">
        <v>8540541751.7085018</v>
      </c>
      <c r="R70" s="12">
        <v>306474058566.70837</v>
      </c>
      <c r="S70" s="12">
        <v>0</v>
      </c>
      <c r="T70" s="12">
        <v>18665695.823455323</v>
      </c>
      <c r="U70" s="12">
        <v>-191321213519.02509</v>
      </c>
      <c r="V70" s="12">
        <v>361510011648.62689</v>
      </c>
      <c r="W70" s="12">
        <v>-618823578.539325</v>
      </c>
      <c r="X70" s="12"/>
      <c r="Y70" s="12"/>
      <c r="Z70" s="12"/>
      <c r="AA70" s="12"/>
      <c r="AB70" s="12"/>
      <c r="AC70" s="12"/>
      <c r="AD70" s="12"/>
      <c r="AE70" s="12"/>
      <c r="AS70" s="6">
        <v>91950084.176055685</v>
      </c>
      <c r="AT70" s="167">
        <v>20000</v>
      </c>
      <c r="AU70" s="167">
        <v>20000</v>
      </c>
      <c r="AV70" s="167">
        <v>20000</v>
      </c>
      <c r="AW70" s="167">
        <v>20000</v>
      </c>
      <c r="AX70" s="167">
        <v>20000</v>
      </c>
      <c r="AY70" s="167">
        <v>20000</v>
      </c>
      <c r="AZ70" s="167">
        <v>20000</v>
      </c>
      <c r="BA70" s="167">
        <v>20000</v>
      </c>
      <c r="BB70" s="167">
        <v>20000</v>
      </c>
      <c r="BC70" s="167">
        <v>18080.665340201369</v>
      </c>
      <c r="BD70" s="167">
        <v>16116.86067556428</v>
      </c>
      <c r="BE70" s="167">
        <v>15204.714974540049</v>
      </c>
      <c r="BF70" s="167">
        <v>15334.35627705586</v>
      </c>
      <c r="BG70" s="167">
        <v>16290.109886471944</v>
      </c>
      <c r="BH70" s="167">
        <v>18090.209226943207</v>
      </c>
      <c r="BI70" s="167">
        <v>20000</v>
      </c>
      <c r="BJ70" s="167">
        <v>20000</v>
      </c>
      <c r="BK70" s="167">
        <v>20000</v>
      </c>
      <c r="BL70" s="167">
        <v>20000</v>
      </c>
      <c r="BM70" s="167">
        <v>20000</v>
      </c>
      <c r="BN70" s="167">
        <v>20000</v>
      </c>
      <c r="BO70" s="167">
        <v>20000</v>
      </c>
      <c r="BP70" s="167">
        <v>20000</v>
      </c>
      <c r="BQ70" s="167">
        <v>20000</v>
      </c>
      <c r="BR70" s="167">
        <v>20000</v>
      </c>
      <c r="BS70" s="167">
        <v>20000</v>
      </c>
      <c r="BT70" s="167">
        <v>20000</v>
      </c>
      <c r="BU70" s="167">
        <v>20000</v>
      </c>
      <c r="BV70" s="167">
        <v>20000</v>
      </c>
      <c r="BW70" s="167">
        <v>20000</v>
      </c>
      <c r="BX70" s="167">
        <v>20000</v>
      </c>
      <c r="BY70" s="167">
        <v>20000</v>
      </c>
      <c r="BZ70" s="167">
        <v>17207.910451203355</v>
      </c>
      <c r="CA70" s="167">
        <v>15028.985067701093</v>
      </c>
      <c r="CB70" s="167">
        <v>13959.357931406375</v>
      </c>
      <c r="CC70" s="167">
        <v>13657.453106994097</v>
      </c>
      <c r="CD70" s="167">
        <v>14414.880564961371</v>
      </c>
      <c r="CE70" s="167">
        <v>16100.647748630059</v>
      </c>
      <c r="CF70" s="167">
        <v>18562.858712422498</v>
      </c>
      <c r="CG70" s="167">
        <v>20000</v>
      </c>
      <c r="CH70" s="167">
        <v>20000</v>
      </c>
      <c r="CI70" s="167">
        <v>20000</v>
      </c>
      <c r="CJ70" s="167">
        <v>20000</v>
      </c>
      <c r="CK70" s="167">
        <v>20000</v>
      </c>
      <c r="CL70" s="167">
        <v>20000</v>
      </c>
      <c r="CM70" s="167">
        <v>20000</v>
      </c>
      <c r="CN70" s="167">
        <v>20000</v>
      </c>
      <c r="CO70" s="167">
        <v>20000</v>
      </c>
      <c r="CP70" s="167">
        <v>20000</v>
      </c>
      <c r="CQ70" s="167">
        <v>20000</v>
      </c>
      <c r="CR70" s="167">
        <v>20000</v>
      </c>
      <c r="CS70" s="167">
        <v>20000</v>
      </c>
      <c r="CT70" s="167">
        <v>20000</v>
      </c>
      <c r="CU70" s="167">
        <v>20000</v>
      </c>
      <c r="CV70" s="167">
        <v>20000</v>
      </c>
      <c r="CW70" s="167">
        <v>20000</v>
      </c>
      <c r="CX70" s="167">
        <v>17740.571572192384</v>
      </c>
      <c r="CY70" s="167">
        <v>15767.102000328718</v>
      </c>
      <c r="CZ70" s="167">
        <v>14830.924891597046</v>
      </c>
      <c r="DA70" s="167">
        <v>14880.90603838165</v>
      </c>
      <c r="DB70" s="167">
        <v>15824.048799529883</v>
      </c>
      <c r="DC70" s="167">
        <v>17538.764160284183</v>
      </c>
      <c r="DD70" s="167">
        <v>19912.444478308225</v>
      </c>
      <c r="DE70" s="167">
        <v>20000</v>
      </c>
      <c r="DF70" s="167">
        <v>20000</v>
      </c>
      <c r="DG70" s="167">
        <v>20000</v>
      </c>
      <c r="DH70" s="167">
        <v>20000</v>
      </c>
      <c r="DI70" s="167">
        <v>20000</v>
      </c>
      <c r="DJ70" s="167">
        <v>20000</v>
      </c>
      <c r="DK70" s="167">
        <v>20000</v>
      </c>
      <c r="DL70" s="167">
        <v>20000</v>
      </c>
      <c r="DM70" s="167">
        <v>20000</v>
      </c>
      <c r="DN70" s="167">
        <v>20000</v>
      </c>
      <c r="DO70" s="167">
        <v>20000</v>
      </c>
      <c r="DP70" s="167">
        <v>20000</v>
      </c>
      <c r="DQ70" s="167">
        <v>20000</v>
      </c>
      <c r="DR70" s="167">
        <v>20000</v>
      </c>
      <c r="DS70" s="167">
        <v>20000</v>
      </c>
      <c r="DT70" s="167">
        <v>20000</v>
      </c>
      <c r="DU70" s="167">
        <v>20000</v>
      </c>
      <c r="DV70" s="167">
        <v>20000</v>
      </c>
      <c r="DW70" s="167">
        <v>20000</v>
      </c>
      <c r="DX70" s="167">
        <v>20000</v>
      </c>
      <c r="DY70" s="167">
        <v>20000</v>
      </c>
      <c r="DZ70" s="167">
        <v>19576.190104807447</v>
      </c>
      <c r="EA70" s="167">
        <v>18910.205856513228</v>
      </c>
      <c r="EB70" s="167">
        <v>18959.638332832332</v>
      </c>
      <c r="EC70" s="167">
        <v>19740.525565302491</v>
      </c>
      <c r="ED70" s="167">
        <v>20000</v>
      </c>
      <c r="EE70" s="167">
        <v>20000</v>
      </c>
      <c r="EF70" s="167">
        <v>20000</v>
      </c>
      <c r="EG70" s="167">
        <v>20000</v>
      </c>
      <c r="EH70" s="167">
        <v>20000</v>
      </c>
      <c r="EI70" s="167">
        <v>20000</v>
      </c>
      <c r="EJ70" s="167">
        <v>20000</v>
      </c>
      <c r="EK70" s="167">
        <v>20000</v>
      </c>
      <c r="EL70" s="167">
        <v>20000</v>
      </c>
      <c r="EM70" s="167">
        <v>20000</v>
      </c>
      <c r="EN70" s="167">
        <v>20000</v>
      </c>
      <c r="EO70" s="167">
        <v>20000</v>
      </c>
      <c r="EP70" t="str">
        <f t="shared" si="1"/>
        <v>2y 334d</v>
      </c>
    </row>
    <row r="71" spans="2:146" x14ac:dyDescent="0.25">
      <c r="B71" s="65">
        <v>68</v>
      </c>
      <c r="D71">
        <v>21290744.45682564</v>
      </c>
      <c r="E71" s="12">
        <v>149992653456.06079</v>
      </c>
      <c r="F71" s="12">
        <v>-15824063788.965832</v>
      </c>
      <c r="G71" s="12">
        <v>0</v>
      </c>
      <c r="H71" s="12">
        <v>102551304.73599374</v>
      </c>
      <c r="I71" s="12">
        <v>-420526992763.83972</v>
      </c>
      <c r="J71" s="12">
        <v>-261668710959.76962</v>
      </c>
      <c r="K71" s="12">
        <v>23544119751.470615</v>
      </c>
      <c r="L71" s="12"/>
      <c r="M71" s="12"/>
      <c r="N71" s="12"/>
      <c r="O71" s="12"/>
      <c r="P71" s="12">
        <v>15842518.178276397</v>
      </c>
      <c r="Q71" s="12">
        <v>-931848910.12118065</v>
      </c>
      <c r="R71" s="12">
        <v>312296523077.88904</v>
      </c>
      <c r="S71" s="12">
        <v>0</v>
      </c>
      <c r="T71" s="12">
        <v>19145768.150331844</v>
      </c>
      <c r="U71" s="12">
        <v>-198428993514.53259</v>
      </c>
      <c r="V71" s="12">
        <v>361104509574.75989</v>
      </c>
      <c r="W71" s="12">
        <v>-629102371.84508634</v>
      </c>
      <c r="X71" s="12"/>
      <c r="Y71" s="12"/>
      <c r="Z71" s="12"/>
      <c r="AA71" s="12"/>
      <c r="AB71" s="12"/>
      <c r="AC71" s="12"/>
      <c r="AD71" s="12"/>
      <c r="AE71" s="12"/>
      <c r="AS71" s="6">
        <v>93137746.718098551</v>
      </c>
      <c r="AT71" s="167">
        <v>20000</v>
      </c>
      <c r="AU71" s="167">
        <v>20000</v>
      </c>
      <c r="AV71" s="167">
        <v>20000</v>
      </c>
      <c r="AW71" s="167">
        <v>20000</v>
      </c>
      <c r="AX71" s="167">
        <v>20000</v>
      </c>
      <c r="AY71" s="167">
        <v>20000</v>
      </c>
      <c r="AZ71" s="167">
        <v>20000</v>
      </c>
      <c r="BA71" s="167">
        <v>20000</v>
      </c>
      <c r="BB71" s="167">
        <v>20000</v>
      </c>
      <c r="BC71" s="167">
        <v>18413.55375798716</v>
      </c>
      <c r="BD71" s="167">
        <v>16320.484178947394</v>
      </c>
      <c r="BE71" s="167">
        <v>15286.922870070179</v>
      </c>
      <c r="BF71" s="167">
        <v>15308.844036659601</v>
      </c>
      <c r="BG71" s="167">
        <v>16158.850418971249</v>
      </c>
      <c r="BH71" s="167">
        <v>17872.984902312575</v>
      </c>
      <c r="BI71" s="167">
        <v>20000</v>
      </c>
      <c r="BJ71" s="167">
        <v>20000</v>
      </c>
      <c r="BK71" s="167">
        <v>20000</v>
      </c>
      <c r="BL71" s="167">
        <v>20000</v>
      </c>
      <c r="BM71" s="167">
        <v>20000</v>
      </c>
      <c r="BN71" s="167">
        <v>20000</v>
      </c>
      <c r="BO71" s="167">
        <v>20000</v>
      </c>
      <c r="BP71" s="167">
        <v>20000</v>
      </c>
      <c r="BQ71" s="167">
        <v>20000</v>
      </c>
      <c r="BR71" s="167">
        <v>20000</v>
      </c>
      <c r="BS71" s="167">
        <v>20000</v>
      </c>
      <c r="BT71" s="167">
        <v>20000</v>
      </c>
      <c r="BU71" s="167">
        <v>20000</v>
      </c>
      <c r="BV71" s="167">
        <v>20000</v>
      </c>
      <c r="BW71" s="167">
        <v>20000</v>
      </c>
      <c r="BX71" s="167">
        <v>20000</v>
      </c>
      <c r="BY71" s="167">
        <v>20000</v>
      </c>
      <c r="BZ71" s="167">
        <v>17597.980684152812</v>
      </c>
      <c r="CA71" s="167">
        <v>15284.391208520352</v>
      </c>
      <c r="CB71" s="167">
        <v>14158.40040174631</v>
      </c>
      <c r="CC71" s="167">
        <v>13748.789413199464</v>
      </c>
      <c r="CD71" s="167">
        <v>14382.33702501912</v>
      </c>
      <c r="CE71" s="167">
        <v>15980.240272541678</v>
      </c>
      <c r="CF71" s="167">
        <v>18367.64867151442</v>
      </c>
      <c r="CG71" s="167">
        <v>20000</v>
      </c>
      <c r="CH71" s="167">
        <v>20000</v>
      </c>
      <c r="CI71" s="167">
        <v>20000</v>
      </c>
      <c r="CJ71" s="167">
        <v>20000</v>
      </c>
      <c r="CK71" s="167">
        <v>20000</v>
      </c>
      <c r="CL71" s="167">
        <v>20000</v>
      </c>
      <c r="CM71" s="167">
        <v>20000</v>
      </c>
      <c r="CN71" s="167">
        <v>20000</v>
      </c>
      <c r="CO71" s="167">
        <v>20000</v>
      </c>
      <c r="CP71" s="167">
        <v>20000</v>
      </c>
      <c r="CQ71" s="167">
        <v>20000</v>
      </c>
      <c r="CR71" s="167">
        <v>20000</v>
      </c>
      <c r="CS71" s="167">
        <v>20000</v>
      </c>
      <c r="CT71" s="167">
        <v>20000</v>
      </c>
      <c r="CU71" s="167">
        <v>20000</v>
      </c>
      <c r="CV71" s="167">
        <v>20000</v>
      </c>
      <c r="CW71" s="167">
        <v>20000</v>
      </c>
      <c r="CX71" s="167">
        <v>18431.876540202855</v>
      </c>
      <c r="CY71" s="167">
        <v>16274.006163481099</v>
      </c>
      <c r="CZ71" s="167">
        <v>15161.026280500078</v>
      </c>
      <c r="DA71" s="167">
        <v>15049.239326121558</v>
      </c>
      <c r="DB71" s="167">
        <v>15857.704830318633</v>
      </c>
      <c r="DC71" s="167">
        <v>17490.699236957484</v>
      </c>
      <c r="DD71" s="167">
        <v>19752.913785555818</v>
      </c>
      <c r="DE71" s="167">
        <v>20000</v>
      </c>
      <c r="DF71" s="167">
        <v>20000</v>
      </c>
      <c r="DG71" s="167">
        <v>20000</v>
      </c>
      <c r="DH71" s="167">
        <v>20000</v>
      </c>
      <c r="DI71" s="167">
        <v>20000</v>
      </c>
      <c r="DJ71" s="167">
        <v>20000</v>
      </c>
      <c r="DK71" s="167">
        <v>20000</v>
      </c>
      <c r="DL71" s="167">
        <v>20000</v>
      </c>
      <c r="DM71" s="167">
        <v>20000</v>
      </c>
      <c r="DN71" s="167">
        <v>20000</v>
      </c>
      <c r="DO71" s="167">
        <v>20000</v>
      </c>
      <c r="DP71" s="167">
        <v>20000</v>
      </c>
      <c r="DQ71" s="167">
        <v>20000</v>
      </c>
      <c r="DR71" s="167">
        <v>20000</v>
      </c>
      <c r="DS71" s="167">
        <v>20000</v>
      </c>
      <c r="DT71" s="167">
        <v>20000</v>
      </c>
      <c r="DU71" s="167">
        <v>20000</v>
      </c>
      <c r="DV71" s="167">
        <v>20000</v>
      </c>
      <c r="DW71" s="167">
        <v>20000</v>
      </c>
      <c r="DX71" s="167">
        <v>20000</v>
      </c>
      <c r="DY71" s="167">
        <v>20000</v>
      </c>
      <c r="DZ71" s="167">
        <v>19851.856613535369</v>
      </c>
      <c r="EA71" s="167">
        <v>19055.626248377568</v>
      </c>
      <c r="EB71" s="167">
        <v>18907.964404755596</v>
      </c>
      <c r="EC71" s="167">
        <v>19521.920853307911</v>
      </c>
      <c r="ED71" s="167">
        <v>20000</v>
      </c>
      <c r="EE71" s="167">
        <v>20000</v>
      </c>
      <c r="EF71" s="167">
        <v>20000</v>
      </c>
      <c r="EG71" s="167">
        <v>20000</v>
      </c>
      <c r="EH71" s="167">
        <v>20000</v>
      </c>
      <c r="EI71" s="167">
        <v>20000</v>
      </c>
      <c r="EJ71" s="167">
        <v>20000</v>
      </c>
      <c r="EK71" s="167">
        <v>20000</v>
      </c>
      <c r="EL71" s="167">
        <v>20000</v>
      </c>
      <c r="EM71" s="167">
        <v>20000</v>
      </c>
      <c r="EN71" s="167">
        <v>20000</v>
      </c>
      <c r="EO71" s="167">
        <v>20000</v>
      </c>
      <c r="EP71" t="str">
        <f t="shared" si="1"/>
        <v>2y 347d</v>
      </c>
    </row>
    <row r="72" spans="2:146" x14ac:dyDescent="0.25">
      <c r="B72" s="65">
        <v>69</v>
      </c>
      <c r="D72">
        <v>21611347.329469919</v>
      </c>
      <c r="E72" s="12">
        <v>150550131374.32202</v>
      </c>
      <c r="F72" s="12">
        <v>-6368793271.7309294</v>
      </c>
      <c r="G72" s="12">
        <v>0</v>
      </c>
      <c r="H72" s="12">
        <v>104595396.89967604</v>
      </c>
      <c r="I72" s="12">
        <v>-402139242213.53674</v>
      </c>
      <c r="J72" s="12">
        <v>-286786657438.0788</v>
      </c>
      <c r="K72" s="12">
        <v>24232635367.829502</v>
      </c>
      <c r="L72" s="12"/>
      <c r="M72" s="12"/>
      <c r="N72" s="12"/>
      <c r="O72" s="12"/>
      <c r="P72" s="12">
        <v>16398213.685166169</v>
      </c>
      <c r="Q72" s="12">
        <v>-10758753273.73645</v>
      </c>
      <c r="R72" s="12">
        <v>317925411963.63782</v>
      </c>
      <c r="S72" s="12">
        <v>0</v>
      </c>
      <c r="T72" s="12">
        <v>19632879.51203746</v>
      </c>
      <c r="U72" s="12">
        <v>-205552351055.52295</v>
      </c>
      <c r="V72" s="12">
        <v>360531760711.45636</v>
      </c>
      <c r="W72" s="12">
        <v>-639250858.78229833</v>
      </c>
      <c r="X72" s="12"/>
      <c r="Y72" s="12"/>
      <c r="Z72" s="12"/>
      <c r="AA72" s="12"/>
      <c r="AB72" s="12"/>
      <c r="AC72" s="12"/>
      <c r="AD72" s="12"/>
      <c r="AE72" s="12"/>
      <c r="AS72" s="6">
        <v>94325409.260141417</v>
      </c>
      <c r="AT72" s="167">
        <v>20000</v>
      </c>
      <c r="AU72" s="167">
        <v>20000</v>
      </c>
      <c r="AV72" s="167">
        <v>20000</v>
      </c>
      <c r="AW72" s="167">
        <v>20000</v>
      </c>
      <c r="AX72" s="167">
        <v>20000</v>
      </c>
      <c r="AY72" s="167">
        <v>20000</v>
      </c>
      <c r="AZ72" s="167">
        <v>20000</v>
      </c>
      <c r="BA72" s="167">
        <v>20000</v>
      </c>
      <c r="BB72" s="167">
        <v>20000</v>
      </c>
      <c r="BC72" s="167">
        <v>18760.930245975382</v>
      </c>
      <c r="BD72" s="167">
        <v>16538.116406091387</v>
      </c>
      <c r="BE72" s="167">
        <v>15381.358224189138</v>
      </c>
      <c r="BF72" s="167">
        <v>15296.418584520961</v>
      </c>
      <c r="BG72" s="167">
        <v>16038.988902245022</v>
      </c>
      <c r="BH72" s="167">
        <v>17648.548528277977</v>
      </c>
      <c r="BI72" s="167">
        <v>19953.931924027416</v>
      </c>
      <c r="BJ72" s="167">
        <v>20000</v>
      </c>
      <c r="BK72" s="167">
        <v>20000</v>
      </c>
      <c r="BL72" s="167">
        <v>20000</v>
      </c>
      <c r="BM72" s="167">
        <v>20000</v>
      </c>
      <c r="BN72" s="167">
        <v>20000</v>
      </c>
      <c r="BO72" s="167">
        <v>20000</v>
      </c>
      <c r="BP72" s="167">
        <v>20000</v>
      </c>
      <c r="BQ72" s="167">
        <v>20000</v>
      </c>
      <c r="BR72" s="167">
        <v>20000</v>
      </c>
      <c r="BS72" s="167">
        <v>20000</v>
      </c>
      <c r="BT72" s="167">
        <v>20000</v>
      </c>
      <c r="BU72" s="167">
        <v>20000</v>
      </c>
      <c r="BV72" s="167">
        <v>20000</v>
      </c>
      <c r="BW72" s="167">
        <v>20000</v>
      </c>
      <c r="BX72" s="167">
        <v>20000</v>
      </c>
      <c r="BY72" s="167">
        <v>20000</v>
      </c>
      <c r="BZ72" s="167">
        <v>18007.825144106369</v>
      </c>
      <c r="CA72" s="167">
        <v>15558.65945264481</v>
      </c>
      <c r="CB72" s="167">
        <v>14372.891374475881</v>
      </c>
      <c r="CC72" s="167">
        <v>13828.309161894571</v>
      </c>
      <c r="CD72" s="167">
        <v>14358.69474658308</v>
      </c>
      <c r="CE72" s="167">
        <v>15866.354097852105</v>
      </c>
      <c r="CF72" s="167">
        <v>18177.093352369742</v>
      </c>
      <c r="CG72" s="167">
        <v>20000</v>
      </c>
      <c r="CH72" s="167">
        <v>20000</v>
      </c>
      <c r="CI72" s="167">
        <v>20000</v>
      </c>
      <c r="CJ72" s="167">
        <v>20000</v>
      </c>
      <c r="CK72" s="167">
        <v>20000</v>
      </c>
      <c r="CL72" s="167">
        <v>20000</v>
      </c>
      <c r="CM72" s="167">
        <v>20000</v>
      </c>
      <c r="CN72" s="167">
        <v>20000</v>
      </c>
      <c r="CO72" s="167">
        <v>20000</v>
      </c>
      <c r="CP72" s="167">
        <v>20000</v>
      </c>
      <c r="CQ72" s="167">
        <v>20000</v>
      </c>
      <c r="CR72" s="167">
        <v>20000</v>
      </c>
      <c r="CS72" s="167">
        <v>20000</v>
      </c>
      <c r="CT72" s="167">
        <v>20000</v>
      </c>
      <c r="CU72" s="167">
        <v>20000</v>
      </c>
      <c r="CV72" s="167">
        <v>20000</v>
      </c>
      <c r="CW72" s="167">
        <v>20000</v>
      </c>
      <c r="CX72" s="167">
        <v>19182.063073591053</v>
      </c>
      <c r="CY72" s="167">
        <v>16833.43028446969</v>
      </c>
      <c r="CZ72" s="167">
        <v>15539.998528882945</v>
      </c>
      <c r="DA72" s="167">
        <v>15262.884021308479</v>
      </c>
      <c r="DB72" s="167">
        <v>15932.326588432679</v>
      </c>
      <c r="DC72" s="167">
        <v>17465.95761854601</v>
      </c>
      <c r="DD72" s="167">
        <v>19602.171810986078</v>
      </c>
      <c r="DE72" s="167">
        <v>20000</v>
      </c>
      <c r="DF72" s="167">
        <v>20000</v>
      </c>
      <c r="DG72" s="167">
        <v>20000</v>
      </c>
      <c r="DH72" s="167">
        <v>20000</v>
      </c>
      <c r="DI72" s="167">
        <v>20000</v>
      </c>
      <c r="DJ72" s="167">
        <v>20000</v>
      </c>
      <c r="DK72" s="167">
        <v>20000</v>
      </c>
      <c r="DL72" s="167">
        <v>20000</v>
      </c>
      <c r="DM72" s="167">
        <v>20000</v>
      </c>
      <c r="DN72" s="167">
        <v>20000</v>
      </c>
      <c r="DO72" s="167">
        <v>20000</v>
      </c>
      <c r="DP72" s="167">
        <v>20000</v>
      </c>
      <c r="DQ72" s="167">
        <v>20000</v>
      </c>
      <c r="DR72" s="167">
        <v>20000</v>
      </c>
      <c r="DS72" s="167">
        <v>20000</v>
      </c>
      <c r="DT72" s="167">
        <v>20000</v>
      </c>
      <c r="DU72" s="167">
        <v>20000</v>
      </c>
      <c r="DV72" s="167">
        <v>20000</v>
      </c>
      <c r="DW72" s="167">
        <v>20000</v>
      </c>
      <c r="DX72" s="167">
        <v>20000</v>
      </c>
      <c r="DY72" s="167">
        <v>20000</v>
      </c>
      <c r="DZ72" s="167">
        <v>20000</v>
      </c>
      <c r="EA72" s="167">
        <v>19235.480960741104</v>
      </c>
      <c r="EB72" s="167">
        <v>18887.050226077481</v>
      </c>
      <c r="EC72" s="167">
        <v>19329.276258400678</v>
      </c>
      <c r="ED72" s="167">
        <v>20000</v>
      </c>
      <c r="EE72" s="167">
        <v>20000</v>
      </c>
      <c r="EF72" s="167">
        <v>20000</v>
      </c>
      <c r="EG72" s="167">
        <v>20000</v>
      </c>
      <c r="EH72" s="167">
        <v>20000</v>
      </c>
      <c r="EI72" s="167">
        <v>20000</v>
      </c>
      <c r="EJ72" s="167">
        <v>20000</v>
      </c>
      <c r="EK72" s="167">
        <v>20000</v>
      </c>
      <c r="EL72" s="167">
        <v>20000</v>
      </c>
      <c r="EM72" s="167">
        <v>20000</v>
      </c>
      <c r="EN72" s="167">
        <v>20000</v>
      </c>
      <c r="EO72" s="167">
        <v>20000</v>
      </c>
      <c r="EP72" t="str">
        <f t="shared" si="1"/>
        <v>2y 361d</v>
      </c>
    </row>
    <row r="73" spans="2:146" x14ac:dyDescent="0.25">
      <c r="B73" s="65">
        <v>70</v>
      </c>
      <c r="D73">
        <v>21931344.692135796</v>
      </c>
      <c r="E73" s="12">
        <v>150508494829.60446</v>
      </c>
      <c r="F73" s="12">
        <v>3093925459.6830502</v>
      </c>
      <c r="G73" s="12">
        <v>0</v>
      </c>
      <c r="H73" s="12">
        <v>106627306.13711841</v>
      </c>
      <c r="I73" s="12">
        <v>-382034865987.55084</v>
      </c>
      <c r="J73" s="12">
        <v>-310452613463.59412</v>
      </c>
      <c r="K73" s="12">
        <v>24807004799.542885</v>
      </c>
      <c r="L73" s="12"/>
      <c r="M73" s="12"/>
      <c r="N73" s="12"/>
      <c r="O73" s="12"/>
      <c r="P73" s="12">
        <v>16974761.295316819</v>
      </c>
      <c r="Q73" s="12">
        <v>-20939898624.187096</v>
      </c>
      <c r="R73" s="12">
        <v>323338029563.63538</v>
      </c>
      <c r="S73" s="12">
        <v>0</v>
      </c>
      <c r="T73" s="12">
        <v>20126988.388191573</v>
      </c>
      <c r="U73" s="12">
        <v>-212685565955.68674</v>
      </c>
      <c r="V73" s="12">
        <v>359788598435.99591</v>
      </c>
      <c r="W73" s="12">
        <v>-649257558.20985556</v>
      </c>
      <c r="X73" s="12"/>
      <c r="Y73" s="12"/>
      <c r="Z73" s="12"/>
      <c r="AA73" s="12"/>
      <c r="AB73" s="12"/>
      <c r="AC73" s="12"/>
      <c r="AD73" s="12"/>
      <c r="AE73" s="12"/>
      <c r="AS73" s="6">
        <v>95513071.802184284</v>
      </c>
      <c r="AT73" s="167">
        <v>20000</v>
      </c>
      <c r="AU73" s="167">
        <v>20000</v>
      </c>
      <c r="AV73" s="167">
        <v>20000</v>
      </c>
      <c r="AW73" s="167">
        <v>20000</v>
      </c>
      <c r="AX73" s="167">
        <v>20000</v>
      </c>
      <c r="AY73" s="167">
        <v>20000</v>
      </c>
      <c r="AZ73" s="167">
        <v>20000</v>
      </c>
      <c r="BA73" s="167">
        <v>20000</v>
      </c>
      <c r="BB73" s="167">
        <v>20000</v>
      </c>
      <c r="BC73" s="167">
        <v>19122.767380152716</v>
      </c>
      <c r="BD73" s="167">
        <v>16769.700778806189</v>
      </c>
      <c r="BE73" s="167">
        <v>15488.111552941878</v>
      </c>
      <c r="BF73" s="167">
        <v>15297.140308213367</v>
      </c>
      <c r="BG73" s="167">
        <v>15930.623073580093</v>
      </c>
      <c r="BH73" s="167">
        <v>17428.642275416685</v>
      </c>
      <c r="BI73" s="167">
        <v>19667.021940000977</v>
      </c>
      <c r="BJ73" s="167">
        <v>20000</v>
      </c>
      <c r="BK73" s="167">
        <v>20000</v>
      </c>
      <c r="BL73" s="167">
        <v>20000</v>
      </c>
      <c r="BM73" s="167">
        <v>20000</v>
      </c>
      <c r="BN73" s="167">
        <v>20000</v>
      </c>
      <c r="BO73" s="167">
        <v>20000</v>
      </c>
      <c r="BP73" s="167">
        <v>20000</v>
      </c>
      <c r="BQ73" s="167">
        <v>20000</v>
      </c>
      <c r="BR73" s="167">
        <v>20000</v>
      </c>
      <c r="BS73" s="167">
        <v>20000</v>
      </c>
      <c r="BT73" s="167">
        <v>20000</v>
      </c>
      <c r="BU73" s="167">
        <v>20000</v>
      </c>
      <c r="BV73" s="167">
        <v>20000</v>
      </c>
      <c r="BW73" s="167">
        <v>20000</v>
      </c>
      <c r="BX73" s="167">
        <v>20000</v>
      </c>
      <c r="BY73" s="167">
        <v>20000</v>
      </c>
      <c r="BZ73" s="167">
        <v>18438.559603622074</v>
      </c>
      <c r="CA73" s="167">
        <v>15852.610795149089</v>
      </c>
      <c r="CB73" s="167">
        <v>14530.372365701127</v>
      </c>
      <c r="CC73" s="167">
        <v>13919.915893196858</v>
      </c>
      <c r="CD73" s="167">
        <v>14344.577329626003</v>
      </c>
      <c r="CE73" s="167">
        <v>15759.461500765361</v>
      </c>
      <c r="CF73" s="167">
        <v>17991.506577129374</v>
      </c>
      <c r="CG73" s="167">
        <v>20000</v>
      </c>
      <c r="CH73" s="167">
        <v>20000</v>
      </c>
      <c r="CI73" s="167">
        <v>20000</v>
      </c>
      <c r="CJ73" s="167">
        <v>20000</v>
      </c>
      <c r="CK73" s="167">
        <v>20000</v>
      </c>
      <c r="CL73" s="167">
        <v>20000</v>
      </c>
      <c r="CM73" s="167">
        <v>20000</v>
      </c>
      <c r="CN73" s="167">
        <v>20000</v>
      </c>
      <c r="CO73" s="167">
        <v>20000</v>
      </c>
      <c r="CP73" s="167">
        <v>20000</v>
      </c>
      <c r="CQ73" s="167">
        <v>20000</v>
      </c>
      <c r="CR73" s="167">
        <v>20000</v>
      </c>
      <c r="CS73" s="167">
        <v>20000</v>
      </c>
      <c r="CT73" s="167">
        <v>20000</v>
      </c>
      <c r="CU73" s="167">
        <v>20000</v>
      </c>
      <c r="CV73" s="167">
        <v>20000</v>
      </c>
      <c r="CW73" s="167">
        <v>20000</v>
      </c>
      <c r="CX73" s="167">
        <v>19995.281553840861</v>
      </c>
      <c r="CY73" s="167">
        <v>17447.976928643016</v>
      </c>
      <c r="CZ73" s="167">
        <v>15968.883404202556</v>
      </c>
      <c r="DA73" s="167">
        <v>15521.346201980978</v>
      </c>
      <c r="DB73" s="167">
        <v>16044.7374941733</v>
      </c>
      <c r="DC73" s="167">
        <v>17461.257591498572</v>
      </c>
      <c r="DD73" s="167">
        <v>19461.732090492758</v>
      </c>
      <c r="DE73" s="167">
        <v>20000</v>
      </c>
      <c r="DF73" s="167">
        <v>20000</v>
      </c>
      <c r="DG73" s="167">
        <v>20000</v>
      </c>
      <c r="DH73" s="167">
        <v>20000</v>
      </c>
      <c r="DI73" s="167">
        <v>20000</v>
      </c>
      <c r="DJ73" s="167">
        <v>20000</v>
      </c>
      <c r="DK73" s="167">
        <v>20000</v>
      </c>
      <c r="DL73" s="167">
        <v>20000</v>
      </c>
      <c r="DM73" s="167">
        <v>20000</v>
      </c>
      <c r="DN73" s="167">
        <v>20000</v>
      </c>
      <c r="DO73" s="167">
        <v>20000</v>
      </c>
      <c r="DP73" s="167">
        <v>20000</v>
      </c>
      <c r="DQ73" s="167">
        <v>20000</v>
      </c>
      <c r="DR73" s="167">
        <v>20000</v>
      </c>
      <c r="DS73" s="167">
        <v>20000</v>
      </c>
      <c r="DT73" s="167">
        <v>20000</v>
      </c>
      <c r="DU73" s="167">
        <v>20000</v>
      </c>
      <c r="DV73" s="167">
        <v>20000</v>
      </c>
      <c r="DW73" s="167">
        <v>20000</v>
      </c>
      <c r="DX73" s="167">
        <v>20000</v>
      </c>
      <c r="DY73" s="167">
        <v>20000</v>
      </c>
      <c r="DZ73" s="167">
        <v>20000</v>
      </c>
      <c r="EA73" s="167">
        <v>19408.995681982156</v>
      </c>
      <c r="EB73" s="167">
        <v>18897.366507317551</v>
      </c>
      <c r="EC73" s="167">
        <v>19163.409474343545</v>
      </c>
      <c r="ED73" s="167">
        <v>20000</v>
      </c>
      <c r="EE73" s="167">
        <v>20000</v>
      </c>
      <c r="EF73" s="167">
        <v>20000</v>
      </c>
      <c r="EG73" s="167">
        <v>20000</v>
      </c>
      <c r="EH73" s="167">
        <v>20000</v>
      </c>
      <c r="EI73" s="167">
        <v>20000</v>
      </c>
      <c r="EJ73" s="167">
        <v>20000</v>
      </c>
      <c r="EK73" s="167">
        <v>20000</v>
      </c>
      <c r="EL73" s="167">
        <v>20000</v>
      </c>
      <c r="EM73" s="167">
        <v>20000</v>
      </c>
      <c r="EN73" s="167">
        <v>20000</v>
      </c>
      <c r="EO73" s="167">
        <v>20000</v>
      </c>
      <c r="EP73" t="str">
        <f t="shared" si="1"/>
        <v>3y 10d</v>
      </c>
    </row>
    <row r="74" spans="2:146" x14ac:dyDescent="0.25">
      <c r="B74" s="65">
        <v>71</v>
      </c>
      <c r="D74">
        <v>22250720.465183027</v>
      </c>
      <c r="E74" s="12">
        <v>149869630877.98987</v>
      </c>
      <c r="F74" s="12">
        <v>12525990539.255205</v>
      </c>
      <c r="G74" s="12">
        <v>0</v>
      </c>
      <c r="H74" s="12">
        <v>108644717.65112092</v>
      </c>
      <c r="I74" s="12">
        <v>-360345702224.3028</v>
      </c>
      <c r="J74" s="12">
        <v>-332545407889.52448</v>
      </c>
      <c r="K74" s="12">
        <v>25265060297.370949</v>
      </c>
      <c r="L74" s="12"/>
      <c r="M74" s="12"/>
      <c r="N74" s="12"/>
      <c r="O74" s="12"/>
      <c r="P74" s="12">
        <v>17572892.512819234</v>
      </c>
      <c r="Q74" s="12">
        <v>-31473465192.213497</v>
      </c>
      <c r="R74" s="12">
        <v>328510455490.25641</v>
      </c>
      <c r="S74" s="12">
        <v>0</v>
      </c>
      <c r="T74" s="12">
        <v>20628043.212431025</v>
      </c>
      <c r="U74" s="12">
        <v>-219822712674.64737</v>
      </c>
      <c r="V74" s="12">
        <v>358872016827.276</v>
      </c>
      <c r="W74" s="12">
        <v>-659110828.8912766</v>
      </c>
      <c r="X74" s="12"/>
      <c r="Y74" s="12"/>
      <c r="Z74" s="12"/>
      <c r="AA74" s="12"/>
      <c r="AB74" s="12"/>
      <c r="AC74" s="12"/>
      <c r="AD74" s="12"/>
      <c r="AE74" s="12"/>
      <c r="AS74" s="6">
        <v>96700734.34422715</v>
      </c>
      <c r="AT74" s="167">
        <v>20000</v>
      </c>
      <c r="AU74" s="167">
        <v>20000</v>
      </c>
      <c r="AV74" s="167">
        <v>20000</v>
      </c>
      <c r="AW74" s="167">
        <v>20000</v>
      </c>
      <c r="AX74" s="167">
        <v>20000</v>
      </c>
      <c r="AY74" s="167">
        <v>20000</v>
      </c>
      <c r="AZ74" s="167">
        <v>20000</v>
      </c>
      <c r="BA74" s="167">
        <v>20000</v>
      </c>
      <c r="BB74" s="167">
        <v>20000</v>
      </c>
      <c r="BC74" s="167">
        <v>19499.097972443713</v>
      </c>
      <c r="BD74" s="167">
        <v>17015.241764527273</v>
      </c>
      <c r="BE74" s="167">
        <v>15607.34731858052</v>
      </c>
      <c r="BF74" s="167">
        <v>15311.073436229412</v>
      </c>
      <c r="BG74" s="167">
        <v>15821.386159859328</v>
      </c>
      <c r="BH74" s="167">
        <v>17220.270700749668</v>
      </c>
      <c r="BI74" s="167">
        <v>19390.088582821401</v>
      </c>
      <c r="BJ74" s="167">
        <v>20000</v>
      </c>
      <c r="BK74" s="167">
        <v>20000</v>
      </c>
      <c r="BL74" s="167">
        <v>20000</v>
      </c>
      <c r="BM74" s="167">
        <v>20000</v>
      </c>
      <c r="BN74" s="167">
        <v>20000</v>
      </c>
      <c r="BO74" s="167">
        <v>20000</v>
      </c>
      <c r="BP74" s="167">
        <v>20000</v>
      </c>
      <c r="BQ74" s="167">
        <v>20000</v>
      </c>
      <c r="BR74" s="167">
        <v>20000</v>
      </c>
      <c r="BS74" s="167">
        <v>20000</v>
      </c>
      <c r="BT74" s="167">
        <v>20000</v>
      </c>
      <c r="BU74" s="167">
        <v>20000</v>
      </c>
      <c r="BV74" s="167">
        <v>20000</v>
      </c>
      <c r="BW74" s="167">
        <v>20000</v>
      </c>
      <c r="BX74" s="167">
        <v>20000</v>
      </c>
      <c r="BY74" s="167">
        <v>20000</v>
      </c>
      <c r="BZ74" s="167">
        <v>18891.394008028168</v>
      </c>
      <c r="CA74" s="167">
        <v>16167.142901057887</v>
      </c>
      <c r="CB74" s="167">
        <v>14687.438760897894</v>
      </c>
      <c r="CC74" s="167">
        <v>14024.388863080516</v>
      </c>
      <c r="CD74" s="167">
        <v>14340.659767987407</v>
      </c>
      <c r="CE74" s="167">
        <v>15660.081199791981</v>
      </c>
      <c r="CF74" s="167">
        <v>17811.238838569563</v>
      </c>
      <c r="CG74" s="167">
        <v>20000</v>
      </c>
      <c r="CH74" s="167">
        <v>20000</v>
      </c>
      <c r="CI74" s="167">
        <v>20000</v>
      </c>
      <c r="CJ74" s="167">
        <v>20000</v>
      </c>
      <c r="CK74" s="167">
        <v>20000</v>
      </c>
      <c r="CL74" s="167">
        <v>20000</v>
      </c>
      <c r="CM74" s="167">
        <v>20000</v>
      </c>
      <c r="CN74" s="167">
        <v>20000</v>
      </c>
      <c r="CO74" s="167">
        <v>20000</v>
      </c>
      <c r="CP74" s="167">
        <v>20000</v>
      </c>
      <c r="CQ74" s="167">
        <v>20000</v>
      </c>
      <c r="CR74" s="167">
        <v>20000</v>
      </c>
      <c r="CS74" s="167">
        <v>20000</v>
      </c>
      <c r="CT74" s="167">
        <v>20000</v>
      </c>
      <c r="CU74" s="167">
        <v>20000</v>
      </c>
      <c r="CV74" s="167">
        <v>20000</v>
      </c>
      <c r="CW74" s="167">
        <v>20000</v>
      </c>
      <c r="CX74" s="167">
        <v>20000</v>
      </c>
      <c r="CY74" s="167">
        <v>18120.684749654527</v>
      </c>
      <c r="CZ74" s="167">
        <v>16449.178952721093</v>
      </c>
      <c r="DA74" s="167">
        <v>15824.720403345131</v>
      </c>
      <c r="DB74" s="167">
        <v>16193.781831699191</v>
      </c>
      <c r="DC74" s="167">
        <v>17477.732914888657</v>
      </c>
      <c r="DD74" s="167">
        <v>19333.321038198566</v>
      </c>
      <c r="DE74" s="167">
        <v>20000</v>
      </c>
      <c r="DF74" s="167">
        <v>20000</v>
      </c>
      <c r="DG74" s="167">
        <v>20000</v>
      </c>
      <c r="DH74" s="167">
        <v>20000</v>
      </c>
      <c r="DI74" s="167">
        <v>20000</v>
      </c>
      <c r="DJ74" s="167">
        <v>20000</v>
      </c>
      <c r="DK74" s="167">
        <v>20000</v>
      </c>
      <c r="DL74" s="167">
        <v>20000</v>
      </c>
      <c r="DM74" s="167">
        <v>20000</v>
      </c>
      <c r="DN74" s="167">
        <v>20000</v>
      </c>
      <c r="DO74" s="167">
        <v>20000</v>
      </c>
      <c r="DP74" s="167">
        <v>20000</v>
      </c>
      <c r="DQ74" s="167">
        <v>20000</v>
      </c>
      <c r="DR74" s="167">
        <v>20000</v>
      </c>
      <c r="DS74" s="167">
        <v>20000</v>
      </c>
      <c r="DT74" s="167">
        <v>20000</v>
      </c>
      <c r="DU74" s="167">
        <v>20000</v>
      </c>
      <c r="DV74" s="167">
        <v>20000</v>
      </c>
      <c r="DW74" s="167">
        <v>20000</v>
      </c>
      <c r="DX74" s="167">
        <v>20000</v>
      </c>
      <c r="DY74" s="167">
        <v>20000</v>
      </c>
      <c r="DZ74" s="167">
        <v>20000</v>
      </c>
      <c r="EA74" s="167">
        <v>19569.829139024583</v>
      </c>
      <c r="EB74" s="167">
        <v>18939.163054593111</v>
      </c>
      <c r="EC74" s="167">
        <v>19025.000783159107</v>
      </c>
      <c r="ED74" s="167">
        <v>19870.572310743908</v>
      </c>
      <c r="EE74" s="167">
        <v>20000</v>
      </c>
      <c r="EF74" s="167">
        <v>20000</v>
      </c>
      <c r="EG74" s="167">
        <v>20000</v>
      </c>
      <c r="EH74" s="167">
        <v>20000</v>
      </c>
      <c r="EI74" s="167">
        <v>20000</v>
      </c>
      <c r="EJ74" s="167">
        <v>20000</v>
      </c>
      <c r="EK74" s="167">
        <v>20000</v>
      </c>
      <c r="EL74" s="167">
        <v>20000</v>
      </c>
      <c r="EM74" s="167">
        <v>20000</v>
      </c>
      <c r="EN74" s="167">
        <v>20000</v>
      </c>
      <c r="EO74" s="167">
        <v>20000</v>
      </c>
      <c r="EP74" t="str">
        <f t="shared" si="1"/>
        <v>3y 23d</v>
      </c>
    </row>
    <row r="75" spans="2:146" x14ac:dyDescent="0.25">
      <c r="B75" s="65">
        <v>72</v>
      </c>
      <c r="D75">
        <v>22569461.160013307</v>
      </c>
      <c r="E75" s="12">
        <v>148637861734.81952</v>
      </c>
      <c r="F75" s="12">
        <v>21889645461.149532</v>
      </c>
      <c r="G75" s="12">
        <v>0</v>
      </c>
      <c r="H75" s="12">
        <v>110645448.937272</v>
      </c>
      <c r="I75" s="12">
        <v>-337212939309.58154</v>
      </c>
      <c r="J75" s="12">
        <v>-352957946038.55023</v>
      </c>
      <c r="K75" s="12">
        <v>25605545680.725788</v>
      </c>
      <c r="L75" s="12"/>
      <c r="M75" s="12"/>
      <c r="N75" s="12"/>
      <c r="O75" s="12"/>
      <c r="P75" s="12">
        <v>18193329.273774069</v>
      </c>
      <c r="Q75" s="12">
        <v>-42355908755.834549</v>
      </c>
      <c r="R75" s="12">
        <v>333417579326.04932</v>
      </c>
      <c r="S75" s="12">
        <v>0</v>
      </c>
      <c r="T75" s="12">
        <v>21135982.070579078</v>
      </c>
      <c r="U75" s="12">
        <v>-226957667219.62143</v>
      </c>
      <c r="V75" s="12">
        <v>357779185405.771</v>
      </c>
      <c r="W75" s="12">
        <v>-668798893.37878776</v>
      </c>
      <c r="X75" s="12"/>
      <c r="Y75" s="12"/>
      <c r="Z75" s="12"/>
      <c r="AA75" s="12"/>
      <c r="AB75" s="12"/>
      <c r="AC75" s="12"/>
      <c r="AD75" s="12"/>
      <c r="AE75" s="12"/>
      <c r="AS75" s="6">
        <v>97888396.886270016</v>
      </c>
      <c r="AT75" s="167">
        <v>20000</v>
      </c>
      <c r="AU75" s="167">
        <v>20000</v>
      </c>
      <c r="AV75" s="167">
        <v>20000</v>
      </c>
      <c r="AW75" s="167">
        <v>20000</v>
      </c>
      <c r="AX75" s="167">
        <v>20000</v>
      </c>
      <c r="AY75" s="167">
        <v>20000</v>
      </c>
      <c r="AZ75" s="167">
        <v>20000</v>
      </c>
      <c r="BA75" s="167">
        <v>20000</v>
      </c>
      <c r="BB75" s="167">
        <v>20000</v>
      </c>
      <c r="BC75" s="167">
        <v>19890.009997608198</v>
      </c>
      <c r="BD75" s="167">
        <v>17274.79331451884</v>
      </c>
      <c r="BE75" s="167">
        <v>15739.281874870838</v>
      </c>
      <c r="BF75" s="167">
        <v>15338.290358311868</v>
      </c>
      <c r="BG75" s="167">
        <v>15714.328034470484</v>
      </c>
      <c r="BH75" s="167">
        <v>17023.497248398489</v>
      </c>
      <c r="BI75" s="167">
        <v>19123.118931480662</v>
      </c>
      <c r="BJ75" s="167">
        <v>20000</v>
      </c>
      <c r="BK75" s="167">
        <v>20000</v>
      </c>
      <c r="BL75" s="167">
        <v>20000</v>
      </c>
      <c r="BM75" s="167">
        <v>20000</v>
      </c>
      <c r="BN75" s="167">
        <v>20000</v>
      </c>
      <c r="BO75" s="167">
        <v>20000</v>
      </c>
      <c r="BP75" s="167">
        <v>20000</v>
      </c>
      <c r="BQ75" s="167">
        <v>20000</v>
      </c>
      <c r="BR75" s="167">
        <v>20000</v>
      </c>
      <c r="BS75" s="167">
        <v>20000</v>
      </c>
      <c r="BT75" s="167">
        <v>20000</v>
      </c>
      <c r="BU75" s="167">
        <v>20000</v>
      </c>
      <c r="BV75" s="167">
        <v>20000</v>
      </c>
      <c r="BW75" s="167">
        <v>20000</v>
      </c>
      <c r="BX75" s="167">
        <v>20000</v>
      </c>
      <c r="BY75" s="167">
        <v>20000</v>
      </c>
      <c r="BZ75" s="167">
        <v>19367.641776353445</v>
      </c>
      <c r="CA75" s="167">
        <v>16503.2377523877</v>
      </c>
      <c r="CB75" s="167">
        <v>14866.644953541469</v>
      </c>
      <c r="CC75" s="167">
        <v>14142.564088778403</v>
      </c>
      <c r="CD75" s="167">
        <v>14347.672496103929</v>
      </c>
      <c r="CE75" s="167">
        <v>15568.782807869744</v>
      </c>
      <c r="CF75" s="167">
        <v>17636.680946068715</v>
      </c>
      <c r="CG75" s="167">
        <v>20000</v>
      </c>
      <c r="CH75" s="167">
        <v>20000</v>
      </c>
      <c r="CI75" s="167">
        <v>20000</v>
      </c>
      <c r="CJ75" s="167">
        <v>20000</v>
      </c>
      <c r="CK75" s="167">
        <v>20000</v>
      </c>
      <c r="CL75" s="167">
        <v>20000</v>
      </c>
      <c r="CM75" s="167">
        <v>20000</v>
      </c>
      <c r="CN75" s="167">
        <v>20000</v>
      </c>
      <c r="CO75" s="167">
        <v>20000</v>
      </c>
      <c r="CP75" s="167">
        <v>20000</v>
      </c>
      <c r="CQ75" s="167">
        <v>20000</v>
      </c>
      <c r="CR75" s="167">
        <v>20000</v>
      </c>
      <c r="CS75" s="167">
        <v>20000</v>
      </c>
      <c r="CT75" s="167">
        <v>20000</v>
      </c>
      <c r="CU75" s="167">
        <v>20000</v>
      </c>
      <c r="CV75" s="167">
        <v>20000</v>
      </c>
      <c r="CW75" s="167">
        <v>20000</v>
      </c>
      <c r="CX75" s="167">
        <v>20000</v>
      </c>
      <c r="CY75" s="167">
        <v>18855.028277688652</v>
      </c>
      <c r="CZ75" s="167">
        <v>16982.873757509187</v>
      </c>
      <c r="DA75" s="167">
        <v>16173.623622361269</v>
      </c>
      <c r="DB75" s="167">
        <v>16379.31699576762</v>
      </c>
      <c r="DC75" s="167">
        <v>17504.206425127679</v>
      </c>
      <c r="DD75" s="167">
        <v>19218.893458880069</v>
      </c>
      <c r="DE75" s="167">
        <v>20000</v>
      </c>
      <c r="DF75" s="167">
        <v>20000</v>
      </c>
      <c r="DG75" s="167">
        <v>20000</v>
      </c>
      <c r="DH75" s="167">
        <v>20000</v>
      </c>
      <c r="DI75" s="167">
        <v>20000</v>
      </c>
      <c r="DJ75" s="167">
        <v>20000</v>
      </c>
      <c r="DK75" s="167">
        <v>20000</v>
      </c>
      <c r="DL75" s="167">
        <v>20000</v>
      </c>
      <c r="DM75" s="167">
        <v>20000</v>
      </c>
      <c r="DN75" s="167">
        <v>20000</v>
      </c>
      <c r="DO75" s="167">
        <v>20000</v>
      </c>
      <c r="DP75" s="167">
        <v>20000</v>
      </c>
      <c r="DQ75" s="167">
        <v>20000</v>
      </c>
      <c r="DR75" s="167">
        <v>20000</v>
      </c>
      <c r="DS75" s="167">
        <v>20000</v>
      </c>
      <c r="DT75" s="167">
        <v>20000</v>
      </c>
      <c r="DU75" s="167">
        <v>20000</v>
      </c>
      <c r="DV75" s="167">
        <v>20000</v>
      </c>
      <c r="DW75" s="167">
        <v>20000</v>
      </c>
      <c r="DX75" s="167">
        <v>20000</v>
      </c>
      <c r="DY75" s="167">
        <v>20000</v>
      </c>
      <c r="DZ75" s="167">
        <v>20000</v>
      </c>
      <c r="EA75" s="167">
        <v>19782.418069134583</v>
      </c>
      <c r="EB75" s="167">
        <v>19012.47785010302</v>
      </c>
      <c r="EC75" s="167">
        <v>18914.586214440376</v>
      </c>
      <c r="ED75" s="167">
        <v>19607.192297215079</v>
      </c>
      <c r="EE75" s="167">
        <v>20000</v>
      </c>
      <c r="EF75" s="167">
        <v>20000</v>
      </c>
      <c r="EG75" s="167">
        <v>20000</v>
      </c>
      <c r="EH75" s="167">
        <v>20000</v>
      </c>
      <c r="EI75" s="167">
        <v>20000</v>
      </c>
      <c r="EJ75" s="167">
        <v>20000</v>
      </c>
      <c r="EK75" s="167">
        <v>20000</v>
      </c>
      <c r="EL75" s="167">
        <v>20000</v>
      </c>
      <c r="EM75" s="167">
        <v>20000</v>
      </c>
      <c r="EN75" s="167">
        <v>20000</v>
      </c>
      <c r="EO75" s="167">
        <v>20000</v>
      </c>
      <c r="EP75" t="str">
        <f t="shared" si="1"/>
        <v>3y 37d</v>
      </c>
    </row>
    <row r="76" spans="2:146" x14ac:dyDescent="0.25">
      <c r="B76" s="65">
        <v>73</v>
      </c>
      <c r="D76">
        <v>22887555.912666447</v>
      </c>
      <c r="E76" s="12">
        <v>146819898573.80087</v>
      </c>
      <c r="F76" s="12">
        <v>31147635493.487907</v>
      </c>
      <c r="G76" s="12">
        <v>0</v>
      </c>
      <c r="H76" s="12">
        <v>112627466.20412587</v>
      </c>
      <c r="I76" s="12">
        <v>-312785311229.02106</v>
      </c>
      <c r="J76" s="12">
        <v>-371597907954.66919</v>
      </c>
      <c r="K76" s="12">
        <v>25828100880.638092</v>
      </c>
      <c r="L76" s="12"/>
      <c r="M76" s="12"/>
      <c r="N76" s="12"/>
      <c r="O76" s="12"/>
      <c r="P76" s="12">
        <v>18836777.948389467</v>
      </c>
      <c r="Q76" s="12">
        <v>-53581777487.111366</v>
      </c>
      <c r="R76" s="12">
        <v>338033154533.88055</v>
      </c>
      <c r="S76" s="12">
        <v>0</v>
      </c>
      <c r="T76" s="12">
        <v>21650732.421163637</v>
      </c>
      <c r="U76" s="12">
        <v>-234084115186.17035</v>
      </c>
      <c r="V76" s="12">
        <v>356507463915.22729</v>
      </c>
      <c r="W76" s="12">
        <v>-678309863.64273155</v>
      </c>
      <c r="X76" s="12"/>
      <c r="Y76" s="12"/>
      <c r="Z76" s="12"/>
      <c r="AA76" s="12"/>
      <c r="AB76" s="12"/>
      <c r="AC76" s="12"/>
      <c r="AD76" s="12"/>
      <c r="AE76" s="12"/>
      <c r="AS76" s="6">
        <v>99076059.428312883</v>
      </c>
      <c r="AT76" s="167">
        <v>20000</v>
      </c>
      <c r="AU76" s="167">
        <v>20000</v>
      </c>
      <c r="AV76" s="167">
        <v>20000</v>
      </c>
      <c r="AW76" s="167">
        <v>20000</v>
      </c>
      <c r="AX76" s="167">
        <v>20000</v>
      </c>
      <c r="AY76" s="167">
        <v>20000</v>
      </c>
      <c r="AZ76" s="167">
        <v>20000</v>
      </c>
      <c r="BA76" s="167">
        <v>20000</v>
      </c>
      <c r="BB76" s="167">
        <v>20000</v>
      </c>
      <c r="BC76" s="167">
        <v>20000</v>
      </c>
      <c r="BD76" s="167">
        <v>17548.451471940374</v>
      </c>
      <c r="BE76" s="167">
        <v>15884.166630980741</v>
      </c>
      <c r="BF76" s="167">
        <v>15356.344568600918</v>
      </c>
      <c r="BG76" s="167">
        <v>15620.891711020848</v>
      </c>
      <c r="BH76" s="167">
        <v>16838.402243131248</v>
      </c>
      <c r="BI76" s="167">
        <v>18866.117756854637</v>
      </c>
      <c r="BJ76" s="167">
        <v>20000</v>
      </c>
      <c r="BK76" s="167">
        <v>20000</v>
      </c>
      <c r="BL76" s="167">
        <v>20000</v>
      </c>
      <c r="BM76" s="167">
        <v>20000</v>
      </c>
      <c r="BN76" s="167">
        <v>20000</v>
      </c>
      <c r="BO76" s="167">
        <v>20000</v>
      </c>
      <c r="BP76" s="167">
        <v>20000</v>
      </c>
      <c r="BQ76" s="167">
        <v>20000</v>
      </c>
      <c r="BR76" s="167">
        <v>20000</v>
      </c>
      <c r="BS76" s="167">
        <v>20000</v>
      </c>
      <c r="BT76" s="167">
        <v>20000</v>
      </c>
      <c r="BU76" s="167">
        <v>20000</v>
      </c>
      <c r="BV76" s="167">
        <v>20000</v>
      </c>
      <c r="BW76" s="167">
        <v>20000</v>
      </c>
      <c r="BX76" s="167">
        <v>20000</v>
      </c>
      <c r="BY76" s="167">
        <v>20000</v>
      </c>
      <c r="BZ76" s="167">
        <v>19868.729899238238</v>
      </c>
      <c r="CA76" s="167">
        <v>16861.970285899646</v>
      </c>
      <c r="CB76" s="167">
        <v>15068.782750389126</v>
      </c>
      <c r="CC76" s="167">
        <v>14275.338921585942</v>
      </c>
      <c r="CD76" s="167">
        <v>14366.405737288176</v>
      </c>
      <c r="CE76" s="167">
        <v>15486.191572402535</v>
      </c>
      <c r="CF76" s="167">
        <v>17468.268531631154</v>
      </c>
      <c r="CG76" s="167">
        <v>20000</v>
      </c>
      <c r="CH76" s="167">
        <v>20000</v>
      </c>
      <c r="CI76" s="167">
        <v>20000</v>
      </c>
      <c r="CJ76" s="167">
        <v>20000</v>
      </c>
      <c r="CK76" s="167">
        <v>20000</v>
      </c>
      <c r="CL76" s="167">
        <v>20000</v>
      </c>
      <c r="CM76" s="167">
        <v>20000</v>
      </c>
      <c r="CN76" s="167">
        <v>20000</v>
      </c>
      <c r="CO76" s="167">
        <v>20000</v>
      </c>
      <c r="CP76" s="167">
        <v>20000</v>
      </c>
      <c r="CQ76" s="167">
        <v>20000</v>
      </c>
      <c r="CR76" s="167">
        <v>20000</v>
      </c>
      <c r="CS76" s="167">
        <v>20000</v>
      </c>
      <c r="CT76" s="167">
        <v>20000</v>
      </c>
      <c r="CU76" s="167">
        <v>20000</v>
      </c>
      <c r="CV76" s="167">
        <v>20000</v>
      </c>
      <c r="CW76" s="167">
        <v>20000</v>
      </c>
      <c r="CX76" s="167">
        <v>20000</v>
      </c>
      <c r="CY76" s="167">
        <v>19654.907401139793</v>
      </c>
      <c r="CZ76" s="167">
        <v>17572.456039095199</v>
      </c>
      <c r="DA76" s="167">
        <v>16569.221804576206</v>
      </c>
      <c r="DB76" s="167">
        <v>16601.73557437722</v>
      </c>
      <c r="DC76" s="167">
        <v>17554.42197314847</v>
      </c>
      <c r="DD76" s="167">
        <v>19120.644348330217</v>
      </c>
      <c r="DE76" s="167">
        <v>20000</v>
      </c>
      <c r="DF76" s="167">
        <v>20000</v>
      </c>
      <c r="DG76" s="167">
        <v>20000</v>
      </c>
      <c r="DH76" s="167">
        <v>20000</v>
      </c>
      <c r="DI76" s="167">
        <v>20000</v>
      </c>
      <c r="DJ76" s="167">
        <v>20000</v>
      </c>
      <c r="DK76" s="167">
        <v>20000</v>
      </c>
      <c r="DL76" s="167">
        <v>20000</v>
      </c>
      <c r="DM76" s="167">
        <v>20000</v>
      </c>
      <c r="DN76" s="167">
        <v>20000</v>
      </c>
      <c r="DO76" s="167">
        <v>20000</v>
      </c>
      <c r="DP76" s="167">
        <v>20000</v>
      </c>
      <c r="DQ76" s="167">
        <v>20000</v>
      </c>
      <c r="DR76" s="167">
        <v>20000</v>
      </c>
      <c r="DS76" s="167">
        <v>20000</v>
      </c>
      <c r="DT76" s="167">
        <v>20000</v>
      </c>
      <c r="DU76" s="167">
        <v>20000</v>
      </c>
      <c r="DV76" s="167">
        <v>20000</v>
      </c>
      <c r="DW76" s="167">
        <v>20000</v>
      </c>
      <c r="DX76" s="167">
        <v>20000</v>
      </c>
      <c r="DY76" s="167">
        <v>20000</v>
      </c>
      <c r="DZ76" s="167">
        <v>20000</v>
      </c>
      <c r="EA76" s="167">
        <v>20000</v>
      </c>
      <c r="EB76" s="167">
        <v>19104.159239728579</v>
      </c>
      <c r="EC76" s="167">
        <v>18832.548196175416</v>
      </c>
      <c r="ED76" s="167">
        <v>19368.006659743758</v>
      </c>
      <c r="EE76" s="167">
        <v>20000</v>
      </c>
      <c r="EF76" s="167">
        <v>20000</v>
      </c>
      <c r="EG76" s="167">
        <v>20000</v>
      </c>
      <c r="EH76" s="167">
        <v>20000</v>
      </c>
      <c r="EI76" s="167">
        <v>20000</v>
      </c>
      <c r="EJ76" s="167">
        <v>20000</v>
      </c>
      <c r="EK76" s="167">
        <v>20000</v>
      </c>
      <c r="EL76" s="167">
        <v>20000</v>
      </c>
      <c r="EM76" s="167">
        <v>20000</v>
      </c>
      <c r="EN76" s="167">
        <v>20000</v>
      </c>
      <c r="EO76" s="167">
        <v>20000</v>
      </c>
      <c r="EP76" t="str">
        <f t="shared" si="1"/>
        <v>3y 51d</v>
      </c>
    </row>
    <row r="77" spans="2:146" x14ac:dyDescent="0.25">
      <c r="B77" s="65">
        <v>74</v>
      </c>
      <c r="D77">
        <v>23204996.505293794</v>
      </c>
      <c r="E77" s="12">
        <v>144424785326.29065</v>
      </c>
      <c r="F77" s="12">
        <v>40263358337.680252</v>
      </c>
      <c r="G77" s="12">
        <v>0</v>
      </c>
      <c r="H77" s="12">
        <v>114588898.07616736</v>
      </c>
      <c r="I77" s="12">
        <v>-287217254611.59827</v>
      </c>
      <c r="J77" s="12">
        <v>-388388184277.4743</v>
      </c>
      <c r="K77" s="12">
        <v>25933233128.51004</v>
      </c>
      <c r="L77" s="12"/>
      <c r="M77" s="12"/>
      <c r="N77" s="12"/>
      <c r="O77" s="12"/>
      <c r="P77" s="12">
        <v>19503922.639953133</v>
      </c>
      <c r="Q77" s="12">
        <v>-65143525140.520668</v>
      </c>
      <c r="R77" s="12">
        <v>342329873997.86829</v>
      </c>
      <c r="S77" s="12">
        <v>0</v>
      </c>
      <c r="T77" s="12">
        <v>22172210.841047976</v>
      </c>
      <c r="U77" s="12">
        <v>-241195560958.97803</v>
      </c>
      <c r="V77" s="12">
        <v>355054417065.41278</v>
      </c>
      <c r="W77" s="12">
        <v>-687631768.40354586</v>
      </c>
      <c r="X77" s="12"/>
      <c r="Y77" s="12"/>
      <c r="Z77" s="12"/>
      <c r="AA77" s="12"/>
      <c r="AB77" s="12"/>
      <c r="AC77" s="12"/>
      <c r="AD77" s="12"/>
      <c r="AE77" s="12"/>
      <c r="AS77" s="6">
        <v>100263721.97035575</v>
      </c>
      <c r="AT77" s="167">
        <v>20000</v>
      </c>
      <c r="AU77" s="167">
        <v>20000</v>
      </c>
      <c r="AV77" s="167">
        <v>20000</v>
      </c>
      <c r="AW77" s="167">
        <v>20000</v>
      </c>
      <c r="AX77" s="167">
        <v>20000</v>
      </c>
      <c r="AY77" s="167">
        <v>20000</v>
      </c>
      <c r="AZ77" s="167">
        <v>20000</v>
      </c>
      <c r="BA77" s="167">
        <v>20000</v>
      </c>
      <c r="BB77" s="167">
        <v>20000</v>
      </c>
      <c r="BC77" s="167">
        <v>20000</v>
      </c>
      <c r="BD77" s="167">
        <v>17836.350051412272</v>
      </c>
      <c r="BE77" s="167">
        <v>16042.275800366213</v>
      </c>
      <c r="BF77" s="167">
        <v>15388.201611381648</v>
      </c>
      <c r="BG77" s="167">
        <v>15541.204748108505</v>
      </c>
      <c r="BH77" s="167">
        <v>16665.085226658182</v>
      </c>
      <c r="BI77" s="167">
        <v>18619.108121054825</v>
      </c>
      <c r="BJ77" s="167">
        <v>20000</v>
      </c>
      <c r="BK77" s="167">
        <v>20000</v>
      </c>
      <c r="BL77" s="167">
        <v>20000</v>
      </c>
      <c r="BM77" s="167">
        <v>20000</v>
      </c>
      <c r="BN77" s="167">
        <v>20000</v>
      </c>
      <c r="BO77" s="167">
        <v>20000</v>
      </c>
      <c r="BP77" s="167">
        <v>20000</v>
      </c>
      <c r="BQ77" s="167">
        <v>20000</v>
      </c>
      <c r="BR77" s="167">
        <v>20000</v>
      </c>
      <c r="BS77" s="167">
        <v>20000</v>
      </c>
      <c r="BT77" s="167">
        <v>20000</v>
      </c>
      <c r="BU77" s="167">
        <v>20000</v>
      </c>
      <c r="BV77" s="167">
        <v>20000</v>
      </c>
      <c r="BW77" s="167">
        <v>20000</v>
      </c>
      <c r="BX77" s="167">
        <v>20000</v>
      </c>
      <c r="BY77" s="167">
        <v>20000</v>
      </c>
      <c r="BZ77" s="167">
        <v>20000</v>
      </c>
      <c r="CA77" s="167">
        <v>17244.51801707879</v>
      </c>
      <c r="CB77" s="167">
        <v>15294.727355000512</v>
      </c>
      <c r="CC77" s="167">
        <v>14423.677444000517</v>
      </c>
      <c r="CD77" s="167">
        <v>14397.714775566372</v>
      </c>
      <c r="CE77" s="167">
        <v>15412.993634793856</v>
      </c>
      <c r="CF77" s="167">
        <v>17306.486805583223</v>
      </c>
      <c r="CG77" s="167">
        <v>19885.750954346368</v>
      </c>
      <c r="CH77" s="167">
        <v>20000</v>
      </c>
      <c r="CI77" s="167">
        <v>20000</v>
      </c>
      <c r="CJ77" s="167">
        <v>20000</v>
      </c>
      <c r="CK77" s="167">
        <v>20000</v>
      </c>
      <c r="CL77" s="167">
        <v>20000</v>
      </c>
      <c r="CM77" s="167">
        <v>20000</v>
      </c>
      <c r="CN77" s="167">
        <v>20000</v>
      </c>
      <c r="CO77" s="167">
        <v>20000</v>
      </c>
      <c r="CP77" s="167">
        <v>20000</v>
      </c>
      <c r="CQ77" s="167">
        <v>20000</v>
      </c>
      <c r="CR77" s="167">
        <v>20000</v>
      </c>
      <c r="CS77" s="167">
        <v>20000</v>
      </c>
      <c r="CT77" s="167">
        <v>20000</v>
      </c>
      <c r="CU77" s="167">
        <v>20000</v>
      </c>
      <c r="CV77" s="167">
        <v>20000</v>
      </c>
      <c r="CW77" s="167">
        <v>20000</v>
      </c>
      <c r="CX77" s="167">
        <v>20000</v>
      </c>
      <c r="CY77" s="167">
        <v>20000</v>
      </c>
      <c r="CZ77" s="167">
        <v>18220.893357788802</v>
      </c>
      <c r="DA77" s="167">
        <v>17013.278975224406</v>
      </c>
      <c r="DB77" s="167">
        <v>16861.813389270777</v>
      </c>
      <c r="DC77" s="167">
        <v>17632.309399337468</v>
      </c>
      <c r="DD77" s="167">
        <v>19041.016950426674</v>
      </c>
      <c r="DE77" s="167">
        <v>20000</v>
      </c>
      <c r="DF77" s="167">
        <v>20000</v>
      </c>
      <c r="DG77" s="167">
        <v>20000</v>
      </c>
      <c r="DH77" s="167">
        <v>20000</v>
      </c>
      <c r="DI77" s="167">
        <v>20000</v>
      </c>
      <c r="DJ77" s="167">
        <v>20000</v>
      </c>
      <c r="DK77" s="167">
        <v>20000</v>
      </c>
      <c r="DL77" s="167">
        <v>20000</v>
      </c>
      <c r="DM77" s="167">
        <v>20000</v>
      </c>
      <c r="DN77" s="167">
        <v>20000</v>
      </c>
      <c r="DO77" s="167">
        <v>20000</v>
      </c>
      <c r="DP77" s="167">
        <v>20000</v>
      </c>
      <c r="DQ77" s="167">
        <v>20000</v>
      </c>
      <c r="DR77" s="167">
        <v>20000</v>
      </c>
      <c r="DS77" s="167">
        <v>20000</v>
      </c>
      <c r="DT77" s="167">
        <v>20000</v>
      </c>
      <c r="DU77" s="167">
        <v>20000</v>
      </c>
      <c r="DV77" s="167">
        <v>20000</v>
      </c>
      <c r="DW77" s="167">
        <v>20000</v>
      </c>
      <c r="DX77" s="167">
        <v>20000</v>
      </c>
      <c r="DY77" s="167">
        <v>20000</v>
      </c>
      <c r="DZ77" s="167">
        <v>20000</v>
      </c>
      <c r="EA77" s="167">
        <v>20000</v>
      </c>
      <c r="EB77" s="167">
        <v>19164.248856507402</v>
      </c>
      <c r="EC77" s="167">
        <v>18779.11367657872</v>
      </c>
      <c r="ED77" s="167">
        <v>19153.530171959264</v>
      </c>
      <c r="EE77" s="167">
        <v>20000</v>
      </c>
      <c r="EF77" s="167">
        <v>20000</v>
      </c>
      <c r="EG77" s="167">
        <v>20000</v>
      </c>
      <c r="EH77" s="167">
        <v>20000</v>
      </c>
      <c r="EI77" s="167">
        <v>20000</v>
      </c>
      <c r="EJ77" s="167">
        <v>20000</v>
      </c>
      <c r="EK77" s="167">
        <v>20000</v>
      </c>
      <c r="EL77" s="167">
        <v>20000</v>
      </c>
      <c r="EM77" s="167">
        <v>20000</v>
      </c>
      <c r="EN77" s="167">
        <v>20000</v>
      </c>
      <c r="EO77" s="167">
        <v>20000</v>
      </c>
      <c r="EP77" t="str">
        <f t="shared" si="1"/>
        <v>3y 65d</v>
      </c>
    </row>
    <row r="78" spans="2:146" x14ac:dyDescent="0.25">
      <c r="B78" s="65">
        <v>75</v>
      </c>
      <c r="D78">
        <v>23521777.375785794</v>
      </c>
      <c r="E78" s="12">
        <v>141463833189.06046</v>
      </c>
      <c r="F78" s="12">
        <v>49201008421.904915</v>
      </c>
      <c r="G78" s="12">
        <v>0</v>
      </c>
      <c r="H78" s="12">
        <v>116528046.45656483</v>
      </c>
      <c r="I78" s="12">
        <v>-260667070176.80844</v>
      </c>
      <c r="J78" s="12">
        <v>-403267054464.82269</v>
      </c>
      <c r="K78" s="12">
        <v>25922276155.174088</v>
      </c>
      <c r="L78" s="12"/>
      <c r="M78" s="12"/>
      <c r="N78" s="12"/>
      <c r="O78" s="12"/>
      <c r="P78" s="12">
        <v>20195417.768593721</v>
      </c>
      <c r="Q78" s="12">
        <v>-77031323181.300369</v>
      </c>
      <c r="R78" s="12">
        <v>346279469596.6073</v>
      </c>
      <c r="S78" s="12">
        <v>0</v>
      </c>
      <c r="T78" s="12">
        <v>22700322.798939157</v>
      </c>
      <c r="U78" s="12">
        <v>-248285338086.31128</v>
      </c>
      <c r="V78" s="12">
        <v>353417829150.19781</v>
      </c>
      <c r="W78" s="12">
        <v>-696752582.1080265</v>
      </c>
      <c r="X78" s="12"/>
      <c r="Y78" s="12"/>
      <c r="Z78" s="12"/>
      <c r="AA78" s="12"/>
      <c r="AB78" s="12"/>
      <c r="AC78" s="12"/>
      <c r="AD78" s="12"/>
      <c r="AE78" s="12"/>
      <c r="AS78" s="6">
        <v>101451384.51239862</v>
      </c>
      <c r="AT78" s="167">
        <v>20000</v>
      </c>
      <c r="AU78" s="167">
        <v>20000</v>
      </c>
      <c r="AV78" s="167">
        <v>20000</v>
      </c>
      <c r="AW78" s="167">
        <v>20000</v>
      </c>
      <c r="AX78" s="167">
        <v>20000</v>
      </c>
      <c r="AY78" s="167">
        <v>20000</v>
      </c>
      <c r="AZ78" s="167">
        <v>20000</v>
      </c>
      <c r="BA78" s="167">
        <v>20000</v>
      </c>
      <c r="BB78" s="167">
        <v>20000</v>
      </c>
      <c r="BC78" s="167">
        <v>20000</v>
      </c>
      <c r="BD78" s="167">
        <v>18138.658546080413</v>
      </c>
      <c r="BE78" s="167">
        <v>16213.898151609259</v>
      </c>
      <c r="BF78" s="167">
        <v>15435.359899259571</v>
      </c>
      <c r="BG78" s="167">
        <v>15475.40702720361</v>
      </c>
      <c r="BH78" s="167">
        <v>16503.663559688201</v>
      </c>
      <c r="BI78" s="167">
        <v>18382.131967842444</v>
      </c>
      <c r="BJ78" s="167">
        <v>20000</v>
      </c>
      <c r="BK78" s="167">
        <v>20000</v>
      </c>
      <c r="BL78" s="167">
        <v>20000</v>
      </c>
      <c r="BM78" s="167">
        <v>20000</v>
      </c>
      <c r="BN78" s="167">
        <v>20000</v>
      </c>
      <c r="BO78" s="167">
        <v>20000</v>
      </c>
      <c r="BP78" s="167">
        <v>20000</v>
      </c>
      <c r="BQ78" s="167">
        <v>20000</v>
      </c>
      <c r="BR78" s="167">
        <v>20000</v>
      </c>
      <c r="BS78" s="167">
        <v>20000</v>
      </c>
      <c r="BT78" s="167">
        <v>20000</v>
      </c>
      <c r="BU78" s="167">
        <v>20000</v>
      </c>
      <c r="BV78" s="167">
        <v>20000</v>
      </c>
      <c r="BW78" s="167">
        <v>20000</v>
      </c>
      <c r="BX78" s="167">
        <v>20000</v>
      </c>
      <c r="BY78" s="167">
        <v>20000</v>
      </c>
      <c r="BZ78" s="167">
        <v>20000</v>
      </c>
      <c r="CA78" s="167">
        <v>17652.171674065321</v>
      </c>
      <c r="CB78" s="167">
        <v>15545.439551530093</v>
      </c>
      <c r="CC78" s="167">
        <v>14588.616275030268</v>
      </c>
      <c r="CD78" s="167">
        <v>14442.523432195219</v>
      </c>
      <c r="CE78" s="167">
        <v>15349.942081378133</v>
      </c>
      <c r="CF78" s="167">
        <v>17151.875945284162</v>
      </c>
      <c r="CG78" s="167">
        <v>19654.289167373536</v>
      </c>
      <c r="CH78" s="167">
        <v>20000</v>
      </c>
      <c r="CI78" s="167">
        <v>20000</v>
      </c>
      <c r="CJ78" s="167">
        <v>20000</v>
      </c>
      <c r="CK78" s="167">
        <v>20000</v>
      </c>
      <c r="CL78" s="167">
        <v>20000</v>
      </c>
      <c r="CM78" s="167">
        <v>20000</v>
      </c>
      <c r="CN78" s="167">
        <v>20000</v>
      </c>
      <c r="CO78" s="167">
        <v>20000</v>
      </c>
      <c r="CP78" s="167">
        <v>20000</v>
      </c>
      <c r="CQ78" s="167">
        <v>20000</v>
      </c>
      <c r="CR78" s="167">
        <v>20000</v>
      </c>
      <c r="CS78" s="167">
        <v>20000</v>
      </c>
      <c r="CT78" s="167">
        <v>20000</v>
      </c>
      <c r="CU78" s="167">
        <v>20000</v>
      </c>
      <c r="CV78" s="167">
        <v>20000</v>
      </c>
      <c r="CW78" s="167">
        <v>20000</v>
      </c>
      <c r="CX78" s="167">
        <v>20000</v>
      </c>
      <c r="CY78" s="167">
        <v>20000</v>
      </c>
      <c r="CZ78" s="167">
        <v>18931.586777387514</v>
      </c>
      <c r="DA78" s="167">
        <v>17508.1743291522</v>
      </c>
      <c r="DB78" s="167">
        <v>17160.764634752672</v>
      </c>
      <c r="DC78" s="167">
        <v>17741.128908690087</v>
      </c>
      <c r="DD78" s="167">
        <v>18982.702749856402</v>
      </c>
      <c r="DE78" s="167">
        <v>20000</v>
      </c>
      <c r="DF78" s="167">
        <v>20000</v>
      </c>
      <c r="DG78" s="167">
        <v>20000</v>
      </c>
      <c r="DH78" s="167">
        <v>20000</v>
      </c>
      <c r="DI78" s="167">
        <v>20000</v>
      </c>
      <c r="DJ78" s="167">
        <v>20000</v>
      </c>
      <c r="DK78" s="167">
        <v>20000</v>
      </c>
      <c r="DL78" s="167">
        <v>20000</v>
      </c>
      <c r="DM78" s="167">
        <v>20000</v>
      </c>
      <c r="DN78" s="167">
        <v>20000</v>
      </c>
      <c r="DO78" s="167">
        <v>20000</v>
      </c>
      <c r="DP78" s="167">
        <v>20000</v>
      </c>
      <c r="DQ78" s="167">
        <v>20000</v>
      </c>
      <c r="DR78" s="167">
        <v>20000</v>
      </c>
      <c r="DS78" s="167">
        <v>20000</v>
      </c>
      <c r="DT78" s="167">
        <v>20000</v>
      </c>
      <c r="DU78" s="167">
        <v>20000</v>
      </c>
      <c r="DV78" s="167">
        <v>20000</v>
      </c>
      <c r="DW78" s="167">
        <v>20000</v>
      </c>
      <c r="DX78" s="167">
        <v>20000</v>
      </c>
      <c r="DY78" s="167">
        <v>20000</v>
      </c>
      <c r="DZ78" s="167">
        <v>20000</v>
      </c>
      <c r="EA78" s="167">
        <v>20000</v>
      </c>
      <c r="EB78" s="167">
        <v>19272.875513026269</v>
      </c>
      <c r="EC78" s="167">
        <v>18754.357414606311</v>
      </c>
      <c r="ED78" s="167">
        <v>18964.187890974517</v>
      </c>
      <c r="EE78" s="167">
        <v>19953.508895574101</v>
      </c>
      <c r="EF78" s="167">
        <v>20000</v>
      </c>
      <c r="EG78" s="167">
        <v>20000</v>
      </c>
      <c r="EH78" s="167">
        <v>20000</v>
      </c>
      <c r="EI78" s="167">
        <v>20000</v>
      </c>
      <c r="EJ78" s="167">
        <v>20000</v>
      </c>
      <c r="EK78" s="167">
        <v>20000</v>
      </c>
      <c r="EL78" s="167">
        <v>20000</v>
      </c>
      <c r="EM78" s="167">
        <v>20000</v>
      </c>
      <c r="EN78" s="167">
        <v>20000</v>
      </c>
      <c r="EO78" s="167">
        <v>20000</v>
      </c>
      <c r="EP78" t="str">
        <f t="shared" si="1"/>
        <v>3y 78d</v>
      </c>
    </row>
    <row r="79" spans="2:146" x14ac:dyDescent="0.25">
      <c r="B79" s="65">
        <v>76</v>
      </c>
      <c r="D79">
        <v>23837895.615895763</v>
      </c>
      <c r="E79" s="12">
        <v>137950546578.84613</v>
      </c>
      <c r="F79" s="12">
        <v>57925714304.67495</v>
      </c>
      <c r="G79" s="12">
        <v>0</v>
      </c>
      <c r="H79" s="12">
        <v>118443394.51109728</v>
      </c>
      <c r="I79" s="12">
        <v>-233295128410.31818</v>
      </c>
      <c r="J79" s="12">
        <v>-416188119305.63257</v>
      </c>
      <c r="K79" s="12">
        <v>25797339026.616947</v>
      </c>
      <c r="L79" s="12"/>
      <c r="M79" s="12"/>
      <c r="N79" s="12"/>
      <c r="O79" s="12"/>
      <c r="P79" s="12">
        <v>20911879.941342916</v>
      </c>
      <c r="Q79" s="12">
        <v>-89232874988.657898</v>
      </c>
      <c r="R79" s="12">
        <v>349852838117.23907</v>
      </c>
      <c r="S79" s="12">
        <v>0</v>
      </c>
      <c r="T79" s="12">
        <v>23234962.459514592</v>
      </c>
      <c r="U79" s="12">
        <v>-255346620833.67505</v>
      </c>
      <c r="V79" s="12">
        <v>351595718450.71912</v>
      </c>
      <c r="W79" s="12">
        <v>-705660255.47522211</v>
      </c>
      <c r="X79" s="12"/>
      <c r="Y79" s="12"/>
      <c r="Z79" s="12"/>
      <c r="AA79" s="12"/>
      <c r="AB79" s="12"/>
      <c r="AC79" s="12"/>
      <c r="AD79" s="12"/>
      <c r="AE79" s="12"/>
      <c r="AS79" s="6">
        <v>102639047.05444148</v>
      </c>
      <c r="AT79" s="167">
        <v>20000</v>
      </c>
      <c r="AU79" s="167">
        <v>20000</v>
      </c>
      <c r="AV79" s="167">
        <v>20000</v>
      </c>
      <c r="AW79" s="167">
        <v>20000</v>
      </c>
      <c r="AX79" s="167">
        <v>20000</v>
      </c>
      <c r="AY79" s="167">
        <v>20000</v>
      </c>
      <c r="AZ79" s="167">
        <v>20000</v>
      </c>
      <c r="BA79" s="167">
        <v>20000</v>
      </c>
      <c r="BB79" s="167">
        <v>20000</v>
      </c>
      <c r="BC79" s="167">
        <v>20000</v>
      </c>
      <c r="BD79" s="167">
        <v>18455.581626972751</v>
      </c>
      <c r="BE79" s="167">
        <v>16399.332166121982</v>
      </c>
      <c r="BF79" s="167">
        <v>15497.926082155325</v>
      </c>
      <c r="BG79" s="167">
        <v>15423.653040910942</v>
      </c>
      <c r="BH79" s="167">
        <v>16354.274330676422</v>
      </c>
      <c r="BI79" s="167">
        <v>18155.251236434586</v>
      </c>
      <c r="BJ79" s="167">
        <v>20000</v>
      </c>
      <c r="BK79" s="167">
        <v>20000</v>
      </c>
      <c r="BL79" s="167">
        <v>20000</v>
      </c>
      <c r="BM79" s="167">
        <v>20000</v>
      </c>
      <c r="BN79" s="167">
        <v>20000</v>
      </c>
      <c r="BO79" s="167">
        <v>20000</v>
      </c>
      <c r="BP79" s="167">
        <v>20000</v>
      </c>
      <c r="BQ79" s="167">
        <v>20000</v>
      </c>
      <c r="BR79" s="167">
        <v>20000</v>
      </c>
      <c r="BS79" s="167">
        <v>20000</v>
      </c>
      <c r="BT79" s="167">
        <v>20000</v>
      </c>
      <c r="BU79" s="167">
        <v>20000</v>
      </c>
      <c r="BV79" s="167">
        <v>20000</v>
      </c>
      <c r="BW79" s="167">
        <v>20000</v>
      </c>
      <c r="BX79" s="167">
        <v>20000</v>
      </c>
      <c r="BY79" s="167">
        <v>20000</v>
      </c>
      <c r="BZ79" s="167">
        <v>20000</v>
      </c>
      <c r="CA79" s="167">
        <v>18086.346887828506</v>
      </c>
      <c r="CB79" s="167">
        <v>15821.971448518158</v>
      </c>
      <c r="CC79" s="167">
        <v>14771.270989307008</v>
      </c>
      <c r="CD79" s="167">
        <v>14501.832914799017</v>
      </c>
      <c r="CE79" s="167">
        <v>15297.860959749443</v>
      </c>
      <c r="CF79" s="167">
        <v>17005.037077096509</v>
      </c>
      <c r="CG79" s="167">
        <v>19428.170651134711</v>
      </c>
      <c r="CH79" s="167">
        <v>20000</v>
      </c>
      <c r="CI79" s="167">
        <v>20000</v>
      </c>
      <c r="CJ79" s="167">
        <v>20000</v>
      </c>
      <c r="CK79" s="167">
        <v>20000</v>
      </c>
      <c r="CL79" s="167">
        <v>20000</v>
      </c>
      <c r="CM79" s="167">
        <v>20000</v>
      </c>
      <c r="CN79" s="167">
        <v>20000</v>
      </c>
      <c r="CO79" s="167">
        <v>20000</v>
      </c>
      <c r="CP79" s="167">
        <v>20000</v>
      </c>
      <c r="CQ79" s="167">
        <v>20000</v>
      </c>
      <c r="CR79" s="167">
        <v>20000</v>
      </c>
      <c r="CS79" s="167">
        <v>20000</v>
      </c>
      <c r="CT79" s="167">
        <v>20000</v>
      </c>
      <c r="CU79" s="167">
        <v>20000</v>
      </c>
      <c r="CV79" s="167">
        <v>20000</v>
      </c>
      <c r="CW79" s="167">
        <v>20000</v>
      </c>
      <c r="CX79" s="167">
        <v>20000</v>
      </c>
      <c r="CY79" s="167">
        <v>20000</v>
      </c>
      <c r="CZ79" s="167">
        <v>19708.307243755211</v>
      </c>
      <c r="DA79" s="167">
        <v>18056.859188982864</v>
      </c>
      <c r="DB79" s="167">
        <v>17500.395273907365</v>
      </c>
      <c r="DC79" s="167">
        <v>17884.325843420971</v>
      </c>
      <c r="DD79" s="167">
        <v>18948.633173620219</v>
      </c>
      <c r="DE79" s="167">
        <v>20000</v>
      </c>
      <c r="DF79" s="167">
        <v>20000</v>
      </c>
      <c r="DG79" s="167">
        <v>20000</v>
      </c>
      <c r="DH79" s="167">
        <v>20000</v>
      </c>
      <c r="DI79" s="167">
        <v>20000</v>
      </c>
      <c r="DJ79" s="167">
        <v>20000</v>
      </c>
      <c r="DK79" s="167">
        <v>20000</v>
      </c>
      <c r="DL79" s="167">
        <v>20000</v>
      </c>
      <c r="DM79" s="167">
        <v>20000</v>
      </c>
      <c r="DN79" s="167">
        <v>20000</v>
      </c>
      <c r="DO79" s="167">
        <v>20000</v>
      </c>
      <c r="DP79" s="167">
        <v>20000</v>
      </c>
      <c r="DQ79" s="167">
        <v>20000</v>
      </c>
      <c r="DR79" s="167">
        <v>20000</v>
      </c>
      <c r="DS79" s="167">
        <v>20000</v>
      </c>
      <c r="DT79" s="167">
        <v>20000</v>
      </c>
      <c r="DU79" s="167">
        <v>20000</v>
      </c>
      <c r="DV79" s="167">
        <v>20000</v>
      </c>
      <c r="DW79" s="167">
        <v>20000</v>
      </c>
      <c r="DX79" s="167">
        <v>20000</v>
      </c>
      <c r="DY79" s="167">
        <v>20000</v>
      </c>
      <c r="DZ79" s="167">
        <v>20000</v>
      </c>
      <c r="EA79" s="167">
        <v>20000</v>
      </c>
      <c r="EB79" s="167">
        <v>19427.491322001501</v>
      </c>
      <c r="EC79" s="167">
        <v>18743.158102651454</v>
      </c>
      <c r="ED79" s="167">
        <v>18800.31038382736</v>
      </c>
      <c r="EE79" s="167">
        <v>19652.738263340085</v>
      </c>
      <c r="EF79" s="167">
        <v>20000</v>
      </c>
      <c r="EG79" s="167">
        <v>20000</v>
      </c>
      <c r="EH79" s="167">
        <v>20000</v>
      </c>
      <c r="EI79" s="167">
        <v>20000</v>
      </c>
      <c r="EJ79" s="167">
        <v>20000</v>
      </c>
      <c r="EK79" s="167">
        <v>20000</v>
      </c>
      <c r="EL79" s="167">
        <v>20000</v>
      </c>
      <c r="EM79" s="167">
        <v>20000</v>
      </c>
      <c r="EN79" s="167">
        <v>20000</v>
      </c>
      <c r="EO79" s="167">
        <v>20000</v>
      </c>
      <c r="EP79" t="str">
        <f t="shared" si="1"/>
        <v>3y 92d</v>
      </c>
    </row>
    <row r="80" spans="2:146" x14ac:dyDescent="0.25">
      <c r="B80" s="65">
        <v>77</v>
      </c>
      <c r="D80">
        <v>24153350.958257515</v>
      </c>
      <c r="E80" s="12">
        <v>133900541291.24585</v>
      </c>
      <c r="F80" s="12">
        <v>66403668751.53614</v>
      </c>
      <c r="G80" s="12">
        <v>0</v>
      </c>
      <c r="H80" s="12">
        <v>120333611.81397799</v>
      </c>
      <c r="I80" s="12">
        <v>-205262155151.2236</v>
      </c>
      <c r="J80" s="12">
        <v>-427120005890.04962</v>
      </c>
      <c r="K80" s="12">
        <v>25561246424.497326</v>
      </c>
      <c r="L80" s="12"/>
      <c r="M80" s="12"/>
      <c r="N80" s="12"/>
      <c r="O80" s="12"/>
      <c r="P80" s="12">
        <v>21653879.126578454</v>
      </c>
      <c r="Q80" s="12">
        <v>-101733235827.28857</v>
      </c>
      <c r="R80" s="12">
        <v>353020195633.82959</v>
      </c>
      <c r="S80" s="12">
        <v>0</v>
      </c>
      <c r="T80" s="12">
        <v>23776012.520855416</v>
      </c>
      <c r="U80" s="12">
        <v>-262372436913.54572</v>
      </c>
      <c r="V80" s="12">
        <v>349586351329.37952</v>
      </c>
      <c r="W80" s="12">
        <v>-714342747.52070522</v>
      </c>
      <c r="X80" s="12"/>
      <c r="Y80" s="12"/>
      <c r="Z80" s="12"/>
      <c r="AA80" s="12"/>
      <c r="AB80" s="12"/>
      <c r="AC80" s="12"/>
      <c r="AD80" s="12"/>
      <c r="AE80" s="12"/>
      <c r="AS80" s="6">
        <v>103826709.59648435</v>
      </c>
      <c r="AT80" s="167">
        <v>20000</v>
      </c>
      <c r="AU80" s="167">
        <v>20000</v>
      </c>
      <c r="AV80" s="167">
        <v>20000</v>
      </c>
      <c r="AW80" s="167">
        <v>20000</v>
      </c>
      <c r="AX80" s="167">
        <v>20000</v>
      </c>
      <c r="AY80" s="167">
        <v>20000</v>
      </c>
      <c r="AZ80" s="167">
        <v>20000</v>
      </c>
      <c r="BA80" s="167">
        <v>20000</v>
      </c>
      <c r="BB80" s="167">
        <v>20000</v>
      </c>
      <c r="BC80" s="167">
        <v>20000</v>
      </c>
      <c r="BD80" s="167">
        <v>18787.359766838403</v>
      </c>
      <c r="BE80" s="167">
        <v>16598.884001292427</v>
      </c>
      <c r="BF80" s="167">
        <v>15576.022736243833</v>
      </c>
      <c r="BG80" s="167">
        <v>15386.112433470127</v>
      </c>
      <c r="BH80" s="167">
        <v>16217.073413012669</v>
      </c>
      <c r="BI80" s="167">
        <v>17938.547883737308</v>
      </c>
      <c r="BJ80" s="167">
        <v>20000</v>
      </c>
      <c r="BK80" s="167">
        <v>20000</v>
      </c>
      <c r="BL80" s="167">
        <v>20000</v>
      </c>
      <c r="BM80" s="167">
        <v>20000</v>
      </c>
      <c r="BN80" s="167">
        <v>20000</v>
      </c>
      <c r="BO80" s="167">
        <v>20000</v>
      </c>
      <c r="BP80" s="167">
        <v>20000</v>
      </c>
      <c r="BQ80" s="167">
        <v>20000</v>
      </c>
      <c r="BR80" s="167">
        <v>20000</v>
      </c>
      <c r="BS80" s="167">
        <v>20000</v>
      </c>
      <c r="BT80" s="167">
        <v>20000</v>
      </c>
      <c r="BU80" s="167">
        <v>20000</v>
      </c>
      <c r="BV80" s="167">
        <v>20000</v>
      </c>
      <c r="BW80" s="167">
        <v>20000</v>
      </c>
      <c r="BX80" s="167">
        <v>20000</v>
      </c>
      <c r="BY80" s="167">
        <v>20000</v>
      </c>
      <c r="BZ80" s="167">
        <v>20000</v>
      </c>
      <c r="CA80" s="167">
        <v>18548.597001585076</v>
      </c>
      <c r="CB80" s="167">
        <v>16125.475251335574</v>
      </c>
      <c r="CC80" s="167">
        <v>14972.843307583236</v>
      </c>
      <c r="CD80" s="167">
        <v>14576.724463518622</v>
      </c>
      <c r="CE80" s="167">
        <v>15257.655813977295</v>
      </c>
      <c r="CF80" s="167">
        <v>16866.638882939355</v>
      </c>
      <c r="CG80" s="167">
        <v>19207.839561710429</v>
      </c>
      <c r="CH80" s="167">
        <v>20000</v>
      </c>
      <c r="CI80" s="167">
        <v>20000</v>
      </c>
      <c r="CJ80" s="167">
        <v>20000</v>
      </c>
      <c r="CK80" s="167">
        <v>20000</v>
      </c>
      <c r="CL80" s="167">
        <v>20000</v>
      </c>
      <c r="CM80" s="167">
        <v>20000</v>
      </c>
      <c r="CN80" s="167">
        <v>20000</v>
      </c>
      <c r="CO80" s="167">
        <v>20000</v>
      </c>
      <c r="CP80" s="167">
        <v>20000</v>
      </c>
      <c r="CQ80" s="167">
        <v>20000</v>
      </c>
      <c r="CR80" s="167">
        <v>20000</v>
      </c>
      <c r="CS80" s="167">
        <v>20000</v>
      </c>
      <c r="CT80" s="167">
        <v>20000</v>
      </c>
      <c r="CU80" s="167">
        <v>20000</v>
      </c>
      <c r="CV80" s="167">
        <v>20000</v>
      </c>
      <c r="CW80" s="167">
        <v>20000</v>
      </c>
      <c r="CX80" s="167">
        <v>20000</v>
      </c>
      <c r="CY80" s="167">
        <v>20000</v>
      </c>
      <c r="CZ80" s="167">
        <v>20000</v>
      </c>
      <c r="DA80" s="167">
        <v>18662.754196077291</v>
      </c>
      <c r="DB80" s="167">
        <v>17883.241217313192</v>
      </c>
      <c r="DC80" s="167">
        <v>18065.483461452386</v>
      </c>
      <c r="DD80" s="167">
        <v>18941.959822565779</v>
      </c>
      <c r="DE80" s="167">
        <v>20000</v>
      </c>
      <c r="DF80" s="167">
        <v>20000</v>
      </c>
      <c r="DG80" s="167">
        <v>20000</v>
      </c>
      <c r="DH80" s="167">
        <v>20000</v>
      </c>
      <c r="DI80" s="167">
        <v>20000</v>
      </c>
      <c r="DJ80" s="167">
        <v>20000</v>
      </c>
      <c r="DK80" s="167">
        <v>20000</v>
      </c>
      <c r="DL80" s="167">
        <v>20000</v>
      </c>
      <c r="DM80" s="167">
        <v>20000</v>
      </c>
      <c r="DN80" s="167">
        <v>20000</v>
      </c>
      <c r="DO80" s="167">
        <v>20000</v>
      </c>
      <c r="DP80" s="167">
        <v>20000</v>
      </c>
      <c r="DQ80" s="167">
        <v>20000</v>
      </c>
      <c r="DR80" s="167">
        <v>20000</v>
      </c>
      <c r="DS80" s="167">
        <v>20000</v>
      </c>
      <c r="DT80" s="167">
        <v>20000</v>
      </c>
      <c r="DU80" s="167">
        <v>20000</v>
      </c>
      <c r="DV80" s="167">
        <v>20000</v>
      </c>
      <c r="DW80" s="167">
        <v>20000</v>
      </c>
      <c r="DX80" s="167">
        <v>20000</v>
      </c>
      <c r="DY80" s="167">
        <v>20000</v>
      </c>
      <c r="DZ80" s="167">
        <v>20000</v>
      </c>
      <c r="EA80" s="167">
        <v>20000</v>
      </c>
      <c r="EB80" s="167">
        <v>19625.252442571578</v>
      </c>
      <c r="EC80" s="167">
        <v>18718.42507568208</v>
      </c>
      <c r="ED80" s="167">
        <v>18662.130847453274</v>
      </c>
      <c r="EE80" s="167">
        <v>19373.921398330909</v>
      </c>
      <c r="EF80" s="167">
        <v>20000</v>
      </c>
      <c r="EG80" s="167">
        <v>20000</v>
      </c>
      <c r="EH80" s="167">
        <v>20000</v>
      </c>
      <c r="EI80" s="167">
        <v>20000</v>
      </c>
      <c r="EJ80" s="167">
        <v>20000</v>
      </c>
      <c r="EK80" s="167">
        <v>20000</v>
      </c>
      <c r="EL80" s="167">
        <v>20000</v>
      </c>
      <c r="EM80" s="167">
        <v>20000</v>
      </c>
      <c r="EN80" s="167">
        <v>20000</v>
      </c>
      <c r="EO80" s="167">
        <v>20000</v>
      </c>
      <c r="EP80" t="str">
        <f t="shared" si="1"/>
        <v>3y 106d</v>
      </c>
    </row>
    <row r="81" spans="2:146" x14ac:dyDescent="0.25">
      <c r="B81" s="65">
        <v>78</v>
      </c>
      <c r="D81">
        <v>24468145.752742682</v>
      </c>
      <c r="E81" s="12">
        <v>129331455630.51164</v>
      </c>
      <c r="F81" s="12">
        <v>74602251133.551544</v>
      </c>
      <c r="G81" s="12">
        <v>0</v>
      </c>
      <c r="H81" s="12">
        <v>122197556.76759149</v>
      </c>
      <c r="I81" s="12">
        <v>-176727627678.55219</v>
      </c>
      <c r="J81" s="12">
        <v>-436045868243.45038</v>
      </c>
      <c r="K81" s="12">
        <v>25217472280.098202</v>
      </c>
      <c r="L81" s="12"/>
      <c r="M81" s="12"/>
      <c r="N81" s="12"/>
      <c r="O81" s="12"/>
      <c r="P81" s="12">
        <v>22421929.170571793</v>
      </c>
      <c r="Q81" s="12">
        <v>-114514642845.32327</v>
      </c>
      <c r="R81" s="12">
        <v>355751262181.02893</v>
      </c>
      <c r="S81" s="12">
        <v>0</v>
      </c>
      <c r="T81" s="12">
        <v>24323344.087794181</v>
      </c>
      <c r="U81" s="12">
        <v>-269355681378.79932</v>
      </c>
      <c r="V81" s="12">
        <v>347388255917.1142</v>
      </c>
      <c r="W81" s="12">
        <v>-722788058.95102441</v>
      </c>
      <c r="X81" s="12"/>
      <c r="Y81" s="12"/>
      <c r="Z81" s="12"/>
      <c r="AA81" s="12"/>
      <c r="AB81" s="12"/>
      <c r="AC81" s="12"/>
      <c r="AD81" s="12"/>
      <c r="AE81" s="12"/>
      <c r="AS81" s="6">
        <v>105014372.13852721</v>
      </c>
      <c r="AT81" s="167">
        <v>20000</v>
      </c>
      <c r="AU81" s="167">
        <v>20000</v>
      </c>
      <c r="AV81" s="167">
        <v>20000</v>
      </c>
      <c r="AW81" s="167">
        <v>20000</v>
      </c>
      <c r="AX81" s="167">
        <v>20000</v>
      </c>
      <c r="AY81" s="167">
        <v>20000</v>
      </c>
      <c r="AZ81" s="167">
        <v>20000</v>
      </c>
      <c r="BA81" s="167">
        <v>20000</v>
      </c>
      <c r="BB81" s="167">
        <v>20000</v>
      </c>
      <c r="BC81" s="167">
        <v>20000</v>
      </c>
      <c r="BD81" s="167">
        <v>19134.27065186332</v>
      </c>
      <c r="BE81" s="167">
        <v>16812.867680475716</v>
      </c>
      <c r="BF81" s="167">
        <v>15669.790942393327</v>
      </c>
      <c r="BG81" s="167">
        <v>15362.970022361835</v>
      </c>
      <c r="BH81" s="167">
        <v>16092.238229918825</v>
      </c>
      <c r="BI81" s="167">
        <v>17732.125660388152</v>
      </c>
      <c r="BJ81" s="167">
        <v>20000</v>
      </c>
      <c r="BK81" s="167">
        <v>20000</v>
      </c>
      <c r="BL81" s="167">
        <v>20000</v>
      </c>
      <c r="BM81" s="167">
        <v>20000</v>
      </c>
      <c r="BN81" s="167">
        <v>20000</v>
      </c>
      <c r="BO81" s="167">
        <v>20000</v>
      </c>
      <c r="BP81" s="167">
        <v>20000</v>
      </c>
      <c r="BQ81" s="167">
        <v>20000</v>
      </c>
      <c r="BR81" s="167">
        <v>20000</v>
      </c>
      <c r="BS81" s="167">
        <v>20000</v>
      </c>
      <c r="BT81" s="167">
        <v>20000</v>
      </c>
      <c r="BU81" s="167">
        <v>20000</v>
      </c>
      <c r="BV81" s="167">
        <v>20000</v>
      </c>
      <c r="BW81" s="167">
        <v>20000</v>
      </c>
      <c r="BX81" s="167">
        <v>20000</v>
      </c>
      <c r="BY81" s="167">
        <v>20000</v>
      </c>
      <c r="BZ81" s="167">
        <v>20000</v>
      </c>
      <c r="CA81" s="167">
        <v>19040.627072675532</v>
      </c>
      <c r="CB81" s="167">
        <v>16457.214613207099</v>
      </c>
      <c r="CC81" s="167">
        <v>15137.874268187699</v>
      </c>
      <c r="CD81" s="167">
        <v>14668.36732271789</v>
      </c>
      <c r="CE81" s="167">
        <v>15230.31693848973</v>
      </c>
      <c r="CF81" s="167">
        <v>16737.424887012869</v>
      </c>
      <c r="CG81" s="167">
        <v>18993.796481391128</v>
      </c>
      <c r="CH81" s="167">
        <v>20000</v>
      </c>
      <c r="CI81" s="167">
        <v>20000</v>
      </c>
      <c r="CJ81" s="167">
        <v>20000</v>
      </c>
      <c r="CK81" s="167">
        <v>20000</v>
      </c>
      <c r="CL81" s="167">
        <v>20000</v>
      </c>
      <c r="CM81" s="167">
        <v>20000</v>
      </c>
      <c r="CN81" s="167">
        <v>20000</v>
      </c>
      <c r="CO81" s="167">
        <v>20000</v>
      </c>
      <c r="CP81" s="167">
        <v>20000</v>
      </c>
      <c r="CQ81" s="167">
        <v>20000</v>
      </c>
      <c r="CR81" s="167">
        <v>20000</v>
      </c>
      <c r="CS81" s="167">
        <v>20000</v>
      </c>
      <c r="CT81" s="167">
        <v>20000</v>
      </c>
      <c r="CU81" s="167">
        <v>20000</v>
      </c>
      <c r="CV81" s="167">
        <v>20000</v>
      </c>
      <c r="CW81" s="167">
        <v>20000</v>
      </c>
      <c r="CX81" s="167">
        <v>20000</v>
      </c>
      <c r="CY81" s="167">
        <v>20000</v>
      </c>
      <c r="CZ81" s="167">
        <v>20000</v>
      </c>
      <c r="DA81" s="167">
        <v>19329.606949177847</v>
      </c>
      <c r="DB81" s="167">
        <v>18312.597394486551</v>
      </c>
      <c r="DC81" s="167">
        <v>18288.261177114007</v>
      </c>
      <c r="DD81" s="167">
        <v>18955.970560677732</v>
      </c>
      <c r="DE81" s="167">
        <v>20000</v>
      </c>
      <c r="DF81" s="167">
        <v>20000</v>
      </c>
      <c r="DG81" s="167">
        <v>20000</v>
      </c>
      <c r="DH81" s="167">
        <v>20000</v>
      </c>
      <c r="DI81" s="167">
        <v>20000</v>
      </c>
      <c r="DJ81" s="167">
        <v>20000</v>
      </c>
      <c r="DK81" s="167">
        <v>20000</v>
      </c>
      <c r="DL81" s="167">
        <v>20000</v>
      </c>
      <c r="DM81" s="167">
        <v>20000</v>
      </c>
      <c r="DN81" s="167">
        <v>20000</v>
      </c>
      <c r="DO81" s="167">
        <v>20000</v>
      </c>
      <c r="DP81" s="167">
        <v>20000</v>
      </c>
      <c r="DQ81" s="167">
        <v>20000</v>
      </c>
      <c r="DR81" s="167">
        <v>20000</v>
      </c>
      <c r="DS81" s="167">
        <v>20000</v>
      </c>
      <c r="DT81" s="167">
        <v>20000</v>
      </c>
      <c r="DU81" s="167">
        <v>20000</v>
      </c>
      <c r="DV81" s="167">
        <v>20000</v>
      </c>
      <c r="DW81" s="167">
        <v>20000</v>
      </c>
      <c r="DX81" s="167">
        <v>20000</v>
      </c>
      <c r="DY81" s="167">
        <v>20000</v>
      </c>
      <c r="DZ81" s="167">
        <v>20000</v>
      </c>
      <c r="EA81" s="167">
        <v>20000</v>
      </c>
      <c r="EB81" s="167">
        <v>19863.211107598421</v>
      </c>
      <c r="EC81" s="167">
        <v>18738.396963255916</v>
      </c>
      <c r="ED81" s="167">
        <v>18549.784016601261</v>
      </c>
      <c r="EE81" s="167">
        <v>19117.38563314073</v>
      </c>
      <c r="EF81" s="167">
        <v>20000</v>
      </c>
      <c r="EG81" s="167">
        <v>20000</v>
      </c>
      <c r="EH81" s="167">
        <v>20000</v>
      </c>
      <c r="EI81" s="167">
        <v>20000</v>
      </c>
      <c r="EJ81" s="167">
        <v>20000</v>
      </c>
      <c r="EK81" s="167">
        <v>20000</v>
      </c>
      <c r="EL81" s="167">
        <v>20000</v>
      </c>
      <c r="EM81" s="167">
        <v>20000</v>
      </c>
      <c r="EN81" s="167">
        <v>20000</v>
      </c>
      <c r="EO81" s="167">
        <v>20000</v>
      </c>
      <c r="EP81" t="str">
        <f t="shared" si="1"/>
        <v>3y 120d</v>
      </c>
    </row>
    <row r="82" spans="2:146" x14ac:dyDescent="0.25">
      <c r="B82" s="65">
        <v>79</v>
      </c>
      <c r="D82">
        <v>24782284.932643402</v>
      </c>
      <c r="E82" s="12">
        <v>124262855276.08086</v>
      </c>
      <c r="F82" s="12">
        <v>82490141879.151459</v>
      </c>
      <c r="G82" s="12">
        <v>0</v>
      </c>
      <c r="H82" s="12">
        <v>124034276.46915323</v>
      </c>
      <c r="I82" s="12">
        <v>-147848306156.87189</v>
      </c>
      <c r="J82" s="12">
        <v>-442962710572.94305</v>
      </c>
      <c r="K82" s="12">
        <v>24770068693.00499</v>
      </c>
      <c r="L82" s="12"/>
      <c r="M82" s="12"/>
      <c r="N82" s="12"/>
      <c r="O82" s="12"/>
      <c r="P82" s="12">
        <v>23216477.716566931</v>
      </c>
      <c r="Q82" s="12">
        <v>-127556359905.68951</v>
      </c>
      <c r="R82" s="12">
        <v>358015478139.43884</v>
      </c>
      <c r="S82" s="12">
        <v>0</v>
      </c>
      <c r="T82" s="12">
        <v>24876816.583672486</v>
      </c>
      <c r="U82" s="12">
        <v>-276289131657.69226</v>
      </c>
      <c r="V82" s="12">
        <v>345000235293.77539</v>
      </c>
      <c r="W82" s="12">
        <v>-730984266.80315351</v>
      </c>
      <c r="X82" s="12"/>
      <c r="Y82" s="12"/>
      <c r="Z82" s="12"/>
      <c r="AA82" s="12"/>
      <c r="AB82" s="12"/>
      <c r="AC82" s="12"/>
      <c r="AD82" s="12"/>
      <c r="AE82" s="12"/>
      <c r="AS82" s="6">
        <v>106202034.68057008</v>
      </c>
      <c r="AT82" s="167">
        <v>20000</v>
      </c>
      <c r="AU82" s="167">
        <v>20000</v>
      </c>
      <c r="AV82" s="167">
        <v>20000</v>
      </c>
      <c r="AW82" s="167">
        <v>20000</v>
      </c>
      <c r="AX82" s="167">
        <v>20000</v>
      </c>
      <c r="AY82" s="167">
        <v>20000</v>
      </c>
      <c r="AZ82" s="167">
        <v>20000</v>
      </c>
      <c r="BA82" s="167">
        <v>20000</v>
      </c>
      <c r="BB82" s="167">
        <v>20000</v>
      </c>
      <c r="BC82" s="167">
        <v>20000</v>
      </c>
      <c r="BD82" s="167">
        <v>19496.631145320876</v>
      </c>
      <c r="BE82" s="167">
        <v>17041.606983687103</v>
      </c>
      <c r="BF82" s="167">
        <v>15779.391125768587</v>
      </c>
      <c r="BG82" s="167">
        <v>15354.428023641329</v>
      </c>
      <c r="BH82" s="167">
        <v>15979.966636189291</v>
      </c>
      <c r="BI82" s="167">
        <v>17536.110247551122</v>
      </c>
      <c r="BJ82" s="167">
        <v>19853.940149567174</v>
      </c>
      <c r="BK82" s="167">
        <v>20000</v>
      </c>
      <c r="BL82" s="167">
        <v>20000</v>
      </c>
      <c r="BM82" s="167">
        <v>20000</v>
      </c>
      <c r="BN82" s="167">
        <v>20000</v>
      </c>
      <c r="BO82" s="167">
        <v>20000</v>
      </c>
      <c r="BP82" s="167">
        <v>20000</v>
      </c>
      <c r="BQ82" s="167">
        <v>20000</v>
      </c>
      <c r="BR82" s="167">
        <v>20000</v>
      </c>
      <c r="BS82" s="167">
        <v>20000</v>
      </c>
      <c r="BT82" s="167">
        <v>20000</v>
      </c>
      <c r="BU82" s="167">
        <v>20000</v>
      </c>
      <c r="BV82" s="167">
        <v>20000</v>
      </c>
      <c r="BW82" s="167">
        <v>20000</v>
      </c>
      <c r="BX82" s="167">
        <v>20000</v>
      </c>
      <c r="BY82" s="167">
        <v>20000</v>
      </c>
      <c r="BZ82" s="167">
        <v>20000</v>
      </c>
      <c r="CA82" s="167">
        <v>19564.309142615195</v>
      </c>
      <c r="CB82" s="167">
        <v>16818.578197611969</v>
      </c>
      <c r="CC82" s="167">
        <v>15322.143143902747</v>
      </c>
      <c r="CD82" s="167">
        <v>14778.025532636231</v>
      </c>
      <c r="CE82" s="167">
        <v>15216.928530337267</v>
      </c>
      <c r="CF82" s="167">
        <v>16618.222041806999</v>
      </c>
      <c r="CG82" s="167">
        <v>18786.605266724819</v>
      </c>
      <c r="CH82" s="167">
        <v>20000</v>
      </c>
      <c r="CI82" s="167">
        <v>20000</v>
      </c>
      <c r="CJ82" s="167">
        <v>20000</v>
      </c>
      <c r="CK82" s="167">
        <v>20000</v>
      </c>
      <c r="CL82" s="167">
        <v>20000</v>
      </c>
      <c r="CM82" s="167">
        <v>20000</v>
      </c>
      <c r="CN82" s="167">
        <v>20000</v>
      </c>
      <c r="CO82" s="167">
        <v>20000</v>
      </c>
      <c r="CP82" s="167">
        <v>20000</v>
      </c>
      <c r="CQ82" s="167">
        <v>20000</v>
      </c>
      <c r="CR82" s="167">
        <v>20000</v>
      </c>
      <c r="CS82" s="167">
        <v>20000</v>
      </c>
      <c r="CT82" s="167">
        <v>20000</v>
      </c>
      <c r="CU82" s="167">
        <v>20000</v>
      </c>
      <c r="CV82" s="167">
        <v>20000</v>
      </c>
      <c r="CW82" s="167">
        <v>20000</v>
      </c>
      <c r="CX82" s="167">
        <v>20000</v>
      </c>
      <c r="CY82" s="167">
        <v>20000</v>
      </c>
      <c r="CZ82" s="167">
        <v>20000</v>
      </c>
      <c r="DA82" s="167">
        <v>20000</v>
      </c>
      <c r="DB82" s="167">
        <v>18792.396909640778</v>
      </c>
      <c r="DC82" s="167">
        <v>18556.319795854164</v>
      </c>
      <c r="DD82" s="167">
        <v>18989.166212382301</v>
      </c>
      <c r="DE82" s="167">
        <v>20000</v>
      </c>
      <c r="DF82" s="167">
        <v>20000</v>
      </c>
      <c r="DG82" s="167">
        <v>20000</v>
      </c>
      <c r="DH82" s="167">
        <v>20000</v>
      </c>
      <c r="DI82" s="167">
        <v>20000</v>
      </c>
      <c r="DJ82" s="167">
        <v>20000</v>
      </c>
      <c r="DK82" s="167">
        <v>20000</v>
      </c>
      <c r="DL82" s="167">
        <v>20000</v>
      </c>
      <c r="DM82" s="167">
        <v>20000</v>
      </c>
      <c r="DN82" s="167">
        <v>20000</v>
      </c>
      <c r="DO82" s="167">
        <v>20000</v>
      </c>
      <c r="DP82" s="167">
        <v>20000</v>
      </c>
      <c r="DQ82" s="167">
        <v>20000</v>
      </c>
      <c r="DR82" s="167">
        <v>20000</v>
      </c>
      <c r="DS82" s="167">
        <v>20000</v>
      </c>
      <c r="DT82" s="167">
        <v>20000</v>
      </c>
      <c r="DU82" s="167">
        <v>20000</v>
      </c>
      <c r="DV82" s="167">
        <v>20000</v>
      </c>
      <c r="DW82" s="167">
        <v>20000</v>
      </c>
      <c r="DX82" s="167">
        <v>20000</v>
      </c>
      <c r="DY82" s="167">
        <v>20000</v>
      </c>
      <c r="DZ82" s="167">
        <v>20000</v>
      </c>
      <c r="EA82" s="167">
        <v>20000</v>
      </c>
      <c r="EB82" s="167">
        <v>20000</v>
      </c>
      <c r="EC82" s="167">
        <v>18800.4674751278</v>
      </c>
      <c r="ED82" s="167">
        <v>18425.766768248959</v>
      </c>
      <c r="EE82" s="167">
        <v>18883.409378360393</v>
      </c>
      <c r="EF82" s="167">
        <v>20000</v>
      </c>
      <c r="EG82" s="167">
        <v>20000</v>
      </c>
      <c r="EH82" s="167">
        <v>20000</v>
      </c>
      <c r="EI82" s="167">
        <v>20000</v>
      </c>
      <c r="EJ82" s="167">
        <v>20000</v>
      </c>
      <c r="EK82" s="167">
        <v>20000</v>
      </c>
      <c r="EL82" s="167">
        <v>20000</v>
      </c>
      <c r="EM82" s="167">
        <v>20000</v>
      </c>
      <c r="EN82" s="167">
        <v>20000</v>
      </c>
      <c r="EO82" s="167">
        <v>20000</v>
      </c>
      <c r="EP82" t="str">
        <f t="shared" si="1"/>
        <v>3y 133d</v>
      </c>
    </row>
    <row r="83" spans="2:146" x14ac:dyDescent="0.25">
      <c r="B83" s="65">
        <v>80</v>
      </c>
      <c r="D83">
        <v>25095775.971197549</v>
      </c>
      <c r="E83" s="12">
        <v>118716132642.03809</v>
      </c>
      <c r="F83" s="12">
        <v>90037428790.111389</v>
      </c>
      <c r="G83" s="12">
        <v>0</v>
      </c>
      <c r="H83" s="12">
        <v>125843004.24651323</v>
      </c>
      <c r="I83" s="12">
        <v>-118776919261.40569</v>
      </c>
      <c r="J83" s="12">
        <v>-447880562491.66101</v>
      </c>
      <c r="K83" s="12">
        <v>24223592017.824604</v>
      </c>
      <c r="L83" s="12"/>
      <c r="M83" s="12"/>
      <c r="N83" s="12"/>
      <c r="O83" s="12"/>
      <c r="P83" s="12">
        <v>24037895.61240799</v>
      </c>
      <c r="Q83" s="12">
        <v>-140834542565.30655</v>
      </c>
      <c r="R83" s="12">
        <v>359782253200.50061</v>
      </c>
      <c r="S83" s="12">
        <v>0</v>
      </c>
      <c r="T83" s="12">
        <v>25436277.702861536</v>
      </c>
      <c r="U83" s="12">
        <v>-283165463698.08179</v>
      </c>
      <c r="V83" s="12">
        <v>342421380059.75098</v>
      </c>
      <c r="W83" s="12">
        <v>-738919560.18690848</v>
      </c>
      <c r="X83" s="12"/>
      <c r="Y83" s="12"/>
      <c r="Z83" s="12"/>
      <c r="AA83" s="12"/>
      <c r="AB83" s="12"/>
      <c r="AC83" s="12"/>
      <c r="AD83" s="12"/>
      <c r="AE83" s="12"/>
      <c r="AS83" s="6">
        <v>107389697.22261295</v>
      </c>
      <c r="AT83" s="167">
        <v>20000</v>
      </c>
      <c r="AU83" s="167">
        <v>20000</v>
      </c>
      <c r="AV83" s="167">
        <v>20000</v>
      </c>
      <c r="AW83" s="167">
        <v>20000</v>
      </c>
      <c r="AX83" s="167">
        <v>20000</v>
      </c>
      <c r="AY83" s="167">
        <v>20000</v>
      </c>
      <c r="AZ83" s="167">
        <v>20000</v>
      </c>
      <c r="BA83" s="167">
        <v>20000</v>
      </c>
      <c r="BB83" s="167">
        <v>20000</v>
      </c>
      <c r="BC83" s="167">
        <v>20000</v>
      </c>
      <c r="BD83" s="167">
        <v>19874.799642917082</v>
      </c>
      <c r="BE83" s="167">
        <v>17285.438585894753</v>
      </c>
      <c r="BF83" s="167">
        <v>15905.008624447268</v>
      </c>
      <c r="BG83" s="167">
        <v>15360.705543513897</v>
      </c>
      <c r="BH83" s="167">
        <v>15880.47804872278</v>
      </c>
      <c r="BI83" s="167">
        <v>17350.650609966575</v>
      </c>
      <c r="BJ83" s="167">
        <v>19601.97388461325</v>
      </c>
      <c r="BK83" s="167">
        <v>20000</v>
      </c>
      <c r="BL83" s="167">
        <v>20000</v>
      </c>
      <c r="BM83" s="167">
        <v>20000</v>
      </c>
      <c r="BN83" s="167">
        <v>20000</v>
      </c>
      <c r="BO83" s="167">
        <v>20000</v>
      </c>
      <c r="BP83" s="167">
        <v>20000</v>
      </c>
      <c r="BQ83" s="167">
        <v>20000</v>
      </c>
      <c r="BR83" s="167">
        <v>20000</v>
      </c>
      <c r="BS83" s="167">
        <v>20000</v>
      </c>
      <c r="BT83" s="167">
        <v>20000</v>
      </c>
      <c r="BU83" s="167">
        <v>20000</v>
      </c>
      <c r="BV83" s="167">
        <v>20000</v>
      </c>
      <c r="BW83" s="167">
        <v>20000</v>
      </c>
      <c r="BX83" s="167">
        <v>20000</v>
      </c>
      <c r="BY83" s="167">
        <v>20000</v>
      </c>
      <c r="BZ83" s="167">
        <v>20000</v>
      </c>
      <c r="CA83" s="167">
        <v>20000</v>
      </c>
      <c r="CB83" s="167">
        <v>17211.095168375796</v>
      </c>
      <c r="CC83" s="167">
        <v>15537.425541250261</v>
      </c>
      <c r="CD83" s="167">
        <v>14907.064136236939</v>
      </c>
      <c r="CE83" s="167">
        <v>15218.676035265857</v>
      </c>
      <c r="CF83" s="167">
        <v>16509.947242060232</v>
      </c>
      <c r="CG83" s="167">
        <v>18586.900861640839</v>
      </c>
      <c r="CH83" s="167">
        <v>20000</v>
      </c>
      <c r="CI83" s="167">
        <v>20000</v>
      </c>
      <c r="CJ83" s="167">
        <v>20000</v>
      </c>
      <c r="CK83" s="167">
        <v>20000</v>
      </c>
      <c r="CL83" s="167">
        <v>20000</v>
      </c>
      <c r="CM83" s="167">
        <v>20000</v>
      </c>
      <c r="CN83" s="167">
        <v>20000</v>
      </c>
      <c r="CO83" s="167">
        <v>20000</v>
      </c>
      <c r="CP83" s="167">
        <v>20000</v>
      </c>
      <c r="CQ83" s="167">
        <v>20000</v>
      </c>
      <c r="CR83" s="167">
        <v>20000</v>
      </c>
      <c r="CS83" s="167">
        <v>20000</v>
      </c>
      <c r="CT83" s="167">
        <v>20000</v>
      </c>
      <c r="CU83" s="167">
        <v>20000</v>
      </c>
      <c r="CV83" s="167">
        <v>20000</v>
      </c>
      <c r="CW83" s="167">
        <v>20000</v>
      </c>
      <c r="CX83" s="167">
        <v>20000</v>
      </c>
      <c r="CY83" s="167">
        <v>20000</v>
      </c>
      <c r="CZ83" s="167">
        <v>20000</v>
      </c>
      <c r="DA83" s="167">
        <v>20000</v>
      </c>
      <c r="DB83" s="167">
        <v>19326.964354596472</v>
      </c>
      <c r="DC83" s="167">
        <v>18847.815120123912</v>
      </c>
      <c r="DD83" s="167">
        <v>19064.415021151879</v>
      </c>
      <c r="DE83" s="167">
        <v>20000</v>
      </c>
      <c r="DF83" s="167">
        <v>20000</v>
      </c>
      <c r="DG83" s="167">
        <v>20000</v>
      </c>
      <c r="DH83" s="167">
        <v>20000</v>
      </c>
      <c r="DI83" s="167">
        <v>20000</v>
      </c>
      <c r="DJ83" s="167">
        <v>20000</v>
      </c>
      <c r="DK83" s="167">
        <v>20000</v>
      </c>
      <c r="DL83" s="167">
        <v>20000</v>
      </c>
      <c r="DM83" s="167">
        <v>20000</v>
      </c>
      <c r="DN83" s="167">
        <v>20000</v>
      </c>
      <c r="DO83" s="167">
        <v>20000</v>
      </c>
      <c r="DP83" s="167">
        <v>20000</v>
      </c>
      <c r="DQ83" s="167">
        <v>20000</v>
      </c>
      <c r="DR83" s="167">
        <v>20000</v>
      </c>
      <c r="DS83" s="167">
        <v>20000</v>
      </c>
      <c r="DT83" s="167">
        <v>20000</v>
      </c>
      <c r="DU83" s="167">
        <v>20000</v>
      </c>
      <c r="DV83" s="167">
        <v>20000</v>
      </c>
      <c r="DW83" s="167">
        <v>20000</v>
      </c>
      <c r="DX83" s="167">
        <v>20000</v>
      </c>
      <c r="DY83" s="167">
        <v>20000</v>
      </c>
      <c r="DZ83" s="167">
        <v>20000</v>
      </c>
      <c r="EA83" s="167">
        <v>20000</v>
      </c>
      <c r="EB83" s="167">
        <v>20000</v>
      </c>
      <c r="EC83" s="167">
        <v>18901.9742034316</v>
      </c>
      <c r="ED83" s="167">
        <v>18332.55021314057</v>
      </c>
      <c r="EE83" s="167">
        <v>18672.219553032646</v>
      </c>
      <c r="EF83" s="167">
        <v>19757.009678559825</v>
      </c>
      <c r="EG83" s="167">
        <v>20000</v>
      </c>
      <c r="EH83" s="167">
        <v>20000</v>
      </c>
      <c r="EI83" s="167">
        <v>20000</v>
      </c>
      <c r="EJ83" s="167">
        <v>20000</v>
      </c>
      <c r="EK83" s="167">
        <v>20000</v>
      </c>
      <c r="EL83" s="167">
        <v>20000</v>
      </c>
      <c r="EM83" s="167">
        <v>20000</v>
      </c>
      <c r="EN83" s="167">
        <v>20000</v>
      </c>
      <c r="EO83" s="167">
        <v>20000</v>
      </c>
      <c r="EP83" t="str">
        <f t="shared" si="1"/>
        <v>3y 147d</v>
      </c>
    </row>
    <row r="84" spans="2:146" x14ac:dyDescent="0.25">
      <c r="B84" s="65">
        <v>81</v>
      </c>
      <c r="D84">
        <v>25408628.828997444</v>
      </c>
      <c r="E84" s="12">
        <v>112714401467.92093</v>
      </c>
      <c r="F84" s="12">
        <v>97215705106.939102</v>
      </c>
      <c r="G84" s="12">
        <v>0</v>
      </c>
      <c r="H84" s="12">
        <v>127623155.12205419</v>
      </c>
      <c r="I84" s="12">
        <v>-89661016749.827148</v>
      </c>
      <c r="J84" s="12">
        <v>-450821536723.03168</v>
      </c>
      <c r="K84" s="12">
        <v>23583027893.778713</v>
      </c>
      <c r="L84" s="12"/>
      <c r="M84" s="12"/>
      <c r="N84" s="12"/>
      <c r="O84" s="12"/>
      <c r="P84" s="12">
        <v>24886465.92085458</v>
      </c>
      <c r="Q84" s="12">
        <v>-154322128950.88986</v>
      </c>
      <c r="R84" s="12">
        <v>361021248087.31958</v>
      </c>
      <c r="S84" s="12">
        <v>0</v>
      </c>
      <c r="T84" s="12">
        <v>26001563.406223487</v>
      </c>
      <c r="U84" s="12">
        <v>-289977269178.10413</v>
      </c>
      <c r="V84" s="12">
        <v>339651080196.09851</v>
      </c>
      <c r="W84" s="12">
        <v>-746582276.97186065</v>
      </c>
      <c r="X84" s="12"/>
      <c r="Y84" s="12"/>
      <c r="Z84" s="12"/>
      <c r="AA84" s="12"/>
      <c r="AB84" s="12"/>
      <c r="AC84" s="12"/>
      <c r="AD84" s="12"/>
      <c r="AE84" s="12"/>
      <c r="AS84" s="6">
        <v>108577359.76465581</v>
      </c>
      <c r="AT84" s="167">
        <v>20000</v>
      </c>
      <c r="AU84" s="167">
        <v>20000</v>
      </c>
      <c r="AV84" s="167">
        <v>20000</v>
      </c>
      <c r="AW84" s="167">
        <v>20000</v>
      </c>
      <c r="AX84" s="167">
        <v>20000</v>
      </c>
      <c r="AY84" s="167">
        <v>20000</v>
      </c>
      <c r="AZ84" s="167">
        <v>20000</v>
      </c>
      <c r="BA84" s="167">
        <v>20000</v>
      </c>
      <c r="BB84" s="167">
        <v>20000</v>
      </c>
      <c r="BC84" s="167">
        <v>20000</v>
      </c>
      <c r="BD84" s="167">
        <v>20000</v>
      </c>
      <c r="BE84" s="167">
        <v>17544.716072336894</v>
      </c>
      <c r="BF84" s="167">
        <v>16030.349137029945</v>
      </c>
      <c r="BG84" s="167">
        <v>15382.041462623311</v>
      </c>
      <c r="BH84" s="167">
        <v>15794.015170479499</v>
      </c>
      <c r="BI84" s="167">
        <v>17175.920686256079</v>
      </c>
      <c r="BJ84" s="167">
        <v>19358.810803684235</v>
      </c>
      <c r="BK84" s="167">
        <v>20000</v>
      </c>
      <c r="BL84" s="167">
        <v>20000</v>
      </c>
      <c r="BM84" s="167">
        <v>20000</v>
      </c>
      <c r="BN84" s="167">
        <v>20000</v>
      </c>
      <c r="BO84" s="167">
        <v>20000</v>
      </c>
      <c r="BP84" s="167">
        <v>20000</v>
      </c>
      <c r="BQ84" s="167">
        <v>20000</v>
      </c>
      <c r="BR84" s="167">
        <v>20000</v>
      </c>
      <c r="BS84" s="167">
        <v>20000</v>
      </c>
      <c r="BT84" s="167">
        <v>20000</v>
      </c>
      <c r="BU84" s="167">
        <v>20000</v>
      </c>
      <c r="BV84" s="167">
        <v>20000</v>
      </c>
      <c r="BW84" s="167">
        <v>20000</v>
      </c>
      <c r="BX84" s="167">
        <v>20000</v>
      </c>
      <c r="BY84" s="167">
        <v>20000</v>
      </c>
      <c r="BZ84" s="167">
        <v>20000</v>
      </c>
      <c r="CA84" s="167">
        <v>20000</v>
      </c>
      <c r="CB84" s="167">
        <v>17636.452404354706</v>
      </c>
      <c r="CC84" s="167">
        <v>15785.111381688015</v>
      </c>
      <c r="CD84" s="167">
        <v>15056.95945558454</v>
      </c>
      <c r="CE84" s="167">
        <v>15236.855024293745</v>
      </c>
      <c r="CF84" s="167">
        <v>16413.619966990285</v>
      </c>
      <c r="CG84" s="167">
        <v>18395.398038411902</v>
      </c>
      <c r="CH84" s="167">
        <v>20000</v>
      </c>
      <c r="CI84" s="167">
        <v>20000</v>
      </c>
      <c r="CJ84" s="167">
        <v>20000</v>
      </c>
      <c r="CK84" s="167">
        <v>20000</v>
      </c>
      <c r="CL84" s="167">
        <v>20000</v>
      </c>
      <c r="CM84" s="167">
        <v>20000</v>
      </c>
      <c r="CN84" s="167">
        <v>20000</v>
      </c>
      <c r="CO84" s="167">
        <v>20000</v>
      </c>
      <c r="CP84" s="167">
        <v>20000</v>
      </c>
      <c r="CQ84" s="167">
        <v>20000</v>
      </c>
      <c r="CR84" s="167">
        <v>20000</v>
      </c>
      <c r="CS84" s="167">
        <v>20000</v>
      </c>
      <c r="CT84" s="167">
        <v>20000</v>
      </c>
      <c r="CU84" s="167">
        <v>20000</v>
      </c>
      <c r="CV84" s="167">
        <v>20000</v>
      </c>
      <c r="CW84" s="167">
        <v>20000</v>
      </c>
      <c r="CX84" s="167">
        <v>20000</v>
      </c>
      <c r="CY84" s="167">
        <v>20000</v>
      </c>
      <c r="CZ84" s="167">
        <v>20000</v>
      </c>
      <c r="DA84" s="167">
        <v>20000</v>
      </c>
      <c r="DB84" s="167">
        <v>19920.711533148038</v>
      </c>
      <c r="DC84" s="167">
        <v>19191.975446717421</v>
      </c>
      <c r="DD84" s="167">
        <v>19185.360955945307</v>
      </c>
      <c r="DE84" s="167">
        <v>19967.570298952156</v>
      </c>
      <c r="DF84" s="167">
        <v>20000</v>
      </c>
      <c r="DG84" s="167">
        <v>20000</v>
      </c>
      <c r="DH84" s="167">
        <v>20000</v>
      </c>
      <c r="DI84" s="167">
        <v>20000</v>
      </c>
      <c r="DJ84" s="167">
        <v>20000</v>
      </c>
      <c r="DK84" s="167">
        <v>20000</v>
      </c>
      <c r="DL84" s="167">
        <v>20000</v>
      </c>
      <c r="DM84" s="167">
        <v>20000</v>
      </c>
      <c r="DN84" s="167">
        <v>20000</v>
      </c>
      <c r="DO84" s="167">
        <v>20000</v>
      </c>
      <c r="DP84" s="167">
        <v>20000</v>
      </c>
      <c r="DQ84" s="167">
        <v>20000</v>
      </c>
      <c r="DR84" s="167">
        <v>20000</v>
      </c>
      <c r="DS84" s="167">
        <v>20000</v>
      </c>
      <c r="DT84" s="167">
        <v>20000</v>
      </c>
      <c r="DU84" s="167">
        <v>20000</v>
      </c>
      <c r="DV84" s="167">
        <v>20000</v>
      </c>
      <c r="DW84" s="167">
        <v>20000</v>
      </c>
      <c r="DX84" s="167">
        <v>20000</v>
      </c>
      <c r="DY84" s="167">
        <v>20000</v>
      </c>
      <c r="DZ84" s="167">
        <v>20000</v>
      </c>
      <c r="EA84" s="167">
        <v>20000</v>
      </c>
      <c r="EB84" s="167">
        <v>20000</v>
      </c>
      <c r="EC84" s="167">
        <v>19040.270411322519</v>
      </c>
      <c r="ED84" s="167">
        <v>18279.740827626374</v>
      </c>
      <c r="EE84" s="167">
        <v>18453.192292737418</v>
      </c>
      <c r="EF84" s="167">
        <v>19445.397632818607</v>
      </c>
      <c r="EG84" s="167">
        <v>20000</v>
      </c>
      <c r="EH84" s="167">
        <v>20000</v>
      </c>
      <c r="EI84" s="167">
        <v>20000</v>
      </c>
      <c r="EJ84" s="167">
        <v>20000</v>
      </c>
      <c r="EK84" s="167">
        <v>20000</v>
      </c>
      <c r="EL84" s="167">
        <v>20000</v>
      </c>
      <c r="EM84" s="167">
        <v>20000</v>
      </c>
      <c r="EN84" s="167">
        <v>20000</v>
      </c>
      <c r="EO84" s="167">
        <v>20000</v>
      </c>
      <c r="EP84" t="str">
        <f t="shared" si="1"/>
        <v>3y 161d</v>
      </c>
    </row>
    <row r="85" spans="2:146" x14ac:dyDescent="0.25">
      <c r="B85" s="65">
        <v>82</v>
      </c>
      <c r="D85">
        <v>25720855.892839331</v>
      </c>
      <c r="E85" s="12">
        <v>106282387354.26392</v>
      </c>
      <c r="F85" s="12">
        <v>103998159278.07776</v>
      </c>
      <c r="G85" s="12">
        <v>0</v>
      </c>
      <c r="H85" s="12">
        <v>129374319.48789799</v>
      </c>
      <c r="I85" s="12">
        <v>-60641995942.120262</v>
      </c>
      <c r="J85" s="12">
        <v>-451818799750.96606</v>
      </c>
      <c r="K85" s="12">
        <v>22853716835.013462</v>
      </c>
      <c r="L85" s="12"/>
      <c r="M85" s="12"/>
      <c r="N85" s="12"/>
      <c r="O85" s="12"/>
      <c r="P85" s="12">
        <v>25762372.676796287</v>
      </c>
      <c r="Q85" s="12">
        <v>-167988762606.79272</v>
      </c>
      <c r="R85" s="12">
        <v>361702688370.48328</v>
      </c>
      <c r="S85" s="12">
        <v>0</v>
      </c>
      <c r="T85" s="12">
        <v>26572497.961484946</v>
      </c>
      <c r="U85" s="12">
        <v>-296717073729.81226</v>
      </c>
      <c r="V85" s="12">
        <v>336689036110.66406</v>
      </c>
      <c r="W85" s="12">
        <v>-753960941.24437356</v>
      </c>
      <c r="X85" s="12"/>
      <c r="Y85" s="12"/>
      <c r="Z85" s="12"/>
      <c r="AA85" s="12"/>
      <c r="AB85" s="12"/>
      <c r="AC85" s="12"/>
      <c r="AD85" s="12"/>
      <c r="AE85" s="12"/>
      <c r="AS85" s="6">
        <v>109765022.30669868</v>
      </c>
      <c r="AT85" s="167">
        <v>20000</v>
      </c>
      <c r="AU85" s="167">
        <v>20000</v>
      </c>
      <c r="AV85" s="167">
        <v>20000</v>
      </c>
      <c r="AW85" s="167">
        <v>20000</v>
      </c>
      <c r="AX85" s="167">
        <v>20000</v>
      </c>
      <c r="AY85" s="167">
        <v>20000</v>
      </c>
      <c r="AZ85" s="167">
        <v>20000</v>
      </c>
      <c r="BA85" s="167">
        <v>20000</v>
      </c>
      <c r="BB85" s="167">
        <v>20000</v>
      </c>
      <c r="BC85" s="167">
        <v>20000</v>
      </c>
      <c r="BD85" s="167">
        <v>20000</v>
      </c>
      <c r="BE85" s="167">
        <v>17819.81454295916</v>
      </c>
      <c r="BF85" s="167">
        <v>16165.23598356494</v>
      </c>
      <c r="BG85" s="167">
        <v>15418.695295259446</v>
      </c>
      <c r="BH85" s="167">
        <v>15720.84373367536</v>
      </c>
      <c r="BI85" s="167">
        <v>17012.118886555731</v>
      </c>
      <c r="BJ85" s="167">
        <v>19124.550014047294</v>
      </c>
      <c r="BK85" s="167">
        <v>20000</v>
      </c>
      <c r="BL85" s="167">
        <v>20000</v>
      </c>
      <c r="BM85" s="167">
        <v>20000</v>
      </c>
      <c r="BN85" s="167">
        <v>20000</v>
      </c>
      <c r="BO85" s="167">
        <v>20000</v>
      </c>
      <c r="BP85" s="167">
        <v>20000</v>
      </c>
      <c r="BQ85" s="167">
        <v>20000</v>
      </c>
      <c r="BR85" s="167">
        <v>20000</v>
      </c>
      <c r="BS85" s="167">
        <v>20000</v>
      </c>
      <c r="BT85" s="167">
        <v>20000</v>
      </c>
      <c r="BU85" s="167">
        <v>20000</v>
      </c>
      <c r="BV85" s="167">
        <v>20000</v>
      </c>
      <c r="BW85" s="167">
        <v>20000</v>
      </c>
      <c r="BX85" s="167">
        <v>20000</v>
      </c>
      <c r="BY85" s="167">
        <v>20000</v>
      </c>
      <c r="BZ85" s="167">
        <v>20000</v>
      </c>
      <c r="CA85" s="167">
        <v>20000</v>
      </c>
      <c r="CB85" s="167">
        <v>18096.513308204456</v>
      </c>
      <c r="CC85" s="167">
        <v>16066.690912069964</v>
      </c>
      <c r="CD85" s="167">
        <v>15229.304821677841</v>
      </c>
      <c r="CE85" s="167">
        <v>15272.879218196815</v>
      </c>
      <c r="CF85" s="167">
        <v>16330.370584108481</v>
      </c>
      <c r="CG85" s="167">
        <v>18212.901572777238</v>
      </c>
      <c r="CH85" s="167">
        <v>20000</v>
      </c>
      <c r="CI85" s="167">
        <v>20000</v>
      </c>
      <c r="CJ85" s="167">
        <v>20000</v>
      </c>
      <c r="CK85" s="167">
        <v>20000</v>
      </c>
      <c r="CL85" s="167">
        <v>20000</v>
      </c>
      <c r="CM85" s="167">
        <v>20000</v>
      </c>
      <c r="CN85" s="167">
        <v>20000</v>
      </c>
      <c r="CO85" s="167">
        <v>20000</v>
      </c>
      <c r="CP85" s="167">
        <v>20000</v>
      </c>
      <c r="CQ85" s="167">
        <v>20000</v>
      </c>
      <c r="CR85" s="167">
        <v>20000</v>
      </c>
      <c r="CS85" s="167">
        <v>20000</v>
      </c>
      <c r="CT85" s="167">
        <v>20000</v>
      </c>
      <c r="CU85" s="167">
        <v>20000</v>
      </c>
      <c r="CV85" s="167">
        <v>20000</v>
      </c>
      <c r="CW85" s="167">
        <v>20000</v>
      </c>
      <c r="CX85" s="167">
        <v>20000</v>
      </c>
      <c r="CY85" s="167">
        <v>20000</v>
      </c>
      <c r="CZ85" s="167">
        <v>20000</v>
      </c>
      <c r="DA85" s="167">
        <v>20000</v>
      </c>
      <c r="DB85" s="167">
        <v>20000</v>
      </c>
      <c r="DC85" s="167">
        <v>19596.085667129235</v>
      </c>
      <c r="DD85" s="167">
        <v>19355.552450623632</v>
      </c>
      <c r="DE85" s="167">
        <v>19936.097631828008</v>
      </c>
      <c r="DF85" s="167">
        <v>20000</v>
      </c>
      <c r="DG85" s="167">
        <v>20000</v>
      </c>
      <c r="DH85" s="167">
        <v>20000</v>
      </c>
      <c r="DI85" s="167">
        <v>20000</v>
      </c>
      <c r="DJ85" s="167">
        <v>20000</v>
      </c>
      <c r="DK85" s="167">
        <v>20000</v>
      </c>
      <c r="DL85" s="167">
        <v>20000</v>
      </c>
      <c r="DM85" s="167">
        <v>20000</v>
      </c>
      <c r="DN85" s="167">
        <v>20000</v>
      </c>
      <c r="DO85" s="167">
        <v>20000</v>
      </c>
      <c r="DP85" s="167">
        <v>20000</v>
      </c>
      <c r="DQ85" s="167">
        <v>20000</v>
      </c>
      <c r="DR85" s="167">
        <v>20000</v>
      </c>
      <c r="DS85" s="167">
        <v>20000</v>
      </c>
      <c r="DT85" s="167">
        <v>20000</v>
      </c>
      <c r="DU85" s="167">
        <v>20000</v>
      </c>
      <c r="DV85" s="167">
        <v>20000</v>
      </c>
      <c r="DW85" s="167">
        <v>20000</v>
      </c>
      <c r="DX85" s="167">
        <v>20000</v>
      </c>
      <c r="DY85" s="167">
        <v>20000</v>
      </c>
      <c r="DZ85" s="167">
        <v>20000</v>
      </c>
      <c r="EA85" s="167">
        <v>20000</v>
      </c>
      <c r="EB85" s="167">
        <v>20000</v>
      </c>
      <c r="EC85" s="167">
        <v>19212.813181815789</v>
      </c>
      <c r="ED85" s="167">
        <v>18264.535436414142</v>
      </c>
      <c r="EE85" s="167">
        <v>18269.716948447065</v>
      </c>
      <c r="EF85" s="167">
        <v>19149.18882250951</v>
      </c>
      <c r="EG85" s="167">
        <v>20000</v>
      </c>
      <c r="EH85" s="167">
        <v>20000</v>
      </c>
      <c r="EI85" s="167">
        <v>20000</v>
      </c>
      <c r="EJ85" s="167">
        <v>20000</v>
      </c>
      <c r="EK85" s="167">
        <v>20000</v>
      </c>
      <c r="EL85" s="167">
        <v>20000</v>
      </c>
      <c r="EM85" s="167">
        <v>20000</v>
      </c>
      <c r="EN85" s="167">
        <v>20000</v>
      </c>
      <c r="EO85" s="167">
        <v>20000</v>
      </c>
      <c r="EP85" t="str">
        <f t="shared" si="1"/>
        <v>3y 175d</v>
      </c>
    </row>
    <row r="86" spans="2:146" x14ac:dyDescent="0.25">
      <c r="B86" s="65">
        <v>83</v>
      </c>
      <c r="D86">
        <v>26032471.906579688</v>
      </c>
      <c r="E86" s="12">
        <v>99446314925.009796</v>
      </c>
      <c r="F86" s="12">
        <v>110359656450.3756</v>
      </c>
      <c r="G86" s="12">
        <v>0</v>
      </c>
      <c r="H86" s="12">
        <v>131096255.28806406</v>
      </c>
      <c r="I86" s="12">
        <v>-31854303723.61026</v>
      </c>
      <c r="J86" s="12">
        <v>-450915484825.26459</v>
      </c>
      <c r="K86" s="12">
        <v>22041281806.817051</v>
      </c>
      <c r="L86" s="12"/>
      <c r="M86" s="12"/>
      <c r="N86" s="12"/>
      <c r="O86" s="12"/>
      <c r="P86" s="12">
        <v>26665689.566774368</v>
      </c>
      <c r="Q86" s="12">
        <v>-181800753570.32019</v>
      </c>
      <c r="R86" s="12">
        <v>361797708738.07715</v>
      </c>
      <c r="S86" s="12">
        <v>0</v>
      </c>
      <c r="T86" s="12">
        <v>27148894.030255962</v>
      </c>
      <c r="U86" s="12">
        <v>-303377356111.54504</v>
      </c>
      <c r="V86" s="12">
        <v>333535268768.85931</v>
      </c>
      <c r="W86" s="12">
        <v>-761044301.34543431</v>
      </c>
      <c r="X86" s="12"/>
      <c r="Y86" s="12"/>
      <c r="Z86" s="12"/>
      <c r="AA86" s="12"/>
      <c r="AB86" s="12"/>
      <c r="AC86" s="12"/>
      <c r="AD86" s="12"/>
      <c r="AE86" s="12"/>
      <c r="AS86" s="6">
        <v>110952684.84874155</v>
      </c>
      <c r="AT86" s="167">
        <v>20000</v>
      </c>
      <c r="AU86" s="167">
        <v>20000</v>
      </c>
      <c r="AV86" s="167">
        <v>20000</v>
      </c>
      <c r="AW86" s="167">
        <v>20000</v>
      </c>
      <c r="AX86" s="167">
        <v>20000</v>
      </c>
      <c r="AY86" s="167">
        <v>20000</v>
      </c>
      <c r="AZ86" s="167">
        <v>20000</v>
      </c>
      <c r="BA86" s="167">
        <v>20000</v>
      </c>
      <c r="BB86" s="167">
        <v>20000</v>
      </c>
      <c r="BC86" s="167">
        <v>20000</v>
      </c>
      <c r="BD86" s="167">
        <v>20000</v>
      </c>
      <c r="BE86" s="167">
        <v>18111.135594310566</v>
      </c>
      <c r="BF86" s="167">
        <v>16315.58920508534</v>
      </c>
      <c r="BG86" s="167">
        <v>15470.948786669896</v>
      </c>
      <c r="BH86" s="167">
        <v>15661.254129549125</v>
      </c>
      <c r="BI86" s="167">
        <v>16859.471074938618</v>
      </c>
      <c r="BJ86" s="167">
        <v>18899.314110400002</v>
      </c>
      <c r="BK86" s="167">
        <v>20000</v>
      </c>
      <c r="BL86" s="167">
        <v>20000</v>
      </c>
      <c r="BM86" s="167">
        <v>20000</v>
      </c>
      <c r="BN86" s="167">
        <v>20000</v>
      </c>
      <c r="BO86" s="167">
        <v>20000</v>
      </c>
      <c r="BP86" s="167">
        <v>20000</v>
      </c>
      <c r="BQ86" s="167">
        <v>20000</v>
      </c>
      <c r="BR86" s="167">
        <v>20000</v>
      </c>
      <c r="BS86" s="167">
        <v>20000</v>
      </c>
      <c r="BT86" s="167">
        <v>20000</v>
      </c>
      <c r="BU86" s="167">
        <v>20000</v>
      </c>
      <c r="BV86" s="167">
        <v>20000</v>
      </c>
      <c r="BW86" s="167">
        <v>20000</v>
      </c>
      <c r="BX86" s="167">
        <v>20000</v>
      </c>
      <c r="BY86" s="167">
        <v>20000</v>
      </c>
      <c r="BZ86" s="167">
        <v>20000</v>
      </c>
      <c r="CA86" s="167">
        <v>20000</v>
      </c>
      <c r="CB86" s="167">
        <v>18593.338137713567</v>
      </c>
      <c r="CC86" s="167">
        <v>16383.765728579316</v>
      </c>
      <c r="CD86" s="167">
        <v>15422.091191670859</v>
      </c>
      <c r="CE86" s="167">
        <v>15328.289629590003</v>
      </c>
      <c r="CF86" s="167">
        <v>16261.451743265388</v>
      </c>
      <c r="CG86" s="167">
        <v>18040.315531069398</v>
      </c>
      <c r="CH86" s="167">
        <v>20000</v>
      </c>
      <c r="CI86" s="167">
        <v>20000</v>
      </c>
      <c r="CJ86" s="167">
        <v>20000</v>
      </c>
      <c r="CK86" s="167">
        <v>20000</v>
      </c>
      <c r="CL86" s="167">
        <v>20000</v>
      </c>
      <c r="CM86" s="167">
        <v>20000</v>
      </c>
      <c r="CN86" s="167">
        <v>20000</v>
      </c>
      <c r="CO86" s="167">
        <v>20000</v>
      </c>
      <c r="CP86" s="167">
        <v>20000</v>
      </c>
      <c r="CQ86" s="167">
        <v>20000</v>
      </c>
      <c r="CR86" s="167">
        <v>20000</v>
      </c>
      <c r="CS86" s="167">
        <v>20000</v>
      </c>
      <c r="CT86" s="167">
        <v>20000</v>
      </c>
      <c r="CU86" s="167">
        <v>20000</v>
      </c>
      <c r="CV86" s="167">
        <v>20000</v>
      </c>
      <c r="CW86" s="167">
        <v>20000</v>
      </c>
      <c r="CX86" s="167">
        <v>20000</v>
      </c>
      <c r="CY86" s="167">
        <v>20000</v>
      </c>
      <c r="CZ86" s="167">
        <v>20000</v>
      </c>
      <c r="DA86" s="167">
        <v>20000</v>
      </c>
      <c r="DB86" s="167">
        <v>20000</v>
      </c>
      <c r="DC86" s="167">
        <v>20000</v>
      </c>
      <c r="DD86" s="167">
        <v>19578.34648984954</v>
      </c>
      <c r="DE86" s="167">
        <v>19945.935725838805</v>
      </c>
      <c r="DF86" s="167">
        <v>20000</v>
      </c>
      <c r="DG86" s="167">
        <v>20000</v>
      </c>
      <c r="DH86" s="167">
        <v>20000</v>
      </c>
      <c r="DI86" s="167">
        <v>20000</v>
      </c>
      <c r="DJ86" s="167">
        <v>20000</v>
      </c>
      <c r="DK86" s="167">
        <v>20000</v>
      </c>
      <c r="DL86" s="167">
        <v>20000</v>
      </c>
      <c r="DM86" s="167">
        <v>20000</v>
      </c>
      <c r="DN86" s="167">
        <v>20000</v>
      </c>
      <c r="DO86" s="167">
        <v>20000</v>
      </c>
      <c r="DP86" s="167">
        <v>20000</v>
      </c>
      <c r="DQ86" s="167">
        <v>20000</v>
      </c>
      <c r="DR86" s="167">
        <v>20000</v>
      </c>
      <c r="DS86" s="167">
        <v>20000</v>
      </c>
      <c r="DT86" s="167">
        <v>20000</v>
      </c>
      <c r="DU86" s="167">
        <v>20000</v>
      </c>
      <c r="DV86" s="167">
        <v>20000</v>
      </c>
      <c r="DW86" s="167">
        <v>20000</v>
      </c>
      <c r="DX86" s="167">
        <v>20000</v>
      </c>
      <c r="DY86" s="167">
        <v>20000</v>
      </c>
      <c r="DZ86" s="167">
        <v>20000</v>
      </c>
      <c r="EA86" s="167">
        <v>20000</v>
      </c>
      <c r="EB86" s="167">
        <v>20000</v>
      </c>
      <c r="EC86" s="167">
        <v>19417.23641746803</v>
      </c>
      <c r="ED86" s="167">
        <v>18284.39144395716</v>
      </c>
      <c r="EE86" s="167">
        <v>18125.098449257901</v>
      </c>
      <c r="EF86" s="167">
        <v>18859.785180124112</v>
      </c>
      <c r="EG86" s="167">
        <v>20000</v>
      </c>
      <c r="EH86" s="167">
        <v>20000</v>
      </c>
      <c r="EI86" s="167">
        <v>20000</v>
      </c>
      <c r="EJ86" s="167">
        <v>20000</v>
      </c>
      <c r="EK86" s="167">
        <v>20000</v>
      </c>
      <c r="EL86" s="167">
        <v>20000</v>
      </c>
      <c r="EM86" s="167">
        <v>20000</v>
      </c>
      <c r="EN86" s="167">
        <v>20000</v>
      </c>
      <c r="EO86" s="167">
        <v>20000</v>
      </c>
      <c r="EP86" t="str">
        <f t="shared" si="1"/>
        <v>3y 188d</v>
      </c>
    </row>
    <row r="87" spans="2:146" x14ac:dyDescent="0.25">
      <c r="B87" s="65">
        <v>84</v>
      </c>
      <c r="D87">
        <v>26343493.894566931</v>
      </c>
      <c r="E87" s="12">
        <v>92233792262.362045</v>
      </c>
      <c r="F87" s="12">
        <v>116276811754.82144</v>
      </c>
      <c r="G87" s="12">
        <v>0</v>
      </c>
      <c r="H87" s="12">
        <v>132788879.00492185</v>
      </c>
      <c r="I87" s="12">
        <v>-3424810958.2889867</v>
      </c>
      <c r="J87" s="12">
        <v>-448163574836.60406</v>
      </c>
      <c r="K87" s="12">
        <v>21151558997.430798</v>
      </c>
      <c r="L87" s="12"/>
      <c r="M87" s="12"/>
      <c r="N87" s="12"/>
      <c r="O87" s="12"/>
      <c r="P87" s="12">
        <v>27596368.737452924</v>
      </c>
      <c r="Q87" s="12">
        <v>-195721083923.88937</v>
      </c>
      <c r="R87" s="12">
        <v>361278724968.97986</v>
      </c>
      <c r="S87" s="12">
        <v>0</v>
      </c>
      <c r="T87" s="12">
        <v>27730552.803158831</v>
      </c>
      <c r="U87" s="12">
        <v>-309950568254.02966</v>
      </c>
      <c r="V87" s="12">
        <v>330190128810.12946</v>
      </c>
      <c r="W87" s="12">
        <v>-767821368.28596151</v>
      </c>
      <c r="X87" s="12"/>
      <c r="Y87" s="12"/>
      <c r="Z87" s="12"/>
      <c r="AA87" s="12"/>
      <c r="AB87" s="12"/>
      <c r="AC87" s="12"/>
      <c r="AD87" s="12"/>
      <c r="AE87" s="12"/>
      <c r="AS87" s="6">
        <v>112140347.39078441</v>
      </c>
      <c r="AT87" s="167">
        <v>20000</v>
      </c>
      <c r="AU87" s="167">
        <v>20000</v>
      </c>
      <c r="AV87" s="167">
        <v>20000</v>
      </c>
      <c r="AW87" s="167">
        <v>20000</v>
      </c>
      <c r="AX87" s="167">
        <v>20000</v>
      </c>
      <c r="AY87" s="167">
        <v>20000</v>
      </c>
      <c r="AZ87" s="167">
        <v>20000</v>
      </c>
      <c r="BA87" s="167">
        <v>20000</v>
      </c>
      <c r="BB87" s="167">
        <v>20000</v>
      </c>
      <c r="BC87" s="167">
        <v>20000</v>
      </c>
      <c r="BD87" s="167">
        <v>20000</v>
      </c>
      <c r="BE87" s="167">
        <v>18419.112533416876</v>
      </c>
      <c r="BF87" s="167">
        <v>16481.913477725389</v>
      </c>
      <c r="BG87" s="167">
        <v>15539.10841679296</v>
      </c>
      <c r="BH87" s="167">
        <v>15615.562352534422</v>
      </c>
      <c r="BI87" s="167">
        <v>16718.231050778897</v>
      </c>
      <c r="BJ87" s="167">
        <v>18683.250604960336</v>
      </c>
      <c r="BK87" s="167">
        <v>20000</v>
      </c>
      <c r="BL87" s="167">
        <v>20000</v>
      </c>
      <c r="BM87" s="167">
        <v>20000</v>
      </c>
      <c r="BN87" s="167">
        <v>20000</v>
      </c>
      <c r="BO87" s="167">
        <v>20000</v>
      </c>
      <c r="BP87" s="167">
        <v>20000</v>
      </c>
      <c r="BQ87" s="167">
        <v>20000</v>
      </c>
      <c r="BR87" s="167">
        <v>20000</v>
      </c>
      <c r="BS87" s="167">
        <v>20000</v>
      </c>
      <c r="BT87" s="167">
        <v>20000</v>
      </c>
      <c r="BU87" s="167">
        <v>20000</v>
      </c>
      <c r="BV87" s="167">
        <v>20000</v>
      </c>
      <c r="BW87" s="167">
        <v>20000</v>
      </c>
      <c r="BX87" s="167">
        <v>20000</v>
      </c>
      <c r="BY87" s="167">
        <v>20000</v>
      </c>
      <c r="BZ87" s="167">
        <v>20000</v>
      </c>
      <c r="CA87" s="167">
        <v>20000</v>
      </c>
      <c r="CB87" s="167">
        <v>19129.20582760853</v>
      </c>
      <c r="CC87" s="167">
        <v>16738.066244915906</v>
      </c>
      <c r="CD87" s="167">
        <v>15585.558405911441</v>
      </c>
      <c r="CE87" s="167">
        <v>15404.763898942785</v>
      </c>
      <c r="CF87" s="167">
        <v>16208.24993112793</v>
      </c>
      <c r="CG87" s="167">
        <v>17878.658007021884</v>
      </c>
      <c r="CH87" s="167">
        <v>20000</v>
      </c>
      <c r="CI87" s="167">
        <v>20000</v>
      </c>
      <c r="CJ87" s="167">
        <v>20000</v>
      </c>
      <c r="CK87" s="167">
        <v>20000</v>
      </c>
      <c r="CL87" s="167">
        <v>20000</v>
      </c>
      <c r="CM87" s="167">
        <v>20000</v>
      </c>
      <c r="CN87" s="167">
        <v>20000</v>
      </c>
      <c r="CO87" s="167">
        <v>20000</v>
      </c>
      <c r="CP87" s="167">
        <v>20000</v>
      </c>
      <c r="CQ87" s="167">
        <v>20000</v>
      </c>
      <c r="CR87" s="167">
        <v>20000</v>
      </c>
      <c r="CS87" s="167">
        <v>20000</v>
      </c>
      <c r="CT87" s="167">
        <v>20000</v>
      </c>
      <c r="CU87" s="167">
        <v>20000</v>
      </c>
      <c r="CV87" s="167">
        <v>20000</v>
      </c>
      <c r="CW87" s="167">
        <v>20000</v>
      </c>
      <c r="CX87" s="167">
        <v>20000</v>
      </c>
      <c r="CY87" s="167">
        <v>20000</v>
      </c>
      <c r="CZ87" s="167">
        <v>20000</v>
      </c>
      <c r="DA87" s="167">
        <v>20000</v>
      </c>
      <c r="DB87" s="167">
        <v>20000</v>
      </c>
      <c r="DC87" s="167">
        <v>20000</v>
      </c>
      <c r="DD87" s="167">
        <v>19856.812675500551</v>
      </c>
      <c r="DE87" s="167">
        <v>20000</v>
      </c>
      <c r="DF87" s="167">
        <v>20000</v>
      </c>
      <c r="DG87" s="167">
        <v>20000</v>
      </c>
      <c r="DH87" s="167">
        <v>20000</v>
      </c>
      <c r="DI87" s="167">
        <v>20000</v>
      </c>
      <c r="DJ87" s="167">
        <v>20000</v>
      </c>
      <c r="DK87" s="167">
        <v>20000</v>
      </c>
      <c r="DL87" s="167">
        <v>20000</v>
      </c>
      <c r="DM87" s="167">
        <v>20000</v>
      </c>
      <c r="DN87" s="167">
        <v>20000</v>
      </c>
      <c r="DO87" s="167">
        <v>20000</v>
      </c>
      <c r="DP87" s="167">
        <v>20000</v>
      </c>
      <c r="DQ87" s="167">
        <v>20000</v>
      </c>
      <c r="DR87" s="167">
        <v>20000</v>
      </c>
      <c r="DS87" s="167">
        <v>20000</v>
      </c>
      <c r="DT87" s="167">
        <v>20000</v>
      </c>
      <c r="DU87" s="167">
        <v>20000</v>
      </c>
      <c r="DV87" s="167">
        <v>20000</v>
      </c>
      <c r="DW87" s="167">
        <v>20000</v>
      </c>
      <c r="DX87" s="167">
        <v>20000</v>
      </c>
      <c r="DY87" s="167">
        <v>20000</v>
      </c>
      <c r="DZ87" s="167">
        <v>20000</v>
      </c>
      <c r="EA87" s="167">
        <v>20000</v>
      </c>
      <c r="EB87" s="167">
        <v>20000</v>
      </c>
      <c r="EC87" s="167">
        <v>19651.396419828237</v>
      </c>
      <c r="ED87" s="167">
        <v>18336.96929606445</v>
      </c>
      <c r="EE87" s="167">
        <v>18015.502107244956</v>
      </c>
      <c r="EF87" s="167">
        <v>18616.219943367982</v>
      </c>
      <c r="EG87" s="167">
        <v>20000</v>
      </c>
      <c r="EH87" s="167">
        <v>20000</v>
      </c>
      <c r="EI87" s="167">
        <v>20000</v>
      </c>
      <c r="EJ87" s="167">
        <v>20000</v>
      </c>
      <c r="EK87" s="167">
        <v>20000</v>
      </c>
      <c r="EL87" s="167">
        <v>20000</v>
      </c>
      <c r="EM87" s="167">
        <v>20000</v>
      </c>
      <c r="EN87" s="167">
        <v>20000</v>
      </c>
      <c r="EO87" s="167">
        <v>20000</v>
      </c>
      <c r="EP87" t="str">
        <f t="shared" si="1"/>
        <v>3y 202d</v>
      </c>
    </row>
    <row r="88" spans="2:146" x14ac:dyDescent="0.25">
      <c r="B88" s="65">
        <v>85</v>
      </c>
      <c r="D88">
        <v>26653941.078213647</v>
      </c>
      <c r="E88" s="12">
        <v>84673693218.819901</v>
      </c>
      <c r="F88" s="12">
        <v>121728055511.23424</v>
      </c>
      <c r="G88" s="12">
        <v>0</v>
      </c>
      <c r="H88" s="12">
        <v>134452255.73971143</v>
      </c>
      <c r="I88" s="12">
        <v>24527647806.822388</v>
      </c>
      <c r="J88" s="12">
        <v>-443622780038.48535</v>
      </c>
      <c r="K88" s="12">
        <v>20190532768.763096</v>
      </c>
      <c r="L88" s="12"/>
      <c r="M88" s="12"/>
      <c r="N88" s="12"/>
      <c r="O88" s="12"/>
      <c r="P88" s="12">
        <v>28554229.969603311</v>
      </c>
      <c r="Q88" s="12">
        <v>-209709463841.61081</v>
      </c>
      <c r="R88" s="12">
        <v>360119829640.27771</v>
      </c>
      <c r="S88" s="12">
        <v>0</v>
      </c>
      <c r="T88" s="12">
        <v>28317264.184233841</v>
      </c>
      <c r="U88" s="12">
        <v>-316429156094.7373</v>
      </c>
      <c r="V88" s="12">
        <v>326654304554.60553</v>
      </c>
      <c r="W88" s="12">
        <v>-774281454.32375896</v>
      </c>
      <c r="X88" s="12"/>
      <c r="Y88" s="12"/>
      <c r="Z88" s="12"/>
      <c r="AA88" s="12"/>
      <c r="AB88" s="12"/>
      <c r="AC88" s="12"/>
      <c r="AD88" s="12"/>
      <c r="AE88" s="12"/>
      <c r="AS88" s="6">
        <v>113328009.93282728</v>
      </c>
      <c r="AT88" s="167">
        <v>20000</v>
      </c>
      <c r="AU88" s="167">
        <v>20000</v>
      </c>
      <c r="AV88" s="167">
        <v>20000</v>
      </c>
      <c r="AW88" s="167">
        <v>20000</v>
      </c>
      <c r="AX88" s="167">
        <v>20000</v>
      </c>
      <c r="AY88" s="167">
        <v>20000</v>
      </c>
      <c r="AZ88" s="167">
        <v>20000</v>
      </c>
      <c r="BA88" s="167">
        <v>20000</v>
      </c>
      <c r="BB88" s="167">
        <v>20000</v>
      </c>
      <c r="BC88" s="167">
        <v>20000</v>
      </c>
      <c r="BD88" s="167">
        <v>20000</v>
      </c>
      <c r="BE88" s="167">
        <v>18744.215732855126</v>
      </c>
      <c r="BF88" s="167">
        <v>16664.716654020769</v>
      </c>
      <c r="BG88" s="167">
        <v>15623.507235809277</v>
      </c>
      <c r="BH88" s="167">
        <v>15584.111272221346</v>
      </c>
      <c r="BI88" s="167">
        <v>16588.682173951474</v>
      </c>
      <c r="BJ88" s="167">
        <v>18476.53349756014</v>
      </c>
      <c r="BK88" s="167">
        <v>20000</v>
      </c>
      <c r="BL88" s="167">
        <v>20000</v>
      </c>
      <c r="BM88" s="167">
        <v>20000</v>
      </c>
      <c r="BN88" s="167">
        <v>20000</v>
      </c>
      <c r="BO88" s="167">
        <v>20000</v>
      </c>
      <c r="BP88" s="167">
        <v>20000</v>
      </c>
      <c r="BQ88" s="167">
        <v>20000</v>
      </c>
      <c r="BR88" s="167">
        <v>20000</v>
      </c>
      <c r="BS88" s="167">
        <v>20000</v>
      </c>
      <c r="BT88" s="167">
        <v>20000</v>
      </c>
      <c r="BU88" s="167">
        <v>20000</v>
      </c>
      <c r="BV88" s="167">
        <v>20000</v>
      </c>
      <c r="BW88" s="167">
        <v>20000</v>
      </c>
      <c r="BX88" s="167">
        <v>20000</v>
      </c>
      <c r="BY88" s="167">
        <v>20000</v>
      </c>
      <c r="BZ88" s="167">
        <v>20000</v>
      </c>
      <c r="CA88" s="167">
        <v>20000</v>
      </c>
      <c r="CB88" s="167">
        <v>19706.637283296353</v>
      </c>
      <c r="CC88" s="167">
        <v>17131.474628443641</v>
      </c>
      <c r="CD88" s="167">
        <v>15787.15244970688</v>
      </c>
      <c r="CE88" s="167">
        <v>15504.125125263397</v>
      </c>
      <c r="CF88" s="167">
        <v>16172.297501241877</v>
      </c>
      <c r="CG88" s="167">
        <v>17729.072460620595</v>
      </c>
      <c r="CH88" s="167">
        <v>19967.921806117989</v>
      </c>
      <c r="CI88" s="167">
        <v>20000</v>
      </c>
      <c r="CJ88" s="167">
        <v>20000</v>
      </c>
      <c r="CK88" s="167">
        <v>20000</v>
      </c>
      <c r="CL88" s="167">
        <v>20000</v>
      </c>
      <c r="CM88" s="167">
        <v>20000</v>
      </c>
      <c r="CN88" s="167">
        <v>20000</v>
      </c>
      <c r="CO88" s="167">
        <v>20000</v>
      </c>
      <c r="CP88" s="167">
        <v>20000</v>
      </c>
      <c r="CQ88" s="167">
        <v>20000</v>
      </c>
      <c r="CR88" s="167">
        <v>20000</v>
      </c>
      <c r="CS88" s="167">
        <v>20000</v>
      </c>
      <c r="CT88" s="167">
        <v>20000</v>
      </c>
      <c r="CU88" s="167">
        <v>20000</v>
      </c>
      <c r="CV88" s="167">
        <v>20000</v>
      </c>
      <c r="CW88" s="167">
        <v>20000</v>
      </c>
      <c r="CX88" s="167">
        <v>20000</v>
      </c>
      <c r="CY88" s="167">
        <v>20000</v>
      </c>
      <c r="CZ88" s="167">
        <v>20000</v>
      </c>
      <c r="DA88" s="167">
        <v>20000</v>
      </c>
      <c r="DB88" s="167">
        <v>20000</v>
      </c>
      <c r="DC88" s="167">
        <v>20000</v>
      </c>
      <c r="DD88" s="167">
        <v>20000</v>
      </c>
      <c r="DE88" s="167">
        <v>20000</v>
      </c>
      <c r="DF88" s="167">
        <v>20000</v>
      </c>
      <c r="DG88" s="167">
        <v>20000</v>
      </c>
      <c r="DH88" s="167">
        <v>20000</v>
      </c>
      <c r="DI88" s="167">
        <v>20000</v>
      </c>
      <c r="DJ88" s="167">
        <v>20000</v>
      </c>
      <c r="DK88" s="167">
        <v>20000</v>
      </c>
      <c r="DL88" s="167">
        <v>20000</v>
      </c>
      <c r="DM88" s="167">
        <v>20000</v>
      </c>
      <c r="DN88" s="167">
        <v>20000</v>
      </c>
      <c r="DO88" s="167">
        <v>20000</v>
      </c>
      <c r="DP88" s="167">
        <v>20000</v>
      </c>
      <c r="DQ88" s="167">
        <v>20000</v>
      </c>
      <c r="DR88" s="167">
        <v>20000</v>
      </c>
      <c r="DS88" s="167">
        <v>20000</v>
      </c>
      <c r="DT88" s="167">
        <v>20000</v>
      </c>
      <c r="DU88" s="167">
        <v>20000</v>
      </c>
      <c r="DV88" s="167">
        <v>20000</v>
      </c>
      <c r="DW88" s="167">
        <v>20000</v>
      </c>
      <c r="DX88" s="167">
        <v>20000</v>
      </c>
      <c r="DY88" s="167">
        <v>20000</v>
      </c>
      <c r="DZ88" s="167">
        <v>20000</v>
      </c>
      <c r="EA88" s="167">
        <v>20000</v>
      </c>
      <c r="EB88" s="167">
        <v>20000</v>
      </c>
      <c r="EC88" s="167">
        <v>19913.389995118028</v>
      </c>
      <c r="ED88" s="167">
        <v>18420.12481140306</v>
      </c>
      <c r="EE88" s="167">
        <v>17937.993025720105</v>
      </c>
      <c r="EF88" s="167">
        <v>18408.557336056656</v>
      </c>
      <c r="EG88" s="167">
        <v>19759.824320648222</v>
      </c>
      <c r="EH88" s="167">
        <v>20000</v>
      </c>
      <c r="EI88" s="167">
        <v>20000</v>
      </c>
      <c r="EJ88" s="167">
        <v>20000</v>
      </c>
      <c r="EK88" s="167">
        <v>20000</v>
      </c>
      <c r="EL88" s="167">
        <v>20000</v>
      </c>
      <c r="EM88" s="167">
        <v>20000</v>
      </c>
      <c r="EN88" s="167">
        <v>20000</v>
      </c>
      <c r="EO88" s="167">
        <v>20000</v>
      </c>
      <c r="EP88" t="str">
        <f t="shared" si="1"/>
        <v>3y 216d</v>
      </c>
    </row>
    <row r="89" spans="2:146" x14ac:dyDescent="0.25">
      <c r="B89" s="65">
        <v>86</v>
      </c>
      <c r="D89">
        <v>26963834.786265112</v>
      </c>
      <c r="E89" s="12">
        <v>76796038167.040329</v>
      </c>
      <c r="F89" s="12">
        <v>126693690518.21895</v>
      </c>
      <c r="G89" s="12">
        <v>0</v>
      </c>
      <c r="H89" s="12">
        <v>136086588.66171935</v>
      </c>
      <c r="I89" s="12">
        <v>51892579697.611832</v>
      </c>
      <c r="J89" s="12">
        <v>-437359432610.80872</v>
      </c>
      <c r="K89" s="12">
        <v>19164275542.70438</v>
      </c>
      <c r="L89" s="12"/>
      <c r="M89" s="12"/>
      <c r="N89" s="12"/>
      <c r="O89" s="12"/>
      <c r="P89" s="12">
        <v>29538950.481185425</v>
      </c>
      <c r="Q89" s="12">
        <v>-223722443655.00507</v>
      </c>
      <c r="R89" s="12">
        <v>358297206306.64453</v>
      </c>
      <c r="S89" s="12">
        <v>0</v>
      </c>
      <c r="T89" s="12">
        <v>28908807.025464069</v>
      </c>
      <c r="U89" s="12">
        <v>-322805581104.81696</v>
      </c>
      <c r="V89" s="12">
        <v>322928828809.0896</v>
      </c>
      <c r="W89" s="12">
        <v>-780414211.4752717</v>
      </c>
      <c r="X89" s="12"/>
      <c r="Y89" s="12"/>
      <c r="Z89" s="12"/>
      <c r="AA89" s="12"/>
      <c r="AB89" s="12"/>
      <c r="AC89" s="12"/>
      <c r="AD89" s="12"/>
      <c r="AE89" s="12"/>
      <c r="AS89" s="6">
        <v>114515672.47487015</v>
      </c>
      <c r="AT89" s="167">
        <v>20000</v>
      </c>
      <c r="AU89" s="167">
        <v>20000</v>
      </c>
      <c r="AV89" s="167">
        <v>20000</v>
      </c>
      <c r="AW89" s="167">
        <v>20000</v>
      </c>
      <c r="AX89" s="167">
        <v>20000</v>
      </c>
      <c r="AY89" s="167">
        <v>20000</v>
      </c>
      <c r="AZ89" s="167">
        <v>20000</v>
      </c>
      <c r="BA89" s="167">
        <v>20000</v>
      </c>
      <c r="BB89" s="167">
        <v>20000</v>
      </c>
      <c r="BC89" s="167">
        <v>20000</v>
      </c>
      <c r="BD89" s="167">
        <v>20000</v>
      </c>
      <c r="BE89" s="167">
        <v>19086.958079620959</v>
      </c>
      <c r="BF89" s="167">
        <v>16864.513573780052</v>
      </c>
      <c r="BG89" s="167">
        <v>15724.507299135636</v>
      </c>
      <c r="BH89" s="167">
        <v>15567.272029839125</v>
      </c>
      <c r="BI89" s="167">
        <v>16471.138925954507</v>
      </c>
      <c r="BJ89" s="167">
        <v>18279.365007399763</v>
      </c>
      <c r="BK89" s="167">
        <v>20000</v>
      </c>
      <c r="BL89" s="167">
        <v>20000</v>
      </c>
      <c r="BM89" s="167">
        <v>20000</v>
      </c>
      <c r="BN89" s="167">
        <v>20000</v>
      </c>
      <c r="BO89" s="167">
        <v>20000</v>
      </c>
      <c r="BP89" s="167">
        <v>20000</v>
      </c>
      <c r="BQ89" s="167">
        <v>20000</v>
      </c>
      <c r="BR89" s="167">
        <v>20000</v>
      </c>
      <c r="BS89" s="167">
        <v>20000</v>
      </c>
      <c r="BT89" s="167">
        <v>20000</v>
      </c>
      <c r="BU89" s="167">
        <v>20000</v>
      </c>
      <c r="BV89" s="167">
        <v>20000</v>
      </c>
      <c r="BW89" s="167">
        <v>20000</v>
      </c>
      <c r="BX89" s="167">
        <v>20000</v>
      </c>
      <c r="BY89" s="167">
        <v>20000</v>
      </c>
      <c r="BZ89" s="167">
        <v>20000</v>
      </c>
      <c r="CA89" s="167">
        <v>20000</v>
      </c>
      <c r="CB89" s="167">
        <v>20000</v>
      </c>
      <c r="CC89" s="167">
        <v>17566.05177285703</v>
      </c>
      <c r="CD89" s="167">
        <v>16028.743946833823</v>
      </c>
      <c r="CE89" s="167">
        <v>15628.351651950037</v>
      </c>
      <c r="CF89" s="167">
        <v>16155.284511349962</v>
      </c>
      <c r="CG89" s="167">
        <v>17592.842645715376</v>
      </c>
      <c r="CH89" s="167">
        <v>19734.048833133671</v>
      </c>
      <c r="CI89" s="167">
        <v>20000</v>
      </c>
      <c r="CJ89" s="167">
        <v>20000</v>
      </c>
      <c r="CK89" s="167">
        <v>20000</v>
      </c>
      <c r="CL89" s="167">
        <v>20000</v>
      </c>
      <c r="CM89" s="167">
        <v>20000</v>
      </c>
      <c r="CN89" s="167">
        <v>20000</v>
      </c>
      <c r="CO89" s="167">
        <v>20000</v>
      </c>
      <c r="CP89" s="167">
        <v>20000</v>
      </c>
      <c r="CQ89" s="167">
        <v>20000</v>
      </c>
      <c r="CR89" s="167">
        <v>20000</v>
      </c>
      <c r="CS89" s="167">
        <v>20000</v>
      </c>
      <c r="CT89" s="167">
        <v>20000</v>
      </c>
      <c r="CU89" s="167">
        <v>20000</v>
      </c>
      <c r="CV89" s="167">
        <v>20000</v>
      </c>
      <c r="CW89" s="167">
        <v>20000</v>
      </c>
      <c r="CX89" s="167">
        <v>20000</v>
      </c>
      <c r="CY89" s="167">
        <v>20000</v>
      </c>
      <c r="CZ89" s="167">
        <v>20000</v>
      </c>
      <c r="DA89" s="167">
        <v>20000</v>
      </c>
      <c r="DB89" s="167">
        <v>20000</v>
      </c>
      <c r="DC89" s="167">
        <v>20000</v>
      </c>
      <c r="DD89" s="167">
        <v>20000</v>
      </c>
      <c r="DE89" s="167">
        <v>20000</v>
      </c>
      <c r="DF89" s="167">
        <v>20000</v>
      </c>
      <c r="DG89" s="167">
        <v>20000</v>
      </c>
      <c r="DH89" s="167">
        <v>20000</v>
      </c>
      <c r="DI89" s="167">
        <v>20000</v>
      </c>
      <c r="DJ89" s="167">
        <v>20000</v>
      </c>
      <c r="DK89" s="167">
        <v>20000</v>
      </c>
      <c r="DL89" s="167">
        <v>20000</v>
      </c>
      <c r="DM89" s="167">
        <v>20000</v>
      </c>
      <c r="DN89" s="167">
        <v>20000</v>
      </c>
      <c r="DO89" s="167">
        <v>20000</v>
      </c>
      <c r="DP89" s="167">
        <v>20000</v>
      </c>
      <c r="DQ89" s="167">
        <v>20000</v>
      </c>
      <c r="DR89" s="167">
        <v>20000</v>
      </c>
      <c r="DS89" s="167">
        <v>20000</v>
      </c>
      <c r="DT89" s="167">
        <v>20000</v>
      </c>
      <c r="DU89" s="167">
        <v>20000</v>
      </c>
      <c r="DV89" s="167">
        <v>20000</v>
      </c>
      <c r="DW89" s="167">
        <v>20000</v>
      </c>
      <c r="DX89" s="167">
        <v>20000</v>
      </c>
      <c r="DY89" s="167">
        <v>20000</v>
      </c>
      <c r="DZ89" s="167">
        <v>20000</v>
      </c>
      <c r="EA89" s="167">
        <v>20000</v>
      </c>
      <c r="EB89" s="167">
        <v>20000</v>
      </c>
      <c r="EC89" s="167">
        <v>20000</v>
      </c>
      <c r="ED89" s="167">
        <v>18531.919264731165</v>
      </c>
      <c r="EE89" s="167">
        <v>17890.204100080704</v>
      </c>
      <c r="EF89" s="167">
        <v>18231.135088605955</v>
      </c>
      <c r="EG89" s="167">
        <v>19505.242865689434</v>
      </c>
      <c r="EH89" s="167">
        <v>20000</v>
      </c>
      <c r="EI89" s="167">
        <v>20000</v>
      </c>
      <c r="EJ89" s="167">
        <v>20000</v>
      </c>
      <c r="EK89" s="167">
        <v>20000</v>
      </c>
      <c r="EL89" s="167">
        <v>20000</v>
      </c>
      <c r="EM89" s="167">
        <v>20000</v>
      </c>
      <c r="EN89" s="167">
        <v>20000</v>
      </c>
      <c r="EO89" s="167">
        <v>20000</v>
      </c>
      <c r="EP89" t="str">
        <f t="shared" si="1"/>
        <v>3y 230d</v>
      </c>
    </row>
    <row r="90" spans="2:146" x14ac:dyDescent="0.25">
      <c r="B90" s="65">
        <v>87</v>
      </c>
      <c r="D90">
        <v>27273198.359306574</v>
      </c>
      <c r="E90" s="12">
        <v>68631873701.752953</v>
      </c>
      <c r="F90" s="12">
        <v>131155941630.21535</v>
      </c>
      <c r="G90" s="12">
        <v>0</v>
      </c>
      <c r="H90" s="12">
        <v>137692208.07963002</v>
      </c>
      <c r="I90" s="12">
        <v>78567996732.374557</v>
      </c>
      <c r="J90" s="12">
        <v>-429445416816.60004</v>
      </c>
      <c r="K90" s="12">
        <v>18078893161.758671</v>
      </c>
      <c r="L90" s="12"/>
      <c r="M90" s="12"/>
      <c r="N90" s="12"/>
      <c r="O90" s="12"/>
      <c r="P90" s="12">
        <v>30550055.645440407</v>
      </c>
      <c r="Q90" s="12">
        <v>-237713586679.30402</v>
      </c>
      <c r="R90" s="12">
        <v>355789555566.84186</v>
      </c>
      <c r="S90" s="12">
        <v>0</v>
      </c>
      <c r="T90" s="12">
        <v>29504949.411912363</v>
      </c>
      <c r="U90" s="12">
        <v>-329072342403.18463</v>
      </c>
      <c r="V90" s="12">
        <v>319015084387.3692</v>
      </c>
      <c r="W90" s="12">
        <v>-786209669.72607255</v>
      </c>
      <c r="X90" s="12"/>
      <c r="Y90" s="12"/>
      <c r="Z90" s="12"/>
      <c r="AA90" s="12"/>
      <c r="AB90" s="12"/>
      <c r="AC90" s="12"/>
      <c r="AD90" s="12"/>
      <c r="AE90" s="12"/>
      <c r="AS90" s="6">
        <v>115703335.01691301</v>
      </c>
      <c r="AT90" s="167">
        <v>20000</v>
      </c>
      <c r="AU90" s="167">
        <v>20000</v>
      </c>
      <c r="AV90" s="167">
        <v>20000</v>
      </c>
      <c r="AW90" s="167">
        <v>20000</v>
      </c>
      <c r="AX90" s="167">
        <v>20000</v>
      </c>
      <c r="AY90" s="167">
        <v>20000</v>
      </c>
      <c r="AZ90" s="167">
        <v>20000</v>
      </c>
      <c r="BA90" s="167">
        <v>20000</v>
      </c>
      <c r="BB90" s="167">
        <v>20000</v>
      </c>
      <c r="BC90" s="167">
        <v>20000</v>
      </c>
      <c r="BD90" s="167">
        <v>20000</v>
      </c>
      <c r="BE90" s="167">
        <v>19447.900503475634</v>
      </c>
      <c r="BF90" s="167">
        <v>17081.831235866433</v>
      </c>
      <c r="BG90" s="167">
        <v>15842.503016951472</v>
      </c>
      <c r="BH90" s="167">
        <v>15565.445488792675</v>
      </c>
      <c r="BI90" s="167">
        <v>16365.948588391268</v>
      </c>
      <c r="BJ90" s="167">
        <v>18091.977459051668</v>
      </c>
      <c r="BK90" s="167">
        <v>20000</v>
      </c>
      <c r="BL90" s="167">
        <v>20000</v>
      </c>
      <c r="BM90" s="167">
        <v>20000</v>
      </c>
      <c r="BN90" s="167">
        <v>20000</v>
      </c>
      <c r="BO90" s="167">
        <v>20000</v>
      </c>
      <c r="BP90" s="167">
        <v>20000</v>
      </c>
      <c r="BQ90" s="167">
        <v>20000</v>
      </c>
      <c r="BR90" s="167">
        <v>20000</v>
      </c>
      <c r="BS90" s="167">
        <v>20000</v>
      </c>
      <c r="BT90" s="167">
        <v>20000</v>
      </c>
      <c r="BU90" s="167">
        <v>20000</v>
      </c>
      <c r="BV90" s="167">
        <v>20000</v>
      </c>
      <c r="BW90" s="167">
        <v>20000</v>
      </c>
      <c r="BX90" s="167">
        <v>20000</v>
      </c>
      <c r="BY90" s="167">
        <v>20000</v>
      </c>
      <c r="BZ90" s="167">
        <v>20000</v>
      </c>
      <c r="CA90" s="167">
        <v>20000</v>
      </c>
      <c r="CB90" s="167">
        <v>20000</v>
      </c>
      <c r="CC90" s="167">
        <v>18044.067030972703</v>
      </c>
      <c r="CD90" s="167">
        <v>16312.294824038385</v>
      </c>
      <c r="CE90" s="167">
        <v>15770.464808302255</v>
      </c>
      <c r="CF90" s="167">
        <v>16159.073023079889</v>
      </c>
      <c r="CG90" s="167">
        <v>17471.408059345835</v>
      </c>
      <c r="CH90" s="167">
        <v>19510.108079832109</v>
      </c>
      <c r="CI90" s="167">
        <v>20000</v>
      </c>
      <c r="CJ90" s="167">
        <v>20000</v>
      </c>
      <c r="CK90" s="167">
        <v>20000</v>
      </c>
      <c r="CL90" s="167">
        <v>20000</v>
      </c>
      <c r="CM90" s="167">
        <v>20000</v>
      </c>
      <c r="CN90" s="167">
        <v>20000</v>
      </c>
      <c r="CO90" s="167">
        <v>20000</v>
      </c>
      <c r="CP90" s="167">
        <v>20000</v>
      </c>
      <c r="CQ90" s="167">
        <v>20000</v>
      </c>
      <c r="CR90" s="167">
        <v>20000</v>
      </c>
      <c r="CS90" s="167">
        <v>20000</v>
      </c>
      <c r="CT90" s="167">
        <v>20000</v>
      </c>
      <c r="CU90" s="167">
        <v>20000</v>
      </c>
      <c r="CV90" s="167">
        <v>20000</v>
      </c>
      <c r="CW90" s="167">
        <v>20000</v>
      </c>
      <c r="CX90" s="167">
        <v>20000</v>
      </c>
      <c r="CY90" s="167">
        <v>20000</v>
      </c>
      <c r="CZ90" s="167">
        <v>20000</v>
      </c>
      <c r="DA90" s="167">
        <v>20000</v>
      </c>
      <c r="DB90" s="167">
        <v>20000</v>
      </c>
      <c r="DC90" s="167">
        <v>20000</v>
      </c>
      <c r="DD90" s="167">
        <v>20000</v>
      </c>
      <c r="DE90" s="167">
        <v>20000</v>
      </c>
      <c r="DF90" s="167">
        <v>20000</v>
      </c>
      <c r="DG90" s="167">
        <v>20000</v>
      </c>
      <c r="DH90" s="167">
        <v>20000</v>
      </c>
      <c r="DI90" s="167">
        <v>20000</v>
      </c>
      <c r="DJ90" s="167">
        <v>20000</v>
      </c>
      <c r="DK90" s="167">
        <v>20000</v>
      </c>
      <c r="DL90" s="167">
        <v>20000</v>
      </c>
      <c r="DM90" s="167">
        <v>20000</v>
      </c>
      <c r="DN90" s="167">
        <v>20000</v>
      </c>
      <c r="DO90" s="167">
        <v>20000</v>
      </c>
      <c r="DP90" s="167">
        <v>20000</v>
      </c>
      <c r="DQ90" s="167">
        <v>20000</v>
      </c>
      <c r="DR90" s="167">
        <v>20000</v>
      </c>
      <c r="DS90" s="167">
        <v>20000</v>
      </c>
      <c r="DT90" s="167">
        <v>20000</v>
      </c>
      <c r="DU90" s="167">
        <v>20000</v>
      </c>
      <c r="DV90" s="167">
        <v>20000</v>
      </c>
      <c r="DW90" s="167">
        <v>20000</v>
      </c>
      <c r="DX90" s="167">
        <v>20000</v>
      </c>
      <c r="DY90" s="167">
        <v>20000</v>
      </c>
      <c r="DZ90" s="167">
        <v>20000</v>
      </c>
      <c r="EA90" s="167">
        <v>20000</v>
      </c>
      <c r="EB90" s="167">
        <v>20000</v>
      </c>
      <c r="EC90" s="167">
        <v>20000</v>
      </c>
      <c r="ED90" s="167">
        <v>18670.628601277927</v>
      </c>
      <c r="EE90" s="167">
        <v>17870.153692974931</v>
      </c>
      <c r="EF90" s="167">
        <v>18080.480824468588</v>
      </c>
      <c r="EG90" s="167">
        <v>19259.297901289377</v>
      </c>
      <c r="EH90" s="167">
        <v>20000</v>
      </c>
      <c r="EI90" s="167">
        <v>20000</v>
      </c>
      <c r="EJ90" s="167">
        <v>20000</v>
      </c>
      <c r="EK90" s="167">
        <v>20000</v>
      </c>
      <c r="EL90" s="167">
        <v>20000</v>
      </c>
      <c r="EM90" s="167">
        <v>20000</v>
      </c>
      <c r="EN90" s="167">
        <v>20000</v>
      </c>
      <c r="EO90" s="167">
        <v>20000</v>
      </c>
      <c r="EP90" t="str">
        <f t="shared" si="1"/>
        <v>3y 243d</v>
      </c>
    </row>
    <row r="91" spans="2:146" x14ac:dyDescent="0.25">
      <c r="B91" s="65">
        <v>88</v>
      </c>
      <c r="D91">
        <v>27582057.049033299</v>
      </c>
      <c r="E91" s="12">
        <v>60213151760.187225</v>
      </c>
      <c r="F91" s="12">
        <v>135098997851.88614</v>
      </c>
      <c r="G91" s="12">
        <v>0</v>
      </c>
      <c r="H91" s="12">
        <v>139269560.36331794</v>
      </c>
      <c r="I91" s="12">
        <v>104460451410.59711</v>
      </c>
      <c r="J91" s="12">
        <v>-419957150165.54352</v>
      </c>
      <c r="K91" s="12">
        <v>16940476060.319307</v>
      </c>
      <c r="L91" s="12"/>
      <c r="M91" s="12"/>
      <c r="N91" s="12"/>
      <c r="O91" s="12"/>
      <c r="P91" s="12">
        <v>31586910.925646473</v>
      </c>
      <c r="Q91" s="12">
        <v>-251633706449.99664</v>
      </c>
      <c r="R91" s="12">
        <v>352578525136.5191</v>
      </c>
      <c r="S91" s="12">
        <v>0</v>
      </c>
      <c r="T91" s="12">
        <v>30105448.997593138</v>
      </c>
      <c r="U91" s="12">
        <v>-335221999343.39203</v>
      </c>
      <c r="V91" s="12">
        <v>314914808266.80219</v>
      </c>
      <c r="W91" s="12">
        <v>-791658274.69696784</v>
      </c>
      <c r="X91" s="12"/>
      <c r="Y91" s="12"/>
      <c r="Z91" s="12"/>
      <c r="AA91" s="12"/>
      <c r="AB91" s="12"/>
      <c r="AC91" s="12"/>
      <c r="AD91" s="12"/>
      <c r="AE91" s="12"/>
      <c r="AS91" s="6">
        <v>116890997.55895588</v>
      </c>
      <c r="AT91" s="167">
        <v>20000</v>
      </c>
      <c r="AU91" s="167">
        <v>20000</v>
      </c>
      <c r="AV91" s="167">
        <v>20000</v>
      </c>
      <c r="AW91" s="167">
        <v>20000</v>
      </c>
      <c r="AX91" s="167">
        <v>20000</v>
      </c>
      <c r="AY91" s="167">
        <v>20000</v>
      </c>
      <c r="AZ91" s="167">
        <v>20000</v>
      </c>
      <c r="BA91" s="167">
        <v>20000</v>
      </c>
      <c r="BB91" s="167">
        <v>20000</v>
      </c>
      <c r="BC91" s="167">
        <v>20000</v>
      </c>
      <c r="BD91" s="167">
        <v>20000</v>
      </c>
      <c r="BE91" s="167">
        <v>19827.657594710119</v>
      </c>
      <c r="BF91" s="167">
        <v>17317.215022932232</v>
      </c>
      <c r="BG91" s="167">
        <v>15977.924266905404</v>
      </c>
      <c r="BH91" s="167">
        <v>15579.064960598796</v>
      </c>
      <c r="BI91" s="167">
        <v>16273.493047836226</v>
      </c>
      <c r="BJ91" s="167">
        <v>17914.635352586876</v>
      </c>
      <c r="BK91" s="167">
        <v>20000</v>
      </c>
      <c r="BL91" s="167">
        <v>20000</v>
      </c>
      <c r="BM91" s="167">
        <v>20000</v>
      </c>
      <c r="BN91" s="167">
        <v>20000</v>
      </c>
      <c r="BO91" s="167">
        <v>20000</v>
      </c>
      <c r="BP91" s="167">
        <v>20000</v>
      </c>
      <c r="BQ91" s="167">
        <v>20000</v>
      </c>
      <c r="BR91" s="167">
        <v>20000</v>
      </c>
      <c r="BS91" s="167">
        <v>20000</v>
      </c>
      <c r="BT91" s="167">
        <v>20000</v>
      </c>
      <c r="BU91" s="167">
        <v>20000</v>
      </c>
      <c r="BV91" s="167">
        <v>20000</v>
      </c>
      <c r="BW91" s="167">
        <v>20000</v>
      </c>
      <c r="BX91" s="167">
        <v>20000</v>
      </c>
      <c r="BY91" s="167">
        <v>20000</v>
      </c>
      <c r="BZ91" s="167">
        <v>20000</v>
      </c>
      <c r="CA91" s="167">
        <v>20000</v>
      </c>
      <c r="CB91" s="167">
        <v>20000</v>
      </c>
      <c r="CC91" s="167">
        <v>18568.029654715068</v>
      </c>
      <c r="CD91" s="167">
        <v>16639.858667497359</v>
      </c>
      <c r="CE91" s="167">
        <v>15903.485431587151</v>
      </c>
      <c r="CF91" s="167">
        <v>16185.705976811198</v>
      </c>
      <c r="CG91" s="167">
        <v>17366.380225648922</v>
      </c>
      <c r="CH91" s="167">
        <v>19297.240029021235</v>
      </c>
      <c r="CI91" s="167">
        <v>20000</v>
      </c>
      <c r="CJ91" s="167">
        <v>20000</v>
      </c>
      <c r="CK91" s="167">
        <v>20000</v>
      </c>
      <c r="CL91" s="167">
        <v>20000</v>
      </c>
      <c r="CM91" s="167">
        <v>20000</v>
      </c>
      <c r="CN91" s="167">
        <v>20000</v>
      </c>
      <c r="CO91" s="167">
        <v>20000</v>
      </c>
      <c r="CP91" s="167">
        <v>20000</v>
      </c>
      <c r="CQ91" s="167">
        <v>20000</v>
      </c>
      <c r="CR91" s="167">
        <v>20000</v>
      </c>
      <c r="CS91" s="167">
        <v>20000</v>
      </c>
      <c r="CT91" s="167">
        <v>20000</v>
      </c>
      <c r="CU91" s="167">
        <v>20000</v>
      </c>
      <c r="CV91" s="167">
        <v>20000</v>
      </c>
      <c r="CW91" s="167">
        <v>20000</v>
      </c>
      <c r="CX91" s="167">
        <v>20000</v>
      </c>
      <c r="CY91" s="167">
        <v>20000</v>
      </c>
      <c r="CZ91" s="167">
        <v>20000</v>
      </c>
      <c r="DA91" s="167">
        <v>20000</v>
      </c>
      <c r="DB91" s="167">
        <v>20000</v>
      </c>
      <c r="DC91" s="167">
        <v>20000</v>
      </c>
      <c r="DD91" s="167">
        <v>20000</v>
      </c>
      <c r="DE91" s="167">
        <v>20000</v>
      </c>
      <c r="DF91" s="167">
        <v>20000</v>
      </c>
      <c r="DG91" s="167">
        <v>20000</v>
      </c>
      <c r="DH91" s="167">
        <v>20000</v>
      </c>
      <c r="DI91" s="167">
        <v>20000</v>
      </c>
      <c r="DJ91" s="167">
        <v>20000</v>
      </c>
      <c r="DK91" s="167">
        <v>20000</v>
      </c>
      <c r="DL91" s="167">
        <v>20000</v>
      </c>
      <c r="DM91" s="167">
        <v>20000</v>
      </c>
      <c r="DN91" s="167">
        <v>20000</v>
      </c>
      <c r="DO91" s="167">
        <v>20000</v>
      </c>
      <c r="DP91" s="167">
        <v>20000</v>
      </c>
      <c r="DQ91" s="167">
        <v>20000</v>
      </c>
      <c r="DR91" s="167">
        <v>20000</v>
      </c>
      <c r="DS91" s="167">
        <v>20000</v>
      </c>
      <c r="DT91" s="167">
        <v>20000</v>
      </c>
      <c r="DU91" s="167">
        <v>20000</v>
      </c>
      <c r="DV91" s="167">
        <v>20000</v>
      </c>
      <c r="DW91" s="167">
        <v>20000</v>
      </c>
      <c r="DX91" s="167">
        <v>20000</v>
      </c>
      <c r="DY91" s="167">
        <v>20000</v>
      </c>
      <c r="DZ91" s="167">
        <v>20000</v>
      </c>
      <c r="EA91" s="167">
        <v>20000</v>
      </c>
      <c r="EB91" s="167">
        <v>20000</v>
      </c>
      <c r="EC91" s="167">
        <v>20000</v>
      </c>
      <c r="ED91" s="167">
        <v>18834.743853028373</v>
      </c>
      <c r="EE91" s="167">
        <v>17876.149540322695</v>
      </c>
      <c r="EF91" s="167">
        <v>17954.29758767473</v>
      </c>
      <c r="EG91" s="167">
        <v>19029.670564803637</v>
      </c>
      <c r="EH91" s="167">
        <v>20000</v>
      </c>
      <c r="EI91" s="167">
        <v>20000</v>
      </c>
      <c r="EJ91" s="167">
        <v>20000</v>
      </c>
      <c r="EK91" s="167">
        <v>20000</v>
      </c>
      <c r="EL91" s="167">
        <v>20000</v>
      </c>
      <c r="EM91" s="167">
        <v>20000</v>
      </c>
      <c r="EN91" s="167">
        <v>20000</v>
      </c>
      <c r="EO91" s="167">
        <v>20000</v>
      </c>
      <c r="EP91" t="str">
        <f t="shared" si="1"/>
        <v>3y 257d</v>
      </c>
    </row>
    <row r="92" spans="2:146" x14ac:dyDescent="0.25">
      <c r="B92" s="65">
        <v>89</v>
      </c>
      <c r="D92">
        <v>27890437.912787292</v>
      </c>
      <c r="E92" s="12">
        <v>51572608579.191849</v>
      </c>
      <c r="F92" s="12">
        <v>138509047201.60547</v>
      </c>
      <c r="G92" s="12">
        <v>0</v>
      </c>
      <c r="H92" s="12">
        <v>140819196.91650057</v>
      </c>
      <c r="I92" s="12">
        <v>129484960190.25874</v>
      </c>
      <c r="J92" s="12">
        <v>-408974627706.14746</v>
      </c>
      <c r="K92" s="12">
        <v>15755056401.119616</v>
      </c>
      <c r="L92" s="12"/>
      <c r="M92" s="12"/>
      <c r="N92" s="12"/>
      <c r="O92" s="12"/>
      <c r="P92" s="12">
        <v>32648715.335401725</v>
      </c>
      <c r="Q92" s="12">
        <v>-265431170614.22296</v>
      </c>
      <c r="R92" s="12">
        <v>348649134843.80933</v>
      </c>
      <c r="S92" s="12">
        <v>0</v>
      </c>
      <c r="T92" s="12">
        <v>30710053.391813461</v>
      </c>
      <c r="U92" s="12">
        <v>-341247194450.54126</v>
      </c>
      <c r="V92" s="12">
        <v>310630094311.27332</v>
      </c>
      <c r="W92" s="12">
        <v>-796750924.51758671</v>
      </c>
      <c r="X92" s="12"/>
      <c r="Y92" s="12"/>
      <c r="Z92" s="12"/>
      <c r="AA92" s="12"/>
      <c r="AB92" s="12"/>
      <c r="AC92" s="12"/>
      <c r="AD92" s="12"/>
      <c r="AE92" s="12"/>
      <c r="AS92" s="6">
        <v>118078660.10099874</v>
      </c>
      <c r="AT92" s="167">
        <v>20000</v>
      </c>
      <c r="AU92" s="167">
        <v>20000</v>
      </c>
      <c r="AV92" s="167">
        <v>20000</v>
      </c>
      <c r="AW92" s="167">
        <v>20000</v>
      </c>
      <c r="AX92" s="167">
        <v>20000</v>
      </c>
      <c r="AY92" s="167">
        <v>20000</v>
      </c>
      <c r="AZ92" s="167">
        <v>20000</v>
      </c>
      <c r="BA92" s="167">
        <v>20000</v>
      </c>
      <c r="BB92" s="167">
        <v>20000</v>
      </c>
      <c r="BC92" s="167">
        <v>20000</v>
      </c>
      <c r="BD92" s="167">
        <v>20000</v>
      </c>
      <c r="BE92" s="167">
        <v>20000</v>
      </c>
      <c r="BF92" s="167">
        <v>17571.2357116858</v>
      </c>
      <c r="BG92" s="167">
        <v>16131.239039578271</v>
      </c>
      <c r="BH92" s="167">
        <v>15608.596049725202</v>
      </c>
      <c r="BI92" s="167">
        <v>16194.190737486713</v>
      </c>
      <c r="BJ92" s="167">
        <v>17747.637618459365</v>
      </c>
      <c r="BK92" s="167">
        <v>20000</v>
      </c>
      <c r="BL92" s="167">
        <v>20000</v>
      </c>
      <c r="BM92" s="167">
        <v>20000</v>
      </c>
      <c r="BN92" s="167">
        <v>20000</v>
      </c>
      <c r="BO92" s="167">
        <v>20000</v>
      </c>
      <c r="BP92" s="167">
        <v>20000</v>
      </c>
      <c r="BQ92" s="167">
        <v>20000</v>
      </c>
      <c r="BR92" s="167">
        <v>20000</v>
      </c>
      <c r="BS92" s="167">
        <v>20000</v>
      </c>
      <c r="BT92" s="167">
        <v>20000</v>
      </c>
      <c r="BU92" s="167">
        <v>20000</v>
      </c>
      <c r="BV92" s="167">
        <v>20000</v>
      </c>
      <c r="BW92" s="167">
        <v>20000</v>
      </c>
      <c r="BX92" s="167">
        <v>20000</v>
      </c>
      <c r="BY92" s="167">
        <v>20000</v>
      </c>
      <c r="BZ92" s="167">
        <v>20000</v>
      </c>
      <c r="CA92" s="167">
        <v>20000</v>
      </c>
      <c r="CB92" s="167">
        <v>20000</v>
      </c>
      <c r="CC92" s="167">
        <v>19140.721125360098</v>
      </c>
      <c r="CD92" s="167">
        <v>17013.600083888887</v>
      </c>
      <c r="CE92" s="167">
        <v>16080.138848351329</v>
      </c>
      <c r="CF92" s="167">
        <v>16237.420620902958</v>
      </c>
      <c r="CG92" s="167">
        <v>17279.559486182068</v>
      </c>
      <c r="CH92" s="167">
        <v>19096.740508306983</v>
      </c>
      <c r="CI92" s="167">
        <v>20000</v>
      </c>
      <c r="CJ92" s="167">
        <v>20000</v>
      </c>
      <c r="CK92" s="167">
        <v>20000</v>
      </c>
      <c r="CL92" s="167">
        <v>20000</v>
      </c>
      <c r="CM92" s="167">
        <v>20000</v>
      </c>
      <c r="CN92" s="167">
        <v>20000</v>
      </c>
      <c r="CO92" s="167">
        <v>20000</v>
      </c>
      <c r="CP92" s="167">
        <v>20000</v>
      </c>
      <c r="CQ92" s="167">
        <v>20000</v>
      </c>
      <c r="CR92" s="167">
        <v>20000</v>
      </c>
      <c r="CS92" s="167">
        <v>20000</v>
      </c>
      <c r="CT92" s="167">
        <v>20000</v>
      </c>
      <c r="CU92" s="167">
        <v>20000</v>
      </c>
      <c r="CV92" s="167">
        <v>20000</v>
      </c>
      <c r="CW92" s="167">
        <v>20000</v>
      </c>
      <c r="CX92" s="167">
        <v>20000</v>
      </c>
      <c r="CY92" s="167">
        <v>20000</v>
      </c>
      <c r="CZ92" s="167">
        <v>20000</v>
      </c>
      <c r="DA92" s="167">
        <v>20000</v>
      </c>
      <c r="DB92" s="167">
        <v>20000</v>
      </c>
      <c r="DC92" s="167">
        <v>20000</v>
      </c>
      <c r="DD92" s="167">
        <v>20000</v>
      </c>
      <c r="DE92" s="167">
        <v>20000</v>
      </c>
      <c r="DF92" s="167">
        <v>20000</v>
      </c>
      <c r="DG92" s="167">
        <v>20000</v>
      </c>
      <c r="DH92" s="167">
        <v>20000</v>
      </c>
      <c r="DI92" s="167">
        <v>20000</v>
      </c>
      <c r="DJ92" s="167">
        <v>20000</v>
      </c>
      <c r="DK92" s="167">
        <v>20000</v>
      </c>
      <c r="DL92" s="167">
        <v>20000</v>
      </c>
      <c r="DM92" s="167">
        <v>20000</v>
      </c>
      <c r="DN92" s="167">
        <v>20000</v>
      </c>
      <c r="DO92" s="167">
        <v>20000</v>
      </c>
      <c r="DP92" s="167">
        <v>20000</v>
      </c>
      <c r="DQ92" s="167">
        <v>20000</v>
      </c>
      <c r="DR92" s="167">
        <v>20000</v>
      </c>
      <c r="DS92" s="167">
        <v>20000</v>
      </c>
      <c r="DT92" s="167">
        <v>20000</v>
      </c>
      <c r="DU92" s="167">
        <v>20000</v>
      </c>
      <c r="DV92" s="167">
        <v>20000</v>
      </c>
      <c r="DW92" s="167">
        <v>20000</v>
      </c>
      <c r="DX92" s="167">
        <v>20000</v>
      </c>
      <c r="DY92" s="167">
        <v>20000</v>
      </c>
      <c r="DZ92" s="167">
        <v>20000</v>
      </c>
      <c r="EA92" s="167">
        <v>20000</v>
      </c>
      <c r="EB92" s="167">
        <v>20000</v>
      </c>
      <c r="EC92" s="167">
        <v>20000</v>
      </c>
      <c r="ED92" s="167">
        <v>19022.96182542586</v>
      </c>
      <c r="EE92" s="167">
        <v>17906.739529001446</v>
      </c>
      <c r="EF92" s="167">
        <v>17850.946859969776</v>
      </c>
      <c r="EG92" s="167">
        <v>18816.471999447731</v>
      </c>
      <c r="EH92" s="167">
        <v>20000</v>
      </c>
      <c r="EI92" s="167">
        <v>20000</v>
      </c>
      <c r="EJ92" s="167">
        <v>20000</v>
      </c>
      <c r="EK92" s="167">
        <v>20000</v>
      </c>
      <c r="EL92" s="167">
        <v>20000</v>
      </c>
      <c r="EM92" s="167">
        <v>20000</v>
      </c>
      <c r="EN92" s="167">
        <v>20000</v>
      </c>
      <c r="EO92" s="167">
        <v>20000</v>
      </c>
      <c r="EP92" t="str">
        <f t="shared" si="1"/>
        <v>3y 271d</v>
      </c>
    </row>
    <row r="93" spans="2:146" x14ac:dyDescent="0.25">
      <c r="B93" s="65">
        <v>90</v>
      </c>
      <c r="D93">
        <v>28198369.703839477</v>
      </c>
      <c r="E93" s="12">
        <v>42743643859.345345</v>
      </c>
      <c r="F93" s="12">
        <v>141374304610.61548</v>
      </c>
      <c r="G93" s="12">
        <v>0</v>
      </c>
      <c r="H93" s="12">
        <v>142341763.37162501</v>
      </c>
      <c r="I93" s="12">
        <v>153564830777.31168</v>
      </c>
      <c r="J93" s="12">
        <v>-396580538435.62756</v>
      </c>
      <c r="K93" s="12">
        <v>14528571173.359112</v>
      </c>
      <c r="L93" s="12"/>
      <c r="M93" s="12"/>
      <c r="N93" s="12"/>
      <c r="O93" s="12"/>
      <c r="P93" s="12">
        <v>33734496.730168134</v>
      </c>
      <c r="Q93" s="12">
        <v>-279052272016.62823</v>
      </c>
      <c r="R93" s="12">
        <v>343990186429.03961</v>
      </c>
      <c r="S93" s="12">
        <v>0</v>
      </c>
      <c r="T93" s="12">
        <v>31318500.595315881</v>
      </c>
      <c r="U93" s="12">
        <v>-347140676578.27728</v>
      </c>
      <c r="V93" s="12">
        <v>306163394499.78717</v>
      </c>
      <c r="W93" s="12">
        <v>-801479005.65688932</v>
      </c>
      <c r="X93" s="12"/>
      <c r="Y93" s="12"/>
      <c r="Z93" s="12"/>
      <c r="AA93" s="12"/>
      <c r="AB93" s="12"/>
      <c r="AC93" s="12"/>
      <c r="AD93" s="12"/>
      <c r="AE93" s="12"/>
      <c r="AS93" s="6">
        <v>119266322.64304161</v>
      </c>
      <c r="AT93" s="167">
        <v>20000</v>
      </c>
      <c r="AU93" s="167">
        <v>20000</v>
      </c>
      <c r="AV93" s="167">
        <v>20000</v>
      </c>
      <c r="AW93" s="167">
        <v>20000</v>
      </c>
      <c r="AX93" s="167">
        <v>20000</v>
      </c>
      <c r="AY93" s="167">
        <v>20000</v>
      </c>
      <c r="AZ93" s="167">
        <v>20000</v>
      </c>
      <c r="BA93" s="167">
        <v>20000</v>
      </c>
      <c r="BB93" s="167">
        <v>20000</v>
      </c>
      <c r="BC93" s="167">
        <v>20000</v>
      </c>
      <c r="BD93" s="167">
        <v>20000</v>
      </c>
      <c r="BE93" s="167">
        <v>20000</v>
      </c>
      <c r="BF93" s="167">
        <v>17844.497054389241</v>
      </c>
      <c r="BG93" s="167">
        <v>16302.95857713851</v>
      </c>
      <c r="BH93" s="167">
        <v>15654.541280669317</v>
      </c>
      <c r="BI93" s="167">
        <v>16128.498727756927</v>
      </c>
      <c r="BJ93" s="167">
        <v>17591.320072717452</v>
      </c>
      <c r="BK93" s="167">
        <v>19851.197697408239</v>
      </c>
      <c r="BL93" s="167">
        <v>20000</v>
      </c>
      <c r="BM93" s="167">
        <v>20000</v>
      </c>
      <c r="BN93" s="167">
        <v>20000</v>
      </c>
      <c r="BO93" s="167">
        <v>20000</v>
      </c>
      <c r="BP93" s="167">
        <v>20000</v>
      </c>
      <c r="BQ93" s="167">
        <v>20000</v>
      </c>
      <c r="BR93" s="167">
        <v>20000</v>
      </c>
      <c r="BS93" s="167">
        <v>20000</v>
      </c>
      <c r="BT93" s="167">
        <v>20000</v>
      </c>
      <c r="BU93" s="167">
        <v>20000</v>
      </c>
      <c r="BV93" s="167">
        <v>20000</v>
      </c>
      <c r="BW93" s="167">
        <v>20000</v>
      </c>
      <c r="BX93" s="167">
        <v>20000</v>
      </c>
      <c r="BY93" s="167">
        <v>20000</v>
      </c>
      <c r="BZ93" s="167">
        <v>20000</v>
      </c>
      <c r="CA93" s="167">
        <v>20000</v>
      </c>
      <c r="CB93" s="167">
        <v>20000</v>
      </c>
      <c r="CC93" s="167">
        <v>19765.227751259554</v>
      </c>
      <c r="CD93" s="167">
        <v>17435.828642815963</v>
      </c>
      <c r="CE93" s="167">
        <v>16302.56305652644</v>
      </c>
      <c r="CF93" s="167">
        <v>16279.79457495002</v>
      </c>
      <c r="CG93" s="167">
        <v>17212.951814387696</v>
      </c>
      <c r="CH93" s="167">
        <v>18910.079787877712</v>
      </c>
      <c r="CI93" s="167">
        <v>20000</v>
      </c>
      <c r="CJ93" s="167">
        <v>20000</v>
      </c>
      <c r="CK93" s="167">
        <v>20000</v>
      </c>
      <c r="CL93" s="167">
        <v>20000</v>
      </c>
      <c r="CM93" s="167">
        <v>20000</v>
      </c>
      <c r="CN93" s="167">
        <v>20000</v>
      </c>
      <c r="CO93" s="167">
        <v>20000</v>
      </c>
      <c r="CP93" s="167">
        <v>20000</v>
      </c>
      <c r="CQ93" s="167">
        <v>20000</v>
      </c>
      <c r="CR93" s="167">
        <v>20000</v>
      </c>
      <c r="CS93" s="167">
        <v>20000</v>
      </c>
      <c r="CT93" s="167">
        <v>20000</v>
      </c>
      <c r="CU93" s="167">
        <v>20000</v>
      </c>
      <c r="CV93" s="167">
        <v>20000</v>
      </c>
      <c r="CW93" s="167">
        <v>20000</v>
      </c>
      <c r="CX93" s="167">
        <v>20000</v>
      </c>
      <c r="CY93" s="167">
        <v>20000</v>
      </c>
      <c r="CZ93" s="167">
        <v>20000</v>
      </c>
      <c r="DA93" s="167">
        <v>20000</v>
      </c>
      <c r="DB93" s="167">
        <v>20000</v>
      </c>
      <c r="DC93" s="167">
        <v>20000</v>
      </c>
      <c r="DD93" s="167">
        <v>20000</v>
      </c>
      <c r="DE93" s="167">
        <v>20000</v>
      </c>
      <c r="DF93" s="167">
        <v>20000</v>
      </c>
      <c r="DG93" s="167">
        <v>20000</v>
      </c>
      <c r="DH93" s="167">
        <v>20000</v>
      </c>
      <c r="DI93" s="167">
        <v>20000</v>
      </c>
      <c r="DJ93" s="167">
        <v>20000</v>
      </c>
      <c r="DK93" s="167">
        <v>20000</v>
      </c>
      <c r="DL93" s="167">
        <v>20000</v>
      </c>
      <c r="DM93" s="167">
        <v>20000</v>
      </c>
      <c r="DN93" s="167">
        <v>20000</v>
      </c>
      <c r="DO93" s="167">
        <v>20000</v>
      </c>
      <c r="DP93" s="167">
        <v>20000</v>
      </c>
      <c r="DQ93" s="167">
        <v>20000</v>
      </c>
      <c r="DR93" s="167">
        <v>20000</v>
      </c>
      <c r="DS93" s="167">
        <v>20000</v>
      </c>
      <c r="DT93" s="167">
        <v>20000</v>
      </c>
      <c r="DU93" s="167">
        <v>20000</v>
      </c>
      <c r="DV93" s="167">
        <v>20000</v>
      </c>
      <c r="DW93" s="167">
        <v>20000</v>
      </c>
      <c r="DX93" s="167">
        <v>20000</v>
      </c>
      <c r="DY93" s="167">
        <v>20000</v>
      </c>
      <c r="DZ93" s="167">
        <v>20000</v>
      </c>
      <c r="EA93" s="167">
        <v>20000</v>
      </c>
      <c r="EB93" s="167">
        <v>20000</v>
      </c>
      <c r="EC93" s="167">
        <v>20000</v>
      </c>
      <c r="ED93" s="167">
        <v>19234.168626309864</v>
      </c>
      <c r="EE93" s="167">
        <v>17960.684850055753</v>
      </c>
      <c r="EF93" s="167">
        <v>17769.179110693702</v>
      </c>
      <c r="EG93" s="167">
        <v>18619.81299804767</v>
      </c>
      <c r="EH93" s="167">
        <v>20000</v>
      </c>
      <c r="EI93" s="167">
        <v>20000</v>
      </c>
      <c r="EJ93" s="167">
        <v>20000</v>
      </c>
      <c r="EK93" s="167">
        <v>20000</v>
      </c>
      <c r="EL93" s="167">
        <v>20000</v>
      </c>
      <c r="EM93" s="167">
        <v>20000</v>
      </c>
      <c r="EN93" s="167">
        <v>20000</v>
      </c>
      <c r="EO93" s="167">
        <v>20000</v>
      </c>
      <c r="EP93" t="str">
        <f t="shared" si="1"/>
        <v>3y 285d</v>
      </c>
    </row>
    <row r="94" spans="2:146" x14ac:dyDescent="0.25">
      <c r="B94" s="65">
        <v>91</v>
      </c>
      <c r="D94">
        <v>28505882.757871885</v>
      </c>
      <c r="E94" s="12">
        <v>33760200459.534534</v>
      </c>
      <c r="F94" s="12">
        <v>143685033132.9053</v>
      </c>
      <c r="G94" s="12">
        <v>0</v>
      </c>
      <c r="H94" s="12">
        <v>143837989.14933011</v>
      </c>
      <c r="I94" s="12">
        <v>176631409038.7562</v>
      </c>
      <c r="J94" s="12">
        <v>-382859459927.66583</v>
      </c>
      <c r="K94" s="12">
        <v>13266831116.252672</v>
      </c>
      <c r="L94" s="12"/>
      <c r="M94" s="12"/>
      <c r="N94" s="12"/>
      <c r="O94" s="12"/>
      <c r="P94" s="12">
        <v>34843109.220777668</v>
      </c>
      <c r="Q94" s="12">
        <v>-292441665548.10339</v>
      </c>
      <c r="R94" s="12">
        <v>338594647240.25226</v>
      </c>
      <c r="S94" s="12">
        <v>0</v>
      </c>
      <c r="T94" s="12">
        <v>31930519.485144813</v>
      </c>
      <c r="U94" s="12">
        <v>-352895324149.61536</v>
      </c>
      <c r="V94" s="12">
        <v>301517518610.17511</v>
      </c>
      <c r="W94" s="12">
        <v>-805834427.46001697</v>
      </c>
      <c r="X94" s="12"/>
      <c r="Y94" s="12"/>
      <c r="Z94" s="12"/>
      <c r="AA94" s="12"/>
      <c r="AB94" s="12"/>
      <c r="AC94" s="12"/>
      <c r="AD94" s="12"/>
      <c r="AE94" s="12"/>
      <c r="AS94" s="6">
        <v>120453985.18508448</v>
      </c>
      <c r="AT94" s="167">
        <v>20000</v>
      </c>
      <c r="AU94" s="167">
        <v>20000</v>
      </c>
      <c r="AV94" s="167">
        <v>20000</v>
      </c>
      <c r="AW94" s="167">
        <v>20000</v>
      </c>
      <c r="AX94" s="167">
        <v>20000</v>
      </c>
      <c r="AY94" s="167">
        <v>20000</v>
      </c>
      <c r="AZ94" s="167">
        <v>20000</v>
      </c>
      <c r="BA94" s="167">
        <v>20000</v>
      </c>
      <c r="BB94" s="167">
        <v>20000</v>
      </c>
      <c r="BC94" s="167">
        <v>20000</v>
      </c>
      <c r="BD94" s="167">
        <v>20000</v>
      </c>
      <c r="BE94" s="167">
        <v>20000</v>
      </c>
      <c r="BF94" s="167">
        <v>18137.64377424767</v>
      </c>
      <c r="BG94" s="167">
        <v>16476.138329762704</v>
      </c>
      <c r="BH94" s="167">
        <v>15717.441467056969</v>
      </c>
      <c r="BI94" s="167">
        <v>16076.914980139014</v>
      </c>
      <c r="BJ94" s="167">
        <v>17446.058084089153</v>
      </c>
      <c r="BK94" s="167">
        <v>19633.478756054963</v>
      </c>
      <c r="BL94" s="167">
        <v>20000</v>
      </c>
      <c r="BM94" s="167">
        <v>20000</v>
      </c>
      <c r="BN94" s="167">
        <v>20000</v>
      </c>
      <c r="BO94" s="167">
        <v>20000</v>
      </c>
      <c r="BP94" s="167">
        <v>20000</v>
      </c>
      <c r="BQ94" s="167">
        <v>20000</v>
      </c>
      <c r="BR94" s="167">
        <v>20000</v>
      </c>
      <c r="BS94" s="167">
        <v>20000</v>
      </c>
      <c r="BT94" s="167">
        <v>20000</v>
      </c>
      <c r="BU94" s="167">
        <v>20000</v>
      </c>
      <c r="BV94" s="167">
        <v>20000</v>
      </c>
      <c r="BW94" s="167">
        <v>20000</v>
      </c>
      <c r="BX94" s="167">
        <v>20000</v>
      </c>
      <c r="BY94" s="167">
        <v>20000</v>
      </c>
      <c r="BZ94" s="167">
        <v>20000</v>
      </c>
      <c r="CA94" s="167">
        <v>20000</v>
      </c>
      <c r="CB94" s="167">
        <v>20000</v>
      </c>
      <c r="CC94" s="167">
        <v>20000</v>
      </c>
      <c r="CD94" s="167">
        <v>17909.042133018651</v>
      </c>
      <c r="CE94" s="167">
        <v>16573.002264726536</v>
      </c>
      <c r="CF94" s="167">
        <v>16362.327714350617</v>
      </c>
      <c r="CG94" s="167">
        <v>17144.280587533678</v>
      </c>
      <c r="CH94" s="167">
        <v>18738.923375127524</v>
      </c>
      <c r="CI94" s="167">
        <v>20000</v>
      </c>
      <c r="CJ94" s="167">
        <v>20000</v>
      </c>
      <c r="CK94" s="167">
        <v>20000</v>
      </c>
      <c r="CL94" s="167">
        <v>20000</v>
      </c>
      <c r="CM94" s="167">
        <v>20000</v>
      </c>
      <c r="CN94" s="167">
        <v>20000</v>
      </c>
      <c r="CO94" s="167">
        <v>20000</v>
      </c>
      <c r="CP94" s="167">
        <v>20000</v>
      </c>
      <c r="CQ94" s="167">
        <v>20000</v>
      </c>
      <c r="CR94" s="167">
        <v>20000</v>
      </c>
      <c r="CS94" s="167">
        <v>20000</v>
      </c>
      <c r="CT94" s="167">
        <v>20000</v>
      </c>
      <c r="CU94" s="167">
        <v>20000</v>
      </c>
      <c r="CV94" s="167">
        <v>20000</v>
      </c>
      <c r="CW94" s="167">
        <v>20000</v>
      </c>
      <c r="CX94" s="167">
        <v>20000</v>
      </c>
      <c r="CY94" s="167">
        <v>20000</v>
      </c>
      <c r="CZ94" s="167">
        <v>20000</v>
      </c>
      <c r="DA94" s="167">
        <v>20000</v>
      </c>
      <c r="DB94" s="167">
        <v>20000</v>
      </c>
      <c r="DC94" s="167">
        <v>20000</v>
      </c>
      <c r="DD94" s="167">
        <v>20000</v>
      </c>
      <c r="DE94" s="167">
        <v>20000</v>
      </c>
      <c r="DF94" s="167">
        <v>20000</v>
      </c>
      <c r="DG94" s="167">
        <v>20000</v>
      </c>
      <c r="DH94" s="167">
        <v>20000</v>
      </c>
      <c r="DI94" s="167">
        <v>20000</v>
      </c>
      <c r="DJ94" s="167">
        <v>20000</v>
      </c>
      <c r="DK94" s="167">
        <v>20000</v>
      </c>
      <c r="DL94" s="167">
        <v>20000</v>
      </c>
      <c r="DM94" s="167">
        <v>20000</v>
      </c>
      <c r="DN94" s="167">
        <v>20000</v>
      </c>
      <c r="DO94" s="167">
        <v>20000</v>
      </c>
      <c r="DP94" s="167">
        <v>20000</v>
      </c>
      <c r="DQ94" s="167">
        <v>20000</v>
      </c>
      <c r="DR94" s="167">
        <v>20000</v>
      </c>
      <c r="DS94" s="167">
        <v>20000</v>
      </c>
      <c r="DT94" s="167">
        <v>20000</v>
      </c>
      <c r="DU94" s="167">
        <v>20000</v>
      </c>
      <c r="DV94" s="167">
        <v>20000</v>
      </c>
      <c r="DW94" s="167">
        <v>20000</v>
      </c>
      <c r="DX94" s="167">
        <v>20000</v>
      </c>
      <c r="DY94" s="167">
        <v>20000</v>
      </c>
      <c r="DZ94" s="167">
        <v>20000</v>
      </c>
      <c r="EA94" s="167">
        <v>20000</v>
      </c>
      <c r="EB94" s="167">
        <v>20000</v>
      </c>
      <c r="EC94" s="167">
        <v>20000</v>
      </c>
      <c r="ED94" s="167">
        <v>19467.419573626001</v>
      </c>
      <c r="EE94" s="167">
        <v>18036.94121217083</v>
      </c>
      <c r="EF94" s="167">
        <v>17707.994053725772</v>
      </c>
      <c r="EG94" s="167">
        <v>18439.803394258524</v>
      </c>
      <c r="EH94" s="167">
        <v>19933.632875724732</v>
      </c>
      <c r="EI94" s="167">
        <v>20000</v>
      </c>
      <c r="EJ94" s="167">
        <v>20000</v>
      </c>
      <c r="EK94" s="167">
        <v>20000</v>
      </c>
      <c r="EL94" s="167">
        <v>20000</v>
      </c>
      <c r="EM94" s="167">
        <v>20000</v>
      </c>
      <c r="EN94" s="167">
        <v>20000</v>
      </c>
      <c r="EO94" s="167">
        <v>20000</v>
      </c>
      <c r="EP94" t="str">
        <f t="shared" si="1"/>
        <v>3y 298d</v>
      </c>
    </row>
    <row r="95" spans="2:146" x14ac:dyDescent="0.25">
      <c r="B95" s="65">
        <v>92</v>
      </c>
      <c r="D95">
        <v>28813008.876086093</v>
      </c>
      <c r="E95" s="12">
        <v>24656644900.518959</v>
      </c>
      <c r="F95" s="12">
        <v>145433558743.37442</v>
      </c>
      <c r="G95" s="12">
        <v>0</v>
      </c>
      <c r="H95" s="12">
        <v>145308677.49675256</v>
      </c>
      <c r="I95" s="12">
        <v>198623760817.99164</v>
      </c>
      <c r="J95" s="12">
        <v>-367897134691.29626</v>
      </c>
      <c r="K95" s="12">
        <v>11975495224.436039</v>
      </c>
      <c r="L95" s="12"/>
      <c r="M95" s="12"/>
      <c r="N95" s="12"/>
      <c r="O95" s="12"/>
      <c r="P95" s="12">
        <v>35973232.971523933</v>
      </c>
      <c r="Q95" s="12">
        <v>-305542867143.38751</v>
      </c>
      <c r="R95" s="12">
        <v>332459996449.61414</v>
      </c>
      <c r="S95" s="12">
        <v>0</v>
      </c>
      <c r="T95" s="12">
        <v>32545830.346742641</v>
      </c>
      <c r="U95" s="12">
        <v>-358504168340.35657</v>
      </c>
      <c r="V95" s="12">
        <v>296695632318.5072</v>
      </c>
      <c r="W95" s="12">
        <v>-809809655.14361119</v>
      </c>
      <c r="X95" s="12"/>
      <c r="Y95" s="12"/>
      <c r="Z95" s="12"/>
      <c r="AA95" s="12"/>
      <c r="AB95" s="12"/>
      <c r="AC95" s="12"/>
      <c r="AD95" s="12"/>
      <c r="AE95" s="12"/>
      <c r="AS95" s="6">
        <v>121641647.72712734</v>
      </c>
      <c r="AT95" s="167">
        <v>20000</v>
      </c>
      <c r="AU95" s="167">
        <v>20000</v>
      </c>
      <c r="AV95" s="167">
        <v>20000</v>
      </c>
      <c r="AW95" s="167">
        <v>20000</v>
      </c>
      <c r="AX95" s="167">
        <v>20000</v>
      </c>
      <c r="AY95" s="167">
        <v>20000</v>
      </c>
      <c r="AZ95" s="167">
        <v>20000</v>
      </c>
      <c r="BA95" s="167">
        <v>20000</v>
      </c>
      <c r="BB95" s="167">
        <v>20000</v>
      </c>
      <c r="BC95" s="167">
        <v>20000</v>
      </c>
      <c r="BD95" s="167">
        <v>20000</v>
      </c>
      <c r="BE95" s="167">
        <v>20000</v>
      </c>
      <c r="BF95" s="167">
        <v>18451.369872143165</v>
      </c>
      <c r="BG95" s="167">
        <v>16633.362783605568</v>
      </c>
      <c r="BH95" s="167">
        <v>15797.878901560858</v>
      </c>
      <c r="BI95" s="167">
        <v>16039.980781337259</v>
      </c>
      <c r="BJ95" s="167">
        <v>17312.26946485788</v>
      </c>
      <c r="BK95" s="167">
        <v>19424.527716590525</v>
      </c>
      <c r="BL95" s="167">
        <v>20000</v>
      </c>
      <c r="BM95" s="167">
        <v>20000</v>
      </c>
      <c r="BN95" s="167">
        <v>20000</v>
      </c>
      <c r="BO95" s="167">
        <v>20000</v>
      </c>
      <c r="BP95" s="167">
        <v>20000</v>
      </c>
      <c r="BQ95" s="167">
        <v>20000</v>
      </c>
      <c r="BR95" s="167">
        <v>20000</v>
      </c>
      <c r="BS95" s="167">
        <v>20000</v>
      </c>
      <c r="BT95" s="167">
        <v>20000</v>
      </c>
      <c r="BU95" s="167">
        <v>20000</v>
      </c>
      <c r="BV95" s="167">
        <v>20000</v>
      </c>
      <c r="BW95" s="167">
        <v>20000</v>
      </c>
      <c r="BX95" s="167">
        <v>20000</v>
      </c>
      <c r="BY95" s="167">
        <v>20000</v>
      </c>
      <c r="BZ95" s="167">
        <v>20000</v>
      </c>
      <c r="CA95" s="167">
        <v>20000</v>
      </c>
      <c r="CB95" s="167">
        <v>20000</v>
      </c>
      <c r="CC95" s="167">
        <v>20000</v>
      </c>
      <c r="CD95" s="167">
        <v>18435.973950905907</v>
      </c>
      <c r="CE95" s="167">
        <v>16893.769680045301</v>
      </c>
      <c r="CF95" s="167">
        <v>16490.86402068496</v>
      </c>
      <c r="CG95" s="167">
        <v>17104.396196108315</v>
      </c>
      <c r="CH95" s="167">
        <v>18566.730198238103</v>
      </c>
      <c r="CI95" s="167">
        <v>20000</v>
      </c>
      <c r="CJ95" s="167">
        <v>20000</v>
      </c>
      <c r="CK95" s="167">
        <v>20000</v>
      </c>
      <c r="CL95" s="167">
        <v>20000</v>
      </c>
      <c r="CM95" s="167">
        <v>20000</v>
      </c>
      <c r="CN95" s="167">
        <v>20000</v>
      </c>
      <c r="CO95" s="167">
        <v>20000</v>
      </c>
      <c r="CP95" s="167">
        <v>20000</v>
      </c>
      <c r="CQ95" s="167">
        <v>20000</v>
      </c>
      <c r="CR95" s="167">
        <v>20000</v>
      </c>
      <c r="CS95" s="167">
        <v>20000</v>
      </c>
      <c r="CT95" s="167">
        <v>20000</v>
      </c>
      <c r="CU95" s="167">
        <v>20000</v>
      </c>
      <c r="CV95" s="167">
        <v>20000</v>
      </c>
      <c r="CW95" s="167">
        <v>20000</v>
      </c>
      <c r="CX95" s="167">
        <v>20000</v>
      </c>
      <c r="CY95" s="167">
        <v>20000</v>
      </c>
      <c r="CZ95" s="167">
        <v>20000</v>
      </c>
      <c r="DA95" s="167">
        <v>20000</v>
      </c>
      <c r="DB95" s="167">
        <v>20000</v>
      </c>
      <c r="DC95" s="167">
        <v>20000</v>
      </c>
      <c r="DD95" s="167">
        <v>20000</v>
      </c>
      <c r="DE95" s="167">
        <v>20000</v>
      </c>
      <c r="DF95" s="167">
        <v>20000</v>
      </c>
      <c r="DG95" s="167">
        <v>20000</v>
      </c>
      <c r="DH95" s="167">
        <v>20000</v>
      </c>
      <c r="DI95" s="167">
        <v>20000</v>
      </c>
      <c r="DJ95" s="167">
        <v>20000</v>
      </c>
      <c r="DK95" s="167">
        <v>20000</v>
      </c>
      <c r="DL95" s="167">
        <v>20000</v>
      </c>
      <c r="DM95" s="167">
        <v>20000</v>
      </c>
      <c r="DN95" s="167">
        <v>20000</v>
      </c>
      <c r="DO95" s="167">
        <v>20000</v>
      </c>
      <c r="DP95" s="167">
        <v>20000</v>
      </c>
      <c r="DQ95" s="167">
        <v>20000</v>
      </c>
      <c r="DR95" s="167">
        <v>20000</v>
      </c>
      <c r="DS95" s="167">
        <v>20000</v>
      </c>
      <c r="DT95" s="167">
        <v>20000</v>
      </c>
      <c r="DU95" s="167">
        <v>20000</v>
      </c>
      <c r="DV95" s="167">
        <v>20000</v>
      </c>
      <c r="DW95" s="167">
        <v>20000</v>
      </c>
      <c r="DX95" s="167">
        <v>20000</v>
      </c>
      <c r="DY95" s="167">
        <v>20000</v>
      </c>
      <c r="DZ95" s="167">
        <v>20000</v>
      </c>
      <c r="EA95" s="167">
        <v>20000</v>
      </c>
      <c r="EB95" s="167">
        <v>20000</v>
      </c>
      <c r="EC95" s="167">
        <v>20000</v>
      </c>
      <c r="ED95" s="167">
        <v>19721.918564961699</v>
      </c>
      <c r="EE95" s="167">
        <v>18134.64095621229</v>
      </c>
      <c r="EF95" s="167">
        <v>17666.570730422947</v>
      </c>
      <c r="EG95" s="167">
        <v>18276.551476342531</v>
      </c>
      <c r="EH95" s="167">
        <v>19670.250375016949</v>
      </c>
      <c r="EI95" s="167">
        <v>20000</v>
      </c>
      <c r="EJ95" s="167">
        <v>20000</v>
      </c>
      <c r="EK95" s="167">
        <v>20000</v>
      </c>
      <c r="EL95" s="167">
        <v>20000</v>
      </c>
      <c r="EM95" s="167">
        <v>20000</v>
      </c>
      <c r="EN95" s="167">
        <v>20000</v>
      </c>
      <c r="EO95" s="167">
        <v>20000</v>
      </c>
      <c r="EP95" t="str">
        <f t="shared" si="1"/>
        <v>3y 312d</v>
      </c>
    </row>
    <row r="96" spans="2:146" x14ac:dyDescent="0.25">
      <c r="B96" s="65">
        <v>93</v>
      </c>
      <c r="D96">
        <v>29119781.205337424</v>
      </c>
      <c r="E96" s="12">
        <v>15467648913.427578</v>
      </c>
      <c r="F96" s="12">
        <v>146614278998.87674</v>
      </c>
      <c r="G96" s="12">
        <v>0</v>
      </c>
      <c r="H96" s="12">
        <v>146754696.09258917</v>
      </c>
      <c r="I96" s="12">
        <v>219488303074.15219</v>
      </c>
      <c r="J96" s="12">
        <v>-351779829522.79523</v>
      </c>
      <c r="K96" s="12">
        <v>10660050508.786837</v>
      </c>
      <c r="L96" s="12"/>
      <c r="M96" s="12"/>
      <c r="N96" s="12"/>
      <c r="O96" s="12"/>
      <c r="P96" s="12">
        <v>37123376.6037848</v>
      </c>
      <c r="Q96" s="12">
        <v>-318298808998.2309</v>
      </c>
      <c r="R96" s="12">
        <v>325588522342.48169</v>
      </c>
      <c r="S96" s="12">
        <v>0</v>
      </c>
      <c r="T96" s="12">
        <v>33164145.45136768</v>
      </c>
      <c r="U96" s="12">
        <v>-363960416060.15979</v>
      </c>
      <c r="V96" s="12">
        <v>291701253686.6972</v>
      </c>
      <c r="W96" s="12">
        <v>-813397741.00714111</v>
      </c>
      <c r="X96" s="12"/>
      <c r="Y96" s="12"/>
      <c r="Z96" s="12"/>
      <c r="AA96" s="12"/>
      <c r="AB96" s="12"/>
      <c r="AC96" s="12"/>
      <c r="AD96" s="12"/>
      <c r="AE96" s="12"/>
      <c r="AS96" s="6">
        <v>122829310.26917021</v>
      </c>
      <c r="AT96" s="167">
        <v>20000</v>
      </c>
      <c r="AU96" s="167">
        <v>20000</v>
      </c>
      <c r="AV96" s="167">
        <v>20000</v>
      </c>
      <c r="AW96" s="167">
        <v>20000</v>
      </c>
      <c r="AX96" s="167">
        <v>20000</v>
      </c>
      <c r="AY96" s="167">
        <v>20000</v>
      </c>
      <c r="AZ96" s="167">
        <v>20000</v>
      </c>
      <c r="BA96" s="167">
        <v>20000</v>
      </c>
      <c r="BB96" s="167">
        <v>20000</v>
      </c>
      <c r="BC96" s="167">
        <v>20000</v>
      </c>
      <c r="BD96" s="167">
        <v>20000</v>
      </c>
      <c r="BE96" s="167">
        <v>20000</v>
      </c>
      <c r="BF96" s="167">
        <v>18786.427191119466</v>
      </c>
      <c r="BG96" s="167">
        <v>16811.131760558874</v>
      </c>
      <c r="BH96" s="167">
        <v>15896.480687175443</v>
      </c>
      <c r="BI96" s="167">
        <v>16018.283377945507</v>
      </c>
      <c r="BJ96" s="167">
        <v>17190.41759730436</v>
      </c>
      <c r="BK96" s="167">
        <v>19199.645770917974</v>
      </c>
      <c r="BL96" s="167">
        <v>20000</v>
      </c>
      <c r="BM96" s="167">
        <v>20000</v>
      </c>
      <c r="BN96" s="167">
        <v>20000</v>
      </c>
      <c r="BO96" s="167">
        <v>20000</v>
      </c>
      <c r="BP96" s="167">
        <v>20000</v>
      </c>
      <c r="BQ96" s="167">
        <v>20000</v>
      </c>
      <c r="BR96" s="167">
        <v>20000</v>
      </c>
      <c r="BS96" s="167">
        <v>20000</v>
      </c>
      <c r="BT96" s="167">
        <v>20000</v>
      </c>
      <c r="BU96" s="167">
        <v>20000</v>
      </c>
      <c r="BV96" s="167">
        <v>20000</v>
      </c>
      <c r="BW96" s="167">
        <v>20000</v>
      </c>
      <c r="BX96" s="167">
        <v>20000</v>
      </c>
      <c r="BY96" s="167">
        <v>20000</v>
      </c>
      <c r="BZ96" s="167">
        <v>20000</v>
      </c>
      <c r="CA96" s="167">
        <v>20000</v>
      </c>
      <c r="CB96" s="167">
        <v>20000</v>
      </c>
      <c r="CC96" s="167">
        <v>20000</v>
      </c>
      <c r="CD96" s="167">
        <v>19019.640245804683</v>
      </c>
      <c r="CE96" s="167">
        <v>17267.252938752492</v>
      </c>
      <c r="CF96" s="167">
        <v>16667.276692725925</v>
      </c>
      <c r="CG96" s="167">
        <v>17109.154058942411</v>
      </c>
      <c r="CH96" s="167">
        <v>18427.307305143724</v>
      </c>
      <c r="CI96" s="167">
        <v>20000</v>
      </c>
      <c r="CJ96" s="167">
        <v>20000</v>
      </c>
      <c r="CK96" s="167">
        <v>20000</v>
      </c>
      <c r="CL96" s="167">
        <v>20000</v>
      </c>
      <c r="CM96" s="167">
        <v>20000</v>
      </c>
      <c r="CN96" s="167">
        <v>20000</v>
      </c>
      <c r="CO96" s="167">
        <v>20000</v>
      </c>
      <c r="CP96" s="167">
        <v>20000</v>
      </c>
      <c r="CQ96" s="167">
        <v>20000</v>
      </c>
      <c r="CR96" s="167">
        <v>20000</v>
      </c>
      <c r="CS96" s="167">
        <v>20000</v>
      </c>
      <c r="CT96" s="167">
        <v>20000</v>
      </c>
      <c r="CU96" s="167">
        <v>20000</v>
      </c>
      <c r="CV96" s="167">
        <v>20000</v>
      </c>
      <c r="CW96" s="167">
        <v>20000</v>
      </c>
      <c r="CX96" s="167">
        <v>20000</v>
      </c>
      <c r="CY96" s="167">
        <v>20000</v>
      </c>
      <c r="CZ96" s="167">
        <v>20000</v>
      </c>
      <c r="DA96" s="167">
        <v>20000</v>
      </c>
      <c r="DB96" s="167">
        <v>20000</v>
      </c>
      <c r="DC96" s="167">
        <v>20000</v>
      </c>
      <c r="DD96" s="167">
        <v>20000</v>
      </c>
      <c r="DE96" s="167">
        <v>20000</v>
      </c>
      <c r="DF96" s="167">
        <v>20000</v>
      </c>
      <c r="DG96" s="167">
        <v>20000</v>
      </c>
      <c r="DH96" s="167">
        <v>20000</v>
      </c>
      <c r="DI96" s="167">
        <v>20000</v>
      </c>
      <c r="DJ96" s="167">
        <v>20000</v>
      </c>
      <c r="DK96" s="167">
        <v>20000</v>
      </c>
      <c r="DL96" s="167">
        <v>20000</v>
      </c>
      <c r="DM96" s="167">
        <v>20000</v>
      </c>
      <c r="DN96" s="167">
        <v>20000</v>
      </c>
      <c r="DO96" s="167">
        <v>20000</v>
      </c>
      <c r="DP96" s="167">
        <v>20000</v>
      </c>
      <c r="DQ96" s="167">
        <v>20000</v>
      </c>
      <c r="DR96" s="167">
        <v>20000</v>
      </c>
      <c r="DS96" s="167">
        <v>20000</v>
      </c>
      <c r="DT96" s="167">
        <v>20000</v>
      </c>
      <c r="DU96" s="167">
        <v>20000</v>
      </c>
      <c r="DV96" s="167">
        <v>20000</v>
      </c>
      <c r="DW96" s="167">
        <v>20000</v>
      </c>
      <c r="DX96" s="167">
        <v>20000</v>
      </c>
      <c r="DY96" s="167">
        <v>20000</v>
      </c>
      <c r="DZ96" s="167">
        <v>20000</v>
      </c>
      <c r="EA96" s="167">
        <v>20000</v>
      </c>
      <c r="EB96" s="167">
        <v>20000</v>
      </c>
      <c r="EC96" s="167">
        <v>20000</v>
      </c>
      <c r="ED96" s="167">
        <v>19996.999006656715</v>
      </c>
      <c r="EE96" s="167">
        <v>18253.073636162007</v>
      </c>
      <c r="EF96" s="167">
        <v>17644.234666761418</v>
      </c>
      <c r="EG96" s="167">
        <v>18130.16347983442</v>
      </c>
      <c r="EH96" s="167">
        <v>19420.712674388771</v>
      </c>
      <c r="EI96" s="167">
        <v>20000</v>
      </c>
      <c r="EJ96" s="167">
        <v>20000</v>
      </c>
      <c r="EK96" s="167">
        <v>20000</v>
      </c>
      <c r="EL96" s="167">
        <v>20000</v>
      </c>
      <c r="EM96" s="167">
        <v>20000</v>
      </c>
      <c r="EN96" s="167">
        <v>20000</v>
      </c>
      <c r="EO96" s="167">
        <v>20000</v>
      </c>
      <c r="EP96" t="str">
        <f t="shared" si="1"/>
        <v>3y 326d</v>
      </c>
    </row>
    <row r="97" spans="2:146" x14ac:dyDescent="0.25">
      <c r="B97" s="65">
        <v>94</v>
      </c>
      <c r="D97">
        <v>29426234.115666363</v>
      </c>
      <c r="E97" s="12">
        <v>6228072229.5675421</v>
      </c>
      <c r="F97" s="12">
        <v>147223665828.77466</v>
      </c>
      <c r="G97" s="12">
        <v>0</v>
      </c>
      <c r="H97" s="12">
        <v>148176968.28269076</v>
      </c>
      <c r="I97" s="12">
        <v>239178397674.92648</v>
      </c>
      <c r="J97" s="12">
        <v>-334593777210.18842</v>
      </c>
      <c r="K97" s="12">
        <v>9325796626.0429592</v>
      </c>
      <c r="L97" s="12"/>
      <c r="M97" s="12"/>
      <c r="N97" s="12"/>
      <c r="O97" s="12"/>
      <c r="P97" s="12">
        <v>38291882.371007927</v>
      </c>
      <c r="Q97" s="12">
        <v>-330652442725.97131</v>
      </c>
      <c r="R97" s="12">
        <v>317987559608.56909</v>
      </c>
      <c r="S97" s="12">
        <v>0</v>
      </c>
      <c r="T97" s="12">
        <v>33785169.676518127</v>
      </c>
      <c r="U97" s="12">
        <v>-369257472584.04291</v>
      </c>
      <c r="V97" s="12">
        <v>286538248023.40442</v>
      </c>
      <c r="W97" s="12">
        <v>-816592353.62592828</v>
      </c>
      <c r="X97" s="12"/>
      <c r="Y97" s="12"/>
      <c r="Z97" s="12"/>
      <c r="AA97" s="12"/>
      <c r="AB97" s="12"/>
      <c r="AC97" s="12"/>
      <c r="AD97" s="12"/>
      <c r="AE97" s="12"/>
      <c r="AS97" s="6">
        <v>124016972.81121308</v>
      </c>
      <c r="AT97" s="167">
        <v>20000</v>
      </c>
      <c r="AU97" s="167">
        <v>20000</v>
      </c>
      <c r="AV97" s="167">
        <v>20000</v>
      </c>
      <c r="AW97" s="167">
        <v>20000</v>
      </c>
      <c r="AX97" s="167">
        <v>20000</v>
      </c>
      <c r="AY97" s="167">
        <v>20000</v>
      </c>
      <c r="AZ97" s="167">
        <v>20000</v>
      </c>
      <c r="BA97" s="167">
        <v>20000</v>
      </c>
      <c r="BB97" s="167">
        <v>20000</v>
      </c>
      <c r="BC97" s="167">
        <v>20000</v>
      </c>
      <c r="BD97" s="167">
        <v>20000</v>
      </c>
      <c r="BE97" s="167">
        <v>20000</v>
      </c>
      <c r="BF97" s="167">
        <v>19143.634226251219</v>
      </c>
      <c r="BG97" s="167">
        <v>17010.239361264554</v>
      </c>
      <c r="BH97" s="167">
        <v>16013.922512734172</v>
      </c>
      <c r="BI97" s="167">
        <v>16012.458835909627</v>
      </c>
      <c r="BJ97" s="167">
        <v>17066.772352655997</v>
      </c>
      <c r="BK97" s="167">
        <v>18980.088402680216</v>
      </c>
      <c r="BL97" s="167">
        <v>20000</v>
      </c>
      <c r="BM97" s="167">
        <v>20000</v>
      </c>
      <c r="BN97" s="167">
        <v>20000</v>
      </c>
      <c r="BO97" s="167">
        <v>20000</v>
      </c>
      <c r="BP97" s="167">
        <v>20000</v>
      </c>
      <c r="BQ97" s="167">
        <v>20000</v>
      </c>
      <c r="BR97" s="167">
        <v>20000</v>
      </c>
      <c r="BS97" s="167">
        <v>20000</v>
      </c>
      <c r="BT97" s="167">
        <v>20000</v>
      </c>
      <c r="BU97" s="167">
        <v>20000</v>
      </c>
      <c r="BV97" s="167">
        <v>20000</v>
      </c>
      <c r="BW97" s="167">
        <v>20000</v>
      </c>
      <c r="BX97" s="167">
        <v>20000</v>
      </c>
      <c r="BY97" s="167">
        <v>20000</v>
      </c>
      <c r="BZ97" s="167">
        <v>20000</v>
      </c>
      <c r="CA97" s="167">
        <v>20000</v>
      </c>
      <c r="CB97" s="167">
        <v>20000</v>
      </c>
      <c r="CC97" s="167">
        <v>20000</v>
      </c>
      <c r="CD97" s="167">
        <v>19663.383602187081</v>
      </c>
      <c r="CE97" s="167">
        <v>17695.953527874241</v>
      </c>
      <c r="CF97" s="167">
        <v>16893.678486728226</v>
      </c>
      <c r="CG97" s="167">
        <v>17158.394497705784</v>
      </c>
      <c r="CH97" s="167">
        <v>18332.412088224162</v>
      </c>
      <c r="CI97" s="167">
        <v>20000</v>
      </c>
      <c r="CJ97" s="167">
        <v>20000</v>
      </c>
      <c r="CK97" s="167">
        <v>20000</v>
      </c>
      <c r="CL97" s="167">
        <v>20000</v>
      </c>
      <c r="CM97" s="167">
        <v>20000</v>
      </c>
      <c r="CN97" s="167">
        <v>20000</v>
      </c>
      <c r="CO97" s="167">
        <v>20000</v>
      </c>
      <c r="CP97" s="167">
        <v>20000</v>
      </c>
      <c r="CQ97" s="167">
        <v>20000</v>
      </c>
      <c r="CR97" s="167">
        <v>20000</v>
      </c>
      <c r="CS97" s="167">
        <v>20000</v>
      </c>
      <c r="CT97" s="167">
        <v>20000</v>
      </c>
      <c r="CU97" s="167">
        <v>20000</v>
      </c>
      <c r="CV97" s="167">
        <v>20000</v>
      </c>
      <c r="CW97" s="167">
        <v>20000</v>
      </c>
      <c r="CX97" s="167">
        <v>20000</v>
      </c>
      <c r="CY97" s="167">
        <v>20000</v>
      </c>
      <c r="CZ97" s="167">
        <v>20000</v>
      </c>
      <c r="DA97" s="167">
        <v>20000</v>
      </c>
      <c r="DB97" s="167">
        <v>20000</v>
      </c>
      <c r="DC97" s="167">
        <v>20000</v>
      </c>
      <c r="DD97" s="167">
        <v>20000</v>
      </c>
      <c r="DE97" s="167">
        <v>20000</v>
      </c>
      <c r="DF97" s="167">
        <v>20000</v>
      </c>
      <c r="DG97" s="167">
        <v>20000</v>
      </c>
      <c r="DH97" s="167">
        <v>20000</v>
      </c>
      <c r="DI97" s="167">
        <v>20000</v>
      </c>
      <c r="DJ97" s="167">
        <v>20000</v>
      </c>
      <c r="DK97" s="167">
        <v>20000</v>
      </c>
      <c r="DL97" s="167">
        <v>20000</v>
      </c>
      <c r="DM97" s="167">
        <v>20000</v>
      </c>
      <c r="DN97" s="167">
        <v>20000</v>
      </c>
      <c r="DO97" s="167">
        <v>20000</v>
      </c>
      <c r="DP97" s="167">
        <v>20000</v>
      </c>
      <c r="DQ97" s="167">
        <v>20000</v>
      </c>
      <c r="DR97" s="167">
        <v>20000</v>
      </c>
      <c r="DS97" s="167">
        <v>20000</v>
      </c>
      <c r="DT97" s="167">
        <v>20000</v>
      </c>
      <c r="DU97" s="167">
        <v>20000</v>
      </c>
      <c r="DV97" s="167">
        <v>20000</v>
      </c>
      <c r="DW97" s="167">
        <v>20000</v>
      </c>
      <c r="DX97" s="167">
        <v>20000</v>
      </c>
      <c r="DY97" s="167">
        <v>20000</v>
      </c>
      <c r="DZ97" s="167">
        <v>20000</v>
      </c>
      <c r="EA97" s="167">
        <v>20000</v>
      </c>
      <c r="EB97" s="167">
        <v>20000</v>
      </c>
      <c r="EC97" s="167">
        <v>20000</v>
      </c>
      <c r="ED97" s="167">
        <v>20000</v>
      </c>
      <c r="EE97" s="167">
        <v>18391.665320575667</v>
      </c>
      <c r="EF97" s="167">
        <v>17640.4431251891</v>
      </c>
      <c r="EG97" s="167">
        <v>18000.7431173205</v>
      </c>
      <c r="EH97" s="167">
        <v>19185.13692020658</v>
      </c>
      <c r="EI97" s="167">
        <v>20000</v>
      </c>
      <c r="EJ97" s="167">
        <v>20000</v>
      </c>
      <c r="EK97" s="167">
        <v>20000</v>
      </c>
      <c r="EL97" s="167">
        <v>20000</v>
      </c>
      <c r="EM97" s="167">
        <v>20000</v>
      </c>
      <c r="EN97" s="167">
        <v>20000</v>
      </c>
      <c r="EO97" s="167">
        <v>20000</v>
      </c>
      <c r="EP97" t="str">
        <f t="shared" si="1"/>
        <v>3y 340d</v>
      </c>
    </row>
    <row r="98" spans="2:146" x14ac:dyDescent="0.25">
      <c r="B98" s="65">
        <v>95</v>
      </c>
      <c r="D98">
        <v>29732403.075571354</v>
      </c>
      <c r="E98" s="12">
        <v>-3027153228.2029686</v>
      </c>
      <c r="F98" s="12">
        <v>147260262709.22415</v>
      </c>
      <c r="G98" s="12">
        <v>0</v>
      </c>
      <c r="H98" s="12">
        <v>149576464.98838976</v>
      </c>
      <c r="I98" s="12">
        <v>257653919926.73975</v>
      </c>
      <c r="J98" s="12">
        <v>-316424698392.7774</v>
      </c>
      <c r="K98" s="12">
        <v>7977834950.7410908</v>
      </c>
      <c r="L98" s="12"/>
      <c r="M98" s="12"/>
      <c r="N98" s="12"/>
      <c r="O98" s="12"/>
      <c r="P98" s="12">
        <v>39476934.203343801</v>
      </c>
      <c r="Q98" s="12">
        <v>-342547379901.81293</v>
      </c>
      <c r="R98" s="12">
        <v>309669656431.14215</v>
      </c>
      <c r="S98" s="12">
        <v>0</v>
      </c>
      <c r="T98" s="12">
        <v>34408601.166649409</v>
      </c>
      <c r="U98" s="12">
        <v>-374388963686.36127</v>
      </c>
      <c r="V98" s="12">
        <v>281210821116.40839</v>
      </c>
      <c r="W98" s="12">
        <v>-819387804.80247772</v>
      </c>
      <c r="X98" s="12"/>
      <c r="Y98" s="12"/>
      <c r="Z98" s="12"/>
      <c r="AA98" s="12"/>
      <c r="AB98" s="12"/>
      <c r="AC98" s="12"/>
      <c r="AD98" s="12"/>
      <c r="AE98" s="12"/>
      <c r="AS98" s="6">
        <v>125204635.35325594</v>
      </c>
      <c r="AT98" s="167">
        <v>20000</v>
      </c>
      <c r="AU98" s="167">
        <v>20000</v>
      </c>
      <c r="AV98" s="167">
        <v>20000</v>
      </c>
      <c r="AW98" s="167">
        <v>20000</v>
      </c>
      <c r="AX98" s="167">
        <v>20000</v>
      </c>
      <c r="AY98" s="167">
        <v>20000</v>
      </c>
      <c r="AZ98" s="167">
        <v>20000</v>
      </c>
      <c r="BA98" s="167">
        <v>20000</v>
      </c>
      <c r="BB98" s="167">
        <v>20000</v>
      </c>
      <c r="BC98" s="167">
        <v>20000</v>
      </c>
      <c r="BD98" s="167">
        <v>20000</v>
      </c>
      <c r="BE98" s="167">
        <v>20000</v>
      </c>
      <c r="BF98" s="167">
        <v>19523.885200492507</v>
      </c>
      <c r="BG98" s="167">
        <v>17231.508901199326</v>
      </c>
      <c r="BH98" s="167">
        <v>16150.932929547114</v>
      </c>
      <c r="BI98" s="167">
        <v>16017.935883948283</v>
      </c>
      <c r="BJ98" s="167">
        <v>16943.670314536987</v>
      </c>
      <c r="BK98" s="167">
        <v>18768.947076447574</v>
      </c>
      <c r="BL98" s="167">
        <v>20000</v>
      </c>
      <c r="BM98" s="167">
        <v>20000</v>
      </c>
      <c r="BN98" s="167">
        <v>20000</v>
      </c>
      <c r="BO98" s="167">
        <v>20000</v>
      </c>
      <c r="BP98" s="167">
        <v>20000</v>
      </c>
      <c r="BQ98" s="167">
        <v>20000</v>
      </c>
      <c r="BR98" s="167">
        <v>20000</v>
      </c>
      <c r="BS98" s="167">
        <v>20000</v>
      </c>
      <c r="BT98" s="167">
        <v>20000</v>
      </c>
      <c r="BU98" s="167">
        <v>20000</v>
      </c>
      <c r="BV98" s="167">
        <v>20000</v>
      </c>
      <c r="BW98" s="167">
        <v>20000</v>
      </c>
      <c r="BX98" s="167">
        <v>20000</v>
      </c>
      <c r="BY98" s="167">
        <v>20000</v>
      </c>
      <c r="BZ98" s="167">
        <v>20000</v>
      </c>
      <c r="CA98" s="167">
        <v>20000</v>
      </c>
      <c r="CB98" s="167">
        <v>20000</v>
      </c>
      <c r="CC98" s="167">
        <v>20000</v>
      </c>
      <c r="CD98" s="167">
        <v>20000</v>
      </c>
      <c r="CE98" s="167">
        <v>18182.546632506237</v>
      </c>
      <c r="CF98" s="167">
        <v>17172.30652576057</v>
      </c>
      <c r="CG98" s="167">
        <v>17253.003573112139</v>
      </c>
      <c r="CH98" s="167">
        <v>18277.40663762622</v>
      </c>
      <c r="CI98" s="167">
        <v>20000</v>
      </c>
      <c r="CJ98" s="167">
        <v>20000</v>
      </c>
      <c r="CK98" s="167">
        <v>20000</v>
      </c>
      <c r="CL98" s="167">
        <v>20000</v>
      </c>
      <c r="CM98" s="167">
        <v>20000</v>
      </c>
      <c r="CN98" s="167">
        <v>20000</v>
      </c>
      <c r="CO98" s="167">
        <v>20000</v>
      </c>
      <c r="CP98" s="167">
        <v>20000</v>
      </c>
      <c r="CQ98" s="167">
        <v>20000</v>
      </c>
      <c r="CR98" s="167">
        <v>20000</v>
      </c>
      <c r="CS98" s="167">
        <v>20000</v>
      </c>
      <c r="CT98" s="167">
        <v>20000</v>
      </c>
      <c r="CU98" s="167">
        <v>20000</v>
      </c>
      <c r="CV98" s="167">
        <v>20000</v>
      </c>
      <c r="CW98" s="167">
        <v>20000</v>
      </c>
      <c r="CX98" s="167">
        <v>20000</v>
      </c>
      <c r="CY98" s="167">
        <v>20000</v>
      </c>
      <c r="CZ98" s="167">
        <v>20000</v>
      </c>
      <c r="DA98" s="167">
        <v>20000</v>
      </c>
      <c r="DB98" s="167">
        <v>20000</v>
      </c>
      <c r="DC98" s="167">
        <v>20000</v>
      </c>
      <c r="DD98" s="167">
        <v>20000</v>
      </c>
      <c r="DE98" s="167">
        <v>20000</v>
      </c>
      <c r="DF98" s="167">
        <v>20000</v>
      </c>
      <c r="DG98" s="167">
        <v>20000</v>
      </c>
      <c r="DH98" s="167">
        <v>20000</v>
      </c>
      <c r="DI98" s="167">
        <v>20000</v>
      </c>
      <c r="DJ98" s="167">
        <v>20000</v>
      </c>
      <c r="DK98" s="167">
        <v>20000</v>
      </c>
      <c r="DL98" s="167">
        <v>20000</v>
      </c>
      <c r="DM98" s="167">
        <v>20000</v>
      </c>
      <c r="DN98" s="167">
        <v>20000</v>
      </c>
      <c r="DO98" s="167">
        <v>20000</v>
      </c>
      <c r="DP98" s="167">
        <v>20000</v>
      </c>
      <c r="DQ98" s="167">
        <v>20000</v>
      </c>
      <c r="DR98" s="167">
        <v>20000</v>
      </c>
      <c r="DS98" s="167">
        <v>20000</v>
      </c>
      <c r="DT98" s="167">
        <v>20000</v>
      </c>
      <c r="DU98" s="167">
        <v>20000</v>
      </c>
      <c r="DV98" s="167">
        <v>20000</v>
      </c>
      <c r="DW98" s="167">
        <v>20000</v>
      </c>
      <c r="DX98" s="167">
        <v>20000</v>
      </c>
      <c r="DY98" s="167">
        <v>20000</v>
      </c>
      <c r="DZ98" s="167">
        <v>20000</v>
      </c>
      <c r="EA98" s="167">
        <v>20000</v>
      </c>
      <c r="EB98" s="167">
        <v>20000</v>
      </c>
      <c r="EC98" s="167">
        <v>20000</v>
      </c>
      <c r="ED98" s="167">
        <v>20000</v>
      </c>
      <c r="EE98" s="167">
        <v>18549.958002339728</v>
      </c>
      <c r="EF98" s="167">
        <v>17654.777257959664</v>
      </c>
      <c r="EG98" s="167">
        <v>17888.391375166408</v>
      </c>
      <c r="EH98" s="167">
        <v>18963.651230492967</v>
      </c>
      <c r="EI98" s="167">
        <v>20000</v>
      </c>
      <c r="EJ98" s="167">
        <v>20000</v>
      </c>
      <c r="EK98" s="167">
        <v>20000</v>
      </c>
      <c r="EL98" s="167">
        <v>20000</v>
      </c>
      <c r="EM98" s="167">
        <v>20000</v>
      </c>
      <c r="EN98" s="167">
        <v>20000</v>
      </c>
      <c r="EO98" s="167">
        <v>20000</v>
      </c>
      <c r="EP98" t="str">
        <f t="shared" si="1"/>
        <v>3y 353d</v>
      </c>
    </row>
    <row r="99" spans="2:146" x14ac:dyDescent="0.25">
      <c r="B99" s="65">
        <v>96</v>
      </c>
      <c r="D99">
        <v>30038324.525341354</v>
      </c>
      <c r="E99" s="12">
        <v>-12263137624.581814</v>
      </c>
      <c r="F99" s="12">
        <v>146724676459.12839</v>
      </c>
      <c r="G99" s="12">
        <v>0</v>
      </c>
      <c r="H99" s="12">
        <v>150954197.31090784</v>
      </c>
      <c r="I99" s="12">
        <v>274880812597.10602</v>
      </c>
      <c r="J99" s="12">
        <v>-297357400149.56128</v>
      </c>
      <c r="K99" s="12">
        <v>6621061640.8163586</v>
      </c>
      <c r="L99" s="12"/>
      <c r="M99" s="12"/>
      <c r="N99" s="12"/>
      <c r="O99" s="12"/>
      <c r="P99" s="12">
        <v>40676568.642115653</v>
      </c>
      <c r="Q99" s="12">
        <v>-353928557375.34381</v>
      </c>
      <c r="R99" s="12">
        <v>300652662538.14093</v>
      </c>
      <c r="S99" s="12">
        <v>0</v>
      </c>
      <c r="T99" s="12">
        <v>35034132.031093858</v>
      </c>
      <c r="U99" s="12">
        <v>-379348757130.04138</v>
      </c>
      <c r="V99" s="12">
        <v>275723510848.17749</v>
      </c>
      <c r="W99" s="12">
        <v>-821779074.06626737</v>
      </c>
      <c r="X99" s="12"/>
      <c r="Y99" s="12"/>
      <c r="Z99" s="12"/>
      <c r="AA99" s="12"/>
      <c r="AB99" s="12"/>
      <c r="AC99" s="12"/>
      <c r="AD99" s="12"/>
      <c r="AE99" s="12"/>
      <c r="AS99" s="6">
        <v>126392297.89529881</v>
      </c>
      <c r="AT99" s="167">
        <v>20000</v>
      </c>
      <c r="AU99" s="167">
        <v>20000</v>
      </c>
      <c r="AV99" s="167">
        <v>20000</v>
      </c>
      <c r="AW99" s="167">
        <v>20000</v>
      </c>
      <c r="AX99" s="167">
        <v>20000</v>
      </c>
      <c r="AY99" s="167">
        <v>20000</v>
      </c>
      <c r="AZ99" s="167">
        <v>20000</v>
      </c>
      <c r="BA99" s="167">
        <v>20000</v>
      </c>
      <c r="BB99" s="167">
        <v>20000</v>
      </c>
      <c r="BC99" s="167">
        <v>20000</v>
      </c>
      <c r="BD99" s="167">
        <v>20000</v>
      </c>
      <c r="BE99" s="167">
        <v>20000</v>
      </c>
      <c r="BF99" s="167">
        <v>19928.159451965937</v>
      </c>
      <c r="BG99" s="167">
        <v>17475.800745011391</v>
      </c>
      <c r="BH99" s="167">
        <v>16308.298192186716</v>
      </c>
      <c r="BI99" s="167">
        <v>16020.595973799918</v>
      </c>
      <c r="BJ99" s="167">
        <v>16832.66014158227</v>
      </c>
      <c r="BK99" s="167">
        <v>18566.654717232766</v>
      </c>
      <c r="BL99" s="167">
        <v>20000</v>
      </c>
      <c r="BM99" s="167">
        <v>20000</v>
      </c>
      <c r="BN99" s="167">
        <v>20000</v>
      </c>
      <c r="BO99" s="167">
        <v>20000</v>
      </c>
      <c r="BP99" s="167">
        <v>20000</v>
      </c>
      <c r="BQ99" s="167">
        <v>20000</v>
      </c>
      <c r="BR99" s="167">
        <v>20000</v>
      </c>
      <c r="BS99" s="167">
        <v>20000</v>
      </c>
      <c r="BT99" s="167">
        <v>20000</v>
      </c>
      <c r="BU99" s="167">
        <v>20000</v>
      </c>
      <c r="BV99" s="167">
        <v>20000</v>
      </c>
      <c r="BW99" s="167">
        <v>20000</v>
      </c>
      <c r="BX99" s="167">
        <v>20000</v>
      </c>
      <c r="BY99" s="167">
        <v>20000</v>
      </c>
      <c r="BZ99" s="167">
        <v>20000</v>
      </c>
      <c r="CA99" s="167">
        <v>20000</v>
      </c>
      <c r="CB99" s="167">
        <v>20000</v>
      </c>
      <c r="CC99" s="167">
        <v>20000</v>
      </c>
      <c r="CD99" s="167">
        <v>20000</v>
      </c>
      <c r="CE99" s="167">
        <v>18729.9466939411</v>
      </c>
      <c r="CF99" s="167">
        <v>17505.481174300523</v>
      </c>
      <c r="CG99" s="167">
        <v>17394.491306263786</v>
      </c>
      <c r="CH99" s="167">
        <v>18260.915715910334</v>
      </c>
      <c r="CI99" s="167">
        <v>19935.904004412427</v>
      </c>
      <c r="CJ99" s="167">
        <v>20000</v>
      </c>
      <c r="CK99" s="167">
        <v>20000</v>
      </c>
      <c r="CL99" s="167">
        <v>20000</v>
      </c>
      <c r="CM99" s="167">
        <v>20000</v>
      </c>
      <c r="CN99" s="167">
        <v>20000</v>
      </c>
      <c r="CO99" s="167">
        <v>20000</v>
      </c>
      <c r="CP99" s="167">
        <v>20000</v>
      </c>
      <c r="CQ99" s="167">
        <v>20000</v>
      </c>
      <c r="CR99" s="167">
        <v>20000</v>
      </c>
      <c r="CS99" s="167">
        <v>20000</v>
      </c>
      <c r="CT99" s="167">
        <v>20000</v>
      </c>
      <c r="CU99" s="167">
        <v>20000</v>
      </c>
      <c r="CV99" s="167">
        <v>20000</v>
      </c>
      <c r="CW99" s="167">
        <v>20000</v>
      </c>
      <c r="CX99" s="167">
        <v>20000</v>
      </c>
      <c r="CY99" s="167">
        <v>20000</v>
      </c>
      <c r="CZ99" s="167">
        <v>20000</v>
      </c>
      <c r="DA99" s="167">
        <v>20000</v>
      </c>
      <c r="DB99" s="167">
        <v>20000</v>
      </c>
      <c r="DC99" s="167">
        <v>20000</v>
      </c>
      <c r="DD99" s="167">
        <v>20000</v>
      </c>
      <c r="DE99" s="167">
        <v>20000</v>
      </c>
      <c r="DF99" s="167">
        <v>20000</v>
      </c>
      <c r="DG99" s="167">
        <v>20000</v>
      </c>
      <c r="DH99" s="167">
        <v>20000</v>
      </c>
      <c r="DI99" s="167">
        <v>20000</v>
      </c>
      <c r="DJ99" s="167">
        <v>20000</v>
      </c>
      <c r="DK99" s="167">
        <v>20000</v>
      </c>
      <c r="DL99" s="167">
        <v>20000</v>
      </c>
      <c r="DM99" s="167">
        <v>20000</v>
      </c>
      <c r="DN99" s="167">
        <v>20000</v>
      </c>
      <c r="DO99" s="167">
        <v>20000</v>
      </c>
      <c r="DP99" s="167">
        <v>20000</v>
      </c>
      <c r="DQ99" s="167">
        <v>20000</v>
      </c>
      <c r="DR99" s="167">
        <v>20000</v>
      </c>
      <c r="DS99" s="167">
        <v>20000</v>
      </c>
      <c r="DT99" s="167">
        <v>20000</v>
      </c>
      <c r="DU99" s="167">
        <v>20000</v>
      </c>
      <c r="DV99" s="167">
        <v>20000</v>
      </c>
      <c r="DW99" s="167">
        <v>20000</v>
      </c>
      <c r="DX99" s="167">
        <v>20000</v>
      </c>
      <c r="DY99" s="167">
        <v>20000</v>
      </c>
      <c r="DZ99" s="167">
        <v>20000</v>
      </c>
      <c r="EA99" s="167">
        <v>20000</v>
      </c>
      <c r="EB99" s="167">
        <v>20000</v>
      </c>
      <c r="EC99" s="167">
        <v>20000</v>
      </c>
      <c r="ED99" s="167">
        <v>20000</v>
      </c>
      <c r="EE99" s="167">
        <v>18727.590626317968</v>
      </c>
      <c r="EF99" s="167">
        <v>17686.934906137831</v>
      </c>
      <c r="EG99" s="167">
        <v>17793.206388063401</v>
      </c>
      <c r="EH99" s="167">
        <v>18756.394675263153</v>
      </c>
      <c r="EI99" s="167">
        <v>20000</v>
      </c>
      <c r="EJ99" s="167">
        <v>20000</v>
      </c>
      <c r="EK99" s="167">
        <v>20000</v>
      </c>
      <c r="EL99" s="167">
        <v>20000</v>
      </c>
      <c r="EM99" s="167">
        <v>20000</v>
      </c>
      <c r="EN99" s="167">
        <v>20000</v>
      </c>
      <c r="EO99" s="167">
        <v>20000</v>
      </c>
      <c r="EP99" t="str">
        <f t="shared" si="1"/>
        <v>4y 2d</v>
      </c>
    </row>
    <row r="100" spans="2:146" x14ac:dyDescent="0.25">
      <c r="B100" s="65">
        <v>97</v>
      </c>
      <c r="D100">
        <v>30344035.748741817</v>
      </c>
      <c r="E100" s="12">
        <v>-21445145861.572136</v>
      </c>
      <c r="F100" s="12">
        <v>145619563876.12595</v>
      </c>
      <c r="G100" s="12">
        <v>0</v>
      </c>
      <c r="H100" s="12">
        <v>152311209.83908367</v>
      </c>
      <c r="I100" s="12">
        <v>290830634830.54956</v>
      </c>
      <c r="J100" s="12">
        <v>-277475446964.51508</v>
      </c>
      <c r="K100" s="12">
        <v>5260164240.8935337</v>
      </c>
      <c r="L100" s="12"/>
      <c r="M100" s="12"/>
      <c r="N100" s="12"/>
      <c r="O100" s="12"/>
      <c r="P100" s="12">
        <v>41888688.598432921</v>
      </c>
      <c r="Q100" s="12">
        <v>-364742912995.2655</v>
      </c>
      <c r="R100" s="12">
        <v>290959731231.39478</v>
      </c>
      <c r="S100" s="12">
        <v>0</v>
      </c>
      <c r="T100" s="12">
        <v>35661449.075734928</v>
      </c>
      <c r="U100" s="12">
        <v>-384130983366.31586</v>
      </c>
      <c r="V100" s="12">
        <v>270081177219.95587</v>
      </c>
      <c r="W100" s="12">
        <v>-823761830.52834034</v>
      </c>
      <c r="X100" s="12"/>
      <c r="Y100" s="12"/>
      <c r="Z100" s="12"/>
      <c r="AA100" s="12"/>
      <c r="AB100" s="12"/>
      <c r="AC100" s="12"/>
      <c r="AD100" s="12"/>
      <c r="AE100" s="12"/>
      <c r="AS100" s="6">
        <v>127579960.43734168</v>
      </c>
      <c r="AT100" s="167">
        <v>20000</v>
      </c>
      <c r="AU100" s="167">
        <v>20000</v>
      </c>
      <c r="AV100" s="167">
        <v>20000</v>
      </c>
      <c r="AW100" s="167">
        <v>20000</v>
      </c>
      <c r="AX100" s="167">
        <v>20000</v>
      </c>
      <c r="AY100" s="167">
        <v>20000</v>
      </c>
      <c r="AZ100" s="167">
        <v>20000</v>
      </c>
      <c r="BA100" s="167">
        <v>20000</v>
      </c>
      <c r="BB100" s="167">
        <v>20000</v>
      </c>
      <c r="BC100" s="167">
        <v>20000</v>
      </c>
      <c r="BD100" s="167">
        <v>20000</v>
      </c>
      <c r="BE100" s="167">
        <v>20000</v>
      </c>
      <c r="BF100" s="167">
        <v>20000</v>
      </c>
      <c r="BG100" s="167">
        <v>17744.021968222904</v>
      </c>
      <c r="BH100" s="167">
        <v>16464.831115500368</v>
      </c>
      <c r="BI100" s="167">
        <v>16039.623024863651</v>
      </c>
      <c r="BJ100" s="167">
        <v>16734.409020354204</v>
      </c>
      <c r="BK100" s="167">
        <v>18373.695231027254</v>
      </c>
      <c r="BL100" s="167">
        <v>20000</v>
      </c>
      <c r="BM100" s="167">
        <v>20000</v>
      </c>
      <c r="BN100" s="167">
        <v>20000</v>
      </c>
      <c r="BO100" s="167">
        <v>20000</v>
      </c>
      <c r="BP100" s="167">
        <v>20000</v>
      </c>
      <c r="BQ100" s="167">
        <v>20000</v>
      </c>
      <c r="BR100" s="167">
        <v>20000</v>
      </c>
      <c r="BS100" s="167">
        <v>20000</v>
      </c>
      <c r="BT100" s="167">
        <v>20000</v>
      </c>
      <c r="BU100" s="167">
        <v>20000</v>
      </c>
      <c r="BV100" s="167">
        <v>20000</v>
      </c>
      <c r="BW100" s="167">
        <v>20000</v>
      </c>
      <c r="BX100" s="167">
        <v>20000</v>
      </c>
      <c r="BY100" s="167">
        <v>20000</v>
      </c>
      <c r="BZ100" s="167">
        <v>20000</v>
      </c>
      <c r="CA100" s="167">
        <v>20000</v>
      </c>
      <c r="CB100" s="167">
        <v>20000</v>
      </c>
      <c r="CC100" s="167">
        <v>20000</v>
      </c>
      <c r="CD100" s="167">
        <v>20000</v>
      </c>
      <c r="CE100" s="167">
        <v>19341.366355962749</v>
      </c>
      <c r="CF100" s="167">
        <v>17895.629888050622</v>
      </c>
      <c r="CG100" s="167">
        <v>17584.706976774924</v>
      </c>
      <c r="CH100" s="167">
        <v>18283.342477916416</v>
      </c>
      <c r="CI100" s="167">
        <v>19827.764233867187</v>
      </c>
      <c r="CJ100" s="167">
        <v>20000</v>
      </c>
      <c r="CK100" s="167">
        <v>20000</v>
      </c>
      <c r="CL100" s="167">
        <v>20000</v>
      </c>
      <c r="CM100" s="167">
        <v>20000</v>
      </c>
      <c r="CN100" s="167">
        <v>20000</v>
      </c>
      <c r="CO100" s="167">
        <v>20000</v>
      </c>
      <c r="CP100" s="167">
        <v>20000</v>
      </c>
      <c r="CQ100" s="167">
        <v>20000</v>
      </c>
      <c r="CR100" s="167">
        <v>20000</v>
      </c>
      <c r="CS100" s="167">
        <v>20000</v>
      </c>
      <c r="CT100" s="167">
        <v>20000</v>
      </c>
      <c r="CU100" s="167">
        <v>20000</v>
      </c>
      <c r="CV100" s="167">
        <v>20000</v>
      </c>
      <c r="CW100" s="167">
        <v>20000</v>
      </c>
      <c r="CX100" s="167">
        <v>20000</v>
      </c>
      <c r="CY100" s="167">
        <v>20000</v>
      </c>
      <c r="CZ100" s="167">
        <v>20000</v>
      </c>
      <c r="DA100" s="167">
        <v>20000</v>
      </c>
      <c r="DB100" s="167">
        <v>20000</v>
      </c>
      <c r="DC100" s="167">
        <v>20000</v>
      </c>
      <c r="DD100" s="167">
        <v>20000</v>
      </c>
      <c r="DE100" s="167">
        <v>20000</v>
      </c>
      <c r="DF100" s="167">
        <v>20000</v>
      </c>
      <c r="DG100" s="167">
        <v>20000</v>
      </c>
      <c r="DH100" s="167">
        <v>20000</v>
      </c>
      <c r="DI100" s="167">
        <v>20000</v>
      </c>
      <c r="DJ100" s="167">
        <v>20000</v>
      </c>
      <c r="DK100" s="167">
        <v>20000</v>
      </c>
      <c r="DL100" s="167">
        <v>20000</v>
      </c>
      <c r="DM100" s="167">
        <v>20000</v>
      </c>
      <c r="DN100" s="167">
        <v>20000</v>
      </c>
      <c r="DO100" s="167">
        <v>20000</v>
      </c>
      <c r="DP100" s="167">
        <v>20000</v>
      </c>
      <c r="DQ100" s="167">
        <v>20000</v>
      </c>
      <c r="DR100" s="167">
        <v>20000</v>
      </c>
      <c r="DS100" s="167">
        <v>20000</v>
      </c>
      <c r="DT100" s="167">
        <v>20000</v>
      </c>
      <c r="DU100" s="167">
        <v>20000</v>
      </c>
      <c r="DV100" s="167">
        <v>20000</v>
      </c>
      <c r="DW100" s="167">
        <v>20000</v>
      </c>
      <c r="DX100" s="167">
        <v>20000</v>
      </c>
      <c r="DY100" s="167">
        <v>20000</v>
      </c>
      <c r="DZ100" s="167">
        <v>20000</v>
      </c>
      <c r="EA100" s="167">
        <v>20000</v>
      </c>
      <c r="EB100" s="167">
        <v>20000</v>
      </c>
      <c r="EC100" s="167">
        <v>20000</v>
      </c>
      <c r="ED100" s="167">
        <v>20000</v>
      </c>
      <c r="EE100" s="167">
        <v>18924.282848571977</v>
      </c>
      <c r="EF100" s="167">
        <v>17736.72115315868</v>
      </c>
      <c r="EG100" s="167">
        <v>17715.283586413039</v>
      </c>
      <c r="EH100" s="167">
        <v>18563.51721682783</v>
      </c>
      <c r="EI100" s="167">
        <v>20000</v>
      </c>
      <c r="EJ100" s="167">
        <v>20000</v>
      </c>
      <c r="EK100" s="167">
        <v>20000</v>
      </c>
      <c r="EL100" s="167">
        <v>20000</v>
      </c>
      <c r="EM100" s="167">
        <v>20000</v>
      </c>
      <c r="EN100" s="167">
        <v>20000</v>
      </c>
      <c r="EO100" s="167">
        <v>20000</v>
      </c>
      <c r="EP100" t="str">
        <f t="shared" si="1"/>
        <v>4y 16d</v>
      </c>
    </row>
    <row r="101" spans="2:146" x14ac:dyDescent="0.25">
      <c r="B101" s="65">
        <v>98</v>
      </c>
      <c r="D101">
        <v>30649574.743324768</v>
      </c>
      <c r="E101" s="12">
        <v>-30538708522.737682</v>
      </c>
      <c r="F101" s="12">
        <v>143949613408.72516</v>
      </c>
      <c r="G101" s="12">
        <v>0</v>
      </c>
      <c r="H101" s="12">
        <v>153648574.65422171</v>
      </c>
      <c r="I101" s="12">
        <v>305480114028.96326</v>
      </c>
      <c r="J101" s="12">
        <v>-256860899061.5647</v>
      </c>
      <c r="K101" s="12">
        <v>3899621372.1028166</v>
      </c>
      <c r="L101" s="12"/>
      <c r="M101" s="12"/>
      <c r="N101" s="12"/>
      <c r="O101" s="12"/>
      <c r="P101" s="12">
        <v>43111079.780123875</v>
      </c>
      <c r="Q101" s="12">
        <v>-374940056105.34625</v>
      </c>
      <c r="R101" s="12">
        <v>280619230697.14508</v>
      </c>
      <c r="S101" s="12">
        <v>0</v>
      </c>
      <c r="T101" s="12">
        <v>36290234.564659476</v>
      </c>
      <c r="U101" s="12">
        <v>-388730055304.09613</v>
      </c>
      <c r="V101" s="12">
        <v>264288990823.49814</v>
      </c>
      <c r="W101" s="12">
        <v>-825332451.91555619</v>
      </c>
      <c r="X101" s="12"/>
      <c r="Y101" s="12"/>
      <c r="Z101" s="12"/>
      <c r="AA101" s="12"/>
      <c r="AB101" s="12"/>
      <c r="AC101" s="12"/>
      <c r="AD101" s="12"/>
      <c r="AE101" s="12"/>
      <c r="AS101" s="6">
        <v>128767622.97938454</v>
      </c>
      <c r="AT101" s="167">
        <v>20000</v>
      </c>
      <c r="AU101" s="167">
        <v>20000</v>
      </c>
      <c r="AV101" s="167">
        <v>20000</v>
      </c>
      <c r="AW101" s="167">
        <v>20000</v>
      </c>
      <c r="AX101" s="167">
        <v>20000</v>
      </c>
      <c r="AY101" s="167">
        <v>20000</v>
      </c>
      <c r="AZ101" s="167">
        <v>20000</v>
      </c>
      <c r="BA101" s="167">
        <v>20000</v>
      </c>
      <c r="BB101" s="167">
        <v>20000</v>
      </c>
      <c r="BC101" s="167">
        <v>20000</v>
      </c>
      <c r="BD101" s="167">
        <v>20000</v>
      </c>
      <c r="BE101" s="167">
        <v>20000</v>
      </c>
      <c r="BF101" s="167">
        <v>20000</v>
      </c>
      <c r="BG101" s="167">
        <v>18037.137492927366</v>
      </c>
      <c r="BH101" s="167">
        <v>16600.399410110174</v>
      </c>
      <c r="BI101" s="167">
        <v>16075.848554665734</v>
      </c>
      <c r="BJ101" s="167">
        <v>16649.646215927183</v>
      </c>
      <c r="BK101" s="167">
        <v>18190.608247691394</v>
      </c>
      <c r="BL101" s="167">
        <v>20000</v>
      </c>
      <c r="BM101" s="167">
        <v>20000</v>
      </c>
      <c r="BN101" s="167">
        <v>20000</v>
      </c>
      <c r="BO101" s="167">
        <v>20000</v>
      </c>
      <c r="BP101" s="167">
        <v>20000</v>
      </c>
      <c r="BQ101" s="167">
        <v>20000</v>
      </c>
      <c r="BR101" s="167">
        <v>20000</v>
      </c>
      <c r="BS101" s="167">
        <v>20000</v>
      </c>
      <c r="BT101" s="167">
        <v>20000</v>
      </c>
      <c r="BU101" s="167">
        <v>20000</v>
      </c>
      <c r="BV101" s="167">
        <v>20000</v>
      </c>
      <c r="BW101" s="167">
        <v>20000</v>
      </c>
      <c r="BX101" s="167">
        <v>20000</v>
      </c>
      <c r="BY101" s="167">
        <v>20000</v>
      </c>
      <c r="BZ101" s="167">
        <v>20000</v>
      </c>
      <c r="CA101" s="167">
        <v>20000</v>
      </c>
      <c r="CB101" s="167">
        <v>20000</v>
      </c>
      <c r="CC101" s="167">
        <v>20000</v>
      </c>
      <c r="CD101" s="167">
        <v>20000</v>
      </c>
      <c r="CE101" s="167">
        <v>20000</v>
      </c>
      <c r="CF101" s="167">
        <v>18345.352855127712</v>
      </c>
      <c r="CG101" s="167">
        <v>17825.676911322334</v>
      </c>
      <c r="CH101" s="167">
        <v>18346.041462417572</v>
      </c>
      <c r="CI101" s="167">
        <v>19745.907907867266</v>
      </c>
      <c r="CJ101" s="167">
        <v>20000</v>
      </c>
      <c r="CK101" s="167">
        <v>20000</v>
      </c>
      <c r="CL101" s="167">
        <v>20000</v>
      </c>
      <c r="CM101" s="167">
        <v>20000</v>
      </c>
      <c r="CN101" s="167">
        <v>20000</v>
      </c>
      <c r="CO101" s="167">
        <v>20000</v>
      </c>
      <c r="CP101" s="167">
        <v>20000</v>
      </c>
      <c r="CQ101" s="167">
        <v>20000</v>
      </c>
      <c r="CR101" s="167">
        <v>20000</v>
      </c>
      <c r="CS101" s="167">
        <v>20000</v>
      </c>
      <c r="CT101" s="167">
        <v>20000</v>
      </c>
      <c r="CU101" s="167">
        <v>20000</v>
      </c>
      <c r="CV101" s="167">
        <v>20000</v>
      </c>
      <c r="CW101" s="167">
        <v>20000</v>
      </c>
      <c r="CX101" s="167">
        <v>20000</v>
      </c>
      <c r="CY101" s="167">
        <v>20000</v>
      </c>
      <c r="CZ101" s="167">
        <v>20000</v>
      </c>
      <c r="DA101" s="167">
        <v>20000</v>
      </c>
      <c r="DB101" s="167">
        <v>20000</v>
      </c>
      <c r="DC101" s="167">
        <v>20000</v>
      </c>
      <c r="DD101" s="167">
        <v>20000</v>
      </c>
      <c r="DE101" s="167">
        <v>20000</v>
      </c>
      <c r="DF101" s="167">
        <v>20000</v>
      </c>
      <c r="DG101" s="167">
        <v>20000</v>
      </c>
      <c r="DH101" s="167">
        <v>20000</v>
      </c>
      <c r="DI101" s="167">
        <v>20000</v>
      </c>
      <c r="DJ101" s="167">
        <v>20000</v>
      </c>
      <c r="DK101" s="167">
        <v>20000</v>
      </c>
      <c r="DL101" s="167">
        <v>20000</v>
      </c>
      <c r="DM101" s="167">
        <v>20000</v>
      </c>
      <c r="DN101" s="167">
        <v>20000</v>
      </c>
      <c r="DO101" s="167">
        <v>20000</v>
      </c>
      <c r="DP101" s="167">
        <v>20000</v>
      </c>
      <c r="DQ101" s="167">
        <v>20000</v>
      </c>
      <c r="DR101" s="167">
        <v>20000</v>
      </c>
      <c r="DS101" s="167">
        <v>20000</v>
      </c>
      <c r="DT101" s="167">
        <v>20000</v>
      </c>
      <c r="DU101" s="167">
        <v>20000</v>
      </c>
      <c r="DV101" s="167">
        <v>20000</v>
      </c>
      <c r="DW101" s="167">
        <v>20000</v>
      </c>
      <c r="DX101" s="167">
        <v>20000</v>
      </c>
      <c r="DY101" s="167">
        <v>20000</v>
      </c>
      <c r="DZ101" s="167">
        <v>20000</v>
      </c>
      <c r="EA101" s="167">
        <v>20000</v>
      </c>
      <c r="EB101" s="167">
        <v>20000</v>
      </c>
      <c r="EC101" s="167">
        <v>20000</v>
      </c>
      <c r="ED101" s="167">
        <v>20000</v>
      </c>
      <c r="EE101" s="167">
        <v>19139.822090271016</v>
      </c>
      <c r="EF101" s="167">
        <v>17804.03601481162</v>
      </c>
      <c r="EG101" s="167">
        <v>17654.716092110546</v>
      </c>
      <c r="EH101" s="167">
        <v>18380.457653154419</v>
      </c>
      <c r="EI101" s="167">
        <v>19940.847377590657</v>
      </c>
      <c r="EJ101" s="167">
        <v>20000</v>
      </c>
      <c r="EK101" s="167">
        <v>20000</v>
      </c>
      <c r="EL101" s="167">
        <v>20000</v>
      </c>
      <c r="EM101" s="167">
        <v>20000</v>
      </c>
      <c r="EN101" s="167">
        <v>20000</v>
      </c>
      <c r="EO101" s="167">
        <v>20000</v>
      </c>
      <c r="EP101" t="str">
        <f t="shared" si="1"/>
        <v>4y 29d</v>
      </c>
    </row>
    <row r="102" spans="2:146" x14ac:dyDescent="0.25">
      <c r="B102" s="65">
        <v>99</v>
      </c>
      <c r="D102">
        <v>30954980.089614052</v>
      </c>
      <c r="E102" s="12">
        <v>-39509731054.9552</v>
      </c>
      <c r="F102" s="12">
        <v>141721522036.36423</v>
      </c>
      <c r="G102" s="12">
        <v>0</v>
      </c>
      <c r="H102" s="12">
        <v>154967386.01493889</v>
      </c>
      <c r="I102" s="12">
        <v>318810707496.10699</v>
      </c>
      <c r="J102" s="12">
        <v>-235594112682.40979</v>
      </c>
      <c r="K102" s="12">
        <v>2543705071.531322</v>
      </c>
      <c r="L102" s="12"/>
      <c r="M102" s="12"/>
      <c r="N102" s="12"/>
      <c r="O102" s="12"/>
      <c r="P102" s="12">
        <v>44341429.540930681</v>
      </c>
      <c r="Q102" s="12">
        <v>-384472916441.05139</v>
      </c>
      <c r="R102" s="12">
        <v>269664562541.23016</v>
      </c>
      <c r="S102" s="12">
        <v>0</v>
      </c>
      <c r="T102" s="12">
        <v>36920167.007716268</v>
      </c>
      <c r="U102" s="12">
        <v>-393140687013.7926</v>
      </c>
      <c r="V102" s="12">
        <v>258352419813.01782</v>
      </c>
      <c r="W102" s="12">
        <v>-826488040.63020825</v>
      </c>
      <c r="X102" s="12"/>
      <c r="Y102" s="12"/>
      <c r="Z102" s="12"/>
      <c r="AA102" s="12"/>
      <c r="AB102" s="12"/>
      <c r="AC102" s="12"/>
      <c r="AD102" s="12"/>
      <c r="AE102" s="12"/>
      <c r="AS102" s="6">
        <v>129955285.52142741</v>
      </c>
      <c r="AT102" s="167">
        <v>20000</v>
      </c>
      <c r="AU102" s="167">
        <v>20000</v>
      </c>
      <c r="AV102" s="167">
        <v>20000</v>
      </c>
      <c r="AW102" s="167">
        <v>20000</v>
      </c>
      <c r="AX102" s="167">
        <v>20000</v>
      </c>
      <c r="AY102" s="167">
        <v>20000</v>
      </c>
      <c r="AZ102" s="167">
        <v>20000</v>
      </c>
      <c r="BA102" s="167">
        <v>20000</v>
      </c>
      <c r="BB102" s="167">
        <v>20000</v>
      </c>
      <c r="BC102" s="167">
        <v>20000</v>
      </c>
      <c r="BD102" s="167">
        <v>20000</v>
      </c>
      <c r="BE102" s="167">
        <v>20000</v>
      </c>
      <c r="BF102" s="167">
        <v>20000</v>
      </c>
      <c r="BG102" s="167">
        <v>18356.182409179346</v>
      </c>
      <c r="BH102" s="167">
        <v>16746.395819153513</v>
      </c>
      <c r="BI102" s="167">
        <v>16130.168282555065</v>
      </c>
      <c r="BJ102" s="167">
        <v>16579.167547390163</v>
      </c>
      <c r="BK102" s="167">
        <v>18017.994296516241</v>
      </c>
      <c r="BL102" s="167">
        <v>20000</v>
      </c>
      <c r="BM102" s="167">
        <v>20000</v>
      </c>
      <c r="BN102" s="167">
        <v>20000</v>
      </c>
      <c r="BO102" s="167">
        <v>20000</v>
      </c>
      <c r="BP102" s="167">
        <v>20000</v>
      </c>
      <c r="BQ102" s="167">
        <v>20000</v>
      </c>
      <c r="BR102" s="167">
        <v>20000</v>
      </c>
      <c r="BS102" s="167">
        <v>20000</v>
      </c>
      <c r="BT102" s="167">
        <v>20000</v>
      </c>
      <c r="BU102" s="167">
        <v>20000</v>
      </c>
      <c r="BV102" s="167">
        <v>20000</v>
      </c>
      <c r="BW102" s="167">
        <v>20000</v>
      </c>
      <c r="BX102" s="167">
        <v>20000</v>
      </c>
      <c r="BY102" s="167">
        <v>20000</v>
      </c>
      <c r="BZ102" s="167">
        <v>20000</v>
      </c>
      <c r="CA102" s="167">
        <v>20000</v>
      </c>
      <c r="CB102" s="167">
        <v>20000</v>
      </c>
      <c r="CC102" s="167">
        <v>20000</v>
      </c>
      <c r="CD102" s="167">
        <v>20000</v>
      </c>
      <c r="CE102" s="167">
        <v>20000</v>
      </c>
      <c r="CF102" s="167">
        <v>18857.499837662326</v>
      </c>
      <c r="CG102" s="167">
        <v>18119.557176458478</v>
      </c>
      <c r="CH102" s="167">
        <v>18450.822889495517</v>
      </c>
      <c r="CI102" s="167">
        <v>19692.732304597936</v>
      </c>
      <c r="CJ102" s="167">
        <v>20000</v>
      </c>
      <c r="CK102" s="167">
        <v>20000</v>
      </c>
      <c r="CL102" s="167">
        <v>20000</v>
      </c>
      <c r="CM102" s="167">
        <v>20000</v>
      </c>
      <c r="CN102" s="167">
        <v>20000</v>
      </c>
      <c r="CO102" s="167">
        <v>20000</v>
      </c>
      <c r="CP102" s="167">
        <v>20000</v>
      </c>
      <c r="CQ102" s="167">
        <v>20000</v>
      </c>
      <c r="CR102" s="167">
        <v>20000</v>
      </c>
      <c r="CS102" s="167">
        <v>20000</v>
      </c>
      <c r="CT102" s="167">
        <v>20000</v>
      </c>
      <c r="CU102" s="167">
        <v>20000</v>
      </c>
      <c r="CV102" s="167">
        <v>20000</v>
      </c>
      <c r="CW102" s="167">
        <v>20000</v>
      </c>
      <c r="CX102" s="167">
        <v>20000</v>
      </c>
      <c r="CY102" s="167">
        <v>20000</v>
      </c>
      <c r="CZ102" s="167">
        <v>20000</v>
      </c>
      <c r="DA102" s="167">
        <v>20000</v>
      </c>
      <c r="DB102" s="167">
        <v>20000</v>
      </c>
      <c r="DC102" s="167">
        <v>20000</v>
      </c>
      <c r="DD102" s="167">
        <v>20000</v>
      </c>
      <c r="DE102" s="167">
        <v>20000</v>
      </c>
      <c r="DF102" s="167">
        <v>20000</v>
      </c>
      <c r="DG102" s="167">
        <v>20000</v>
      </c>
      <c r="DH102" s="167">
        <v>20000</v>
      </c>
      <c r="DI102" s="167">
        <v>20000</v>
      </c>
      <c r="DJ102" s="167">
        <v>20000</v>
      </c>
      <c r="DK102" s="167">
        <v>20000</v>
      </c>
      <c r="DL102" s="167">
        <v>20000</v>
      </c>
      <c r="DM102" s="167">
        <v>20000</v>
      </c>
      <c r="DN102" s="167">
        <v>20000</v>
      </c>
      <c r="DO102" s="167">
        <v>20000</v>
      </c>
      <c r="DP102" s="167">
        <v>20000</v>
      </c>
      <c r="DQ102" s="167">
        <v>20000</v>
      </c>
      <c r="DR102" s="167">
        <v>20000</v>
      </c>
      <c r="DS102" s="167">
        <v>20000</v>
      </c>
      <c r="DT102" s="167">
        <v>20000</v>
      </c>
      <c r="DU102" s="167">
        <v>20000</v>
      </c>
      <c r="DV102" s="167">
        <v>20000</v>
      </c>
      <c r="DW102" s="167">
        <v>20000</v>
      </c>
      <c r="DX102" s="167">
        <v>20000</v>
      </c>
      <c r="DY102" s="167">
        <v>20000</v>
      </c>
      <c r="DZ102" s="167">
        <v>20000</v>
      </c>
      <c r="EA102" s="167">
        <v>20000</v>
      </c>
      <c r="EB102" s="167">
        <v>20000</v>
      </c>
      <c r="EC102" s="167">
        <v>20000</v>
      </c>
      <c r="ED102" s="167">
        <v>20000</v>
      </c>
      <c r="EE102" s="167">
        <v>19374.053956789052</v>
      </c>
      <c r="EF102" s="167">
        <v>17888.860027412946</v>
      </c>
      <c r="EG102" s="167">
        <v>17611.595401214014</v>
      </c>
      <c r="EH102" s="167">
        <v>18195.523374486831</v>
      </c>
      <c r="EI102" s="167">
        <v>19666.240806920548</v>
      </c>
      <c r="EJ102" s="167">
        <v>20000</v>
      </c>
      <c r="EK102" s="167">
        <v>20000</v>
      </c>
      <c r="EL102" s="167">
        <v>20000</v>
      </c>
      <c r="EM102" s="167">
        <v>20000</v>
      </c>
      <c r="EN102" s="167">
        <v>20000</v>
      </c>
      <c r="EO102" s="167">
        <v>20000</v>
      </c>
      <c r="EP102" t="str">
        <f t="shared" si="1"/>
        <v>4y 43d</v>
      </c>
    </row>
    <row r="103" spans="2:146" x14ac:dyDescent="0.25">
      <c r="B103" s="65">
        <v>100</v>
      </c>
      <c r="D103">
        <v>31260290.819398057</v>
      </c>
      <c r="E103" s="12">
        <v>-48324601145.016907</v>
      </c>
      <c r="F103" s="12">
        <v>138943967503.38098</v>
      </c>
      <c r="G103" s="12">
        <v>0</v>
      </c>
      <c r="H103" s="12">
        <v>156268755.69625685</v>
      </c>
      <c r="I103" s="12">
        <v>330808179460.32202</v>
      </c>
      <c r="J103" s="12">
        <v>-213753596660.09589</v>
      </c>
      <c r="K103" s="12">
        <v>1196485365.7834918</v>
      </c>
      <c r="L103" s="12"/>
      <c r="M103" s="12"/>
      <c r="N103" s="12"/>
      <c r="O103" s="12"/>
      <c r="P103" s="12">
        <v>45577347.820082299</v>
      </c>
      <c r="Q103" s="12">
        <v>-393298354959.73981</v>
      </c>
      <c r="R103" s="12">
        <v>258133888374.51178</v>
      </c>
      <c r="S103" s="12">
        <v>0</v>
      </c>
      <c r="T103" s="12">
        <v>37550921.969649494</v>
      </c>
      <c r="U103" s="12">
        <v>-397357911237.40308</v>
      </c>
      <c r="V103" s="12">
        <v>252277215443.22305</v>
      </c>
      <c r="W103" s="12">
        <v>-827226436.70344007</v>
      </c>
      <c r="X103" s="12"/>
      <c r="Y103" s="12"/>
      <c r="Z103" s="12"/>
      <c r="AA103" s="12"/>
      <c r="AB103" s="12"/>
      <c r="AC103" s="12"/>
      <c r="AD103" s="12"/>
      <c r="AE103" s="12"/>
      <c r="AT103" t="str">
        <f xml:space="preserve"> "y" &amp; ROUNDDOWN(AT2/$EX$4, 0)+1 &amp; " d" &amp; ROUND(MOD(AT2, $EX$4-0.0001)/$EX$5, 0)+1</f>
        <v>y20 d1</v>
      </c>
      <c r="AU103" t="str">
        <f t="shared" ref="AU103:DF103" si="2" xml:space="preserve"> "y" &amp; ROUNDDOWN(AU2/$EX$4, 0)+1 &amp; " d" &amp; ROUND(MOD(AU2, $EX$4-0.0001)/$EX$5, 0)+1</f>
        <v>y20 d19</v>
      </c>
      <c r="AV103" t="str">
        <f t="shared" si="2"/>
        <v>y20 d38</v>
      </c>
      <c r="AW103" t="str">
        <f t="shared" si="2"/>
        <v>y20 d56</v>
      </c>
      <c r="AX103" t="str">
        <f t="shared" si="2"/>
        <v>y20 d75</v>
      </c>
      <c r="AY103" t="str">
        <f t="shared" si="2"/>
        <v>y20 d93</v>
      </c>
      <c r="AZ103" t="str">
        <f t="shared" si="2"/>
        <v>y20 d112</v>
      </c>
      <c r="BA103" t="str">
        <f t="shared" si="2"/>
        <v>y20 d130</v>
      </c>
      <c r="BB103" t="str">
        <f t="shared" si="2"/>
        <v>y20 d149</v>
      </c>
      <c r="BC103" t="str">
        <f t="shared" si="2"/>
        <v>y20 d167</v>
      </c>
      <c r="BD103" t="str">
        <f t="shared" si="2"/>
        <v>y20 d185</v>
      </c>
      <c r="BE103" t="str">
        <f t="shared" si="2"/>
        <v>y20 d204</v>
      </c>
      <c r="BF103" t="str">
        <f t="shared" si="2"/>
        <v>y20 d222</v>
      </c>
      <c r="BG103" t="str">
        <f t="shared" si="2"/>
        <v>y20 d241</v>
      </c>
      <c r="BH103" t="str">
        <f t="shared" si="2"/>
        <v>y20 d259</v>
      </c>
      <c r="BI103" t="str">
        <f t="shared" si="2"/>
        <v>y20 d278</v>
      </c>
      <c r="BJ103" t="str">
        <f t="shared" si="2"/>
        <v>y20 d296</v>
      </c>
      <c r="BK103" t="str">
        <f t="shared" si="2"/>
        <v>y20 d315</v>
      </c>
      <c r="BL103" t="str">
        <f t="shared" si="2"/>
        <v>y20 d333</v>
      </c>
      <c r="BM103" t="str">
        <f t="shared" si="2"/>
        <v>y20 d351</v>
      </c>
      <c r="BN103" t="str">
        <f t="shared" si="2"/>
        <v>y21 d5</v>
      </c>
      <c r="BO103" t="str">
        <f t="shared" si="2"/>
        <v>y21 d23</v>
      </c>
      <c r="BP103" t="str">
        <f t="shared" si="2"/>
        <v>y21 d42</v>
      </c>
      <c r="BQ103" t="str">
        <f t="shared" si="2"/>
        <v>y21 d60</v>
      </c>
      <c r="BR103" t="str">
        <f t="shared" si="2"/>
        <v>y21 d78</v>
      </c>
      <c r="BS103" t="str">
        <f t="shared" si="2"/>
        <v>y21 d97</v>
      </c>
      <c r="BT103" t="str">
        <f t="shared" si="2"/>
        <v>y21 d115</v>
      </c>
      <c r="BU103" t="str">
        <f t="shared" si="2"/>
        <v>y21 d134</v>
      </c>
      <c r="BV103" t="str">
        <f t="shared" si="2"/>
        <v>y21 d152</v>
      </c>
      <c r="BW103" t="str">
        <f t="shared" si="2"/>
        <v>y21 d171</v>
      </c>
      <c r="BX103" t="str">
        <f t="shared" si="2"/>
        <v>y21 d189</v>
      </c>
      <c r="BY103" t="str">
        <f t="shared" si="2"/>
        <v>y21 d208</v>
      </c>
      <c r="BZ103" t="str">
        <f t="shared" si="2"/>
        <v>y21 d226</v>
      </c>
      <c r="CA103" t="str">
        <f t="shared" si="2"/>
        <v>y21 d245</v>
      </c>
      <c r="CB103" t="str">
        <f t="shared" si="2"/>
        <v>y21 d263</v>
      </c>
      <c r="CC103" t="str">
        <f t="shared" si="2"/>
        <v>y21 d281</v>
      </c>
      <c r="CD103" t="str">
        <f t="shared" si="2"/>
        <v>y21 d300</v>
      </c>
      <c r="CE103" t="str">
        <f t="shared" si="2"/>
        <v>y21 d318</v>
      </c>
      <c r="CF103" t="str">
        <f t="shared" si="2"/>
        <v>y21 d337</v>
      </c>
      <c r="CG103" t="str">
        <f t="shared" si="2"/>
        <v>y21 d355</v>
      </c>
      <c r="CH103" t="str">
        <f t="shared" si="2"/>
        <v>y22 d8</v>
      </c>
      <c r="CI103" t="str">
        <f t="shared" si="2"/>
        <v>y22 d27</v>
      </c>
      <c r="CJ103" t="str">
        <f t="shared" si="2"/>
        <v>y22 d45</v>
      </c>
      <c r="CK103" t="str">
        <f t="shared" si="2"/>
        <v>y22 d64</v>
      </c>
      <c r="CL103" t="str">
        <f t="shared" si="2"/>
        <v>y22 d82</v>
      </c>
      <c r="CM103" t="str">
        <f t="shared" si="2"/>
        <v>y22 d101</v>
      </c>
      <c r="CN103" t="str">
        <f t="shared" si="2"/>
        <v>y22 d119</v>
      </c>
      <c r="CO103" t="str">
        <f t="shared" si="2"/>
        <v>y22 d138</v>
      </c>
      <c r="CP103" t="str">
        <f t="shared" si="2"/>
        <v>y22 d156</v>
      </c>
      <c r="CQ103" t="str">
        <f t="shared" si="2"/>
        <v>y22 d174</v>
      </c>
      <c r="CR103" t="str">
        <f t="shared" si="2"/>
        <v>y22 d193</v>
      </c>
      <c r="CS103" t="str">
        <f t="shared" si="2"/>
        <v>y22 d211</v>
      </c>
      <c r="CT103" t="str">
        <f t="shared" si="2"/>
        <v>y22 d230</v>
      </c>
      <c r="CU103" t="str">
        <f t="shared" si="2"/>
        <v>y22 d248</v>
      </c>
      <c r="CV103" t="str">
        <f t="shared" si="2"/>
        <v>y22 d267</v>
      </c>
      <c r="CW103" t="str">
        <f t="shared" si="2"/>
        <v>y22 d285</v>
      </c>
      <c r="CX103" t="str">
        <f t="shared" si="2"/>
        <v>y22 d304</v>
      </c>
      <c r="CY103" t="str">
        <f t="shared" si="2"/>
        <v>y22 d322</v>
      </c>
      <c r="CZ103" t="str">
        <f t="shared" si="2"/>
        <v>y22 d340</v>
      </c>
      <c r="DA103" t="str">
        <f t="shared" si="2"/>
        <v>y22 d359</v>
      </c>
      <c r="DB103" t="str">
        <f t="shared" si="2"/>
        <v>y23 d12</v>
      </c>
      <c r="DC103" t="str">
        <f t="shared" si="2"/>
        <v>y23 d31</v>
      </c>
      <c r="DD103" t="str">
        <f t="shared" si="2"/>
        <v>y23 d49</v>
      </c>
      <c r="DE103" t="str">
        <f t="shared" si="2"/>
        <v>y23 d67</v>
      </c>
      <c r="DF103" t="str">
        <f t="shared" si="2"/>
        <v>y23 d86</v>
      </c>
      <c r="DG103" t="str">
        <f t="shared" ref="DG103:EO103" si="3" xml:space="preserve"> "y" &amp; ROUNDDOWN(DG2/$EX$4, 0)+1 &amp; " d" &amp; ROUND(MOD(DG2, $EX$4-0.0001)/$EX$5, 0)+1</f>
        <v>y23 d104</v>
      </c>
      <c r="DH103" t="str">
        <f t="shared" si="3"/>
        <v>y23 d123</v>
      </c>
      <c r="DI103" t="str">
        <f t="shared" si="3"/>
        <v>y23 d141</v>
      </c>
      <c r="DJ103" t="str">
        <f t="shared" si="3"/>
        <v>y23 d160</v>
      </c>
      <c r="DK103" t="str">
        <f t="shared" si="3"/>
        <v>y23 d178</v>
      </c>
      <c r="DL103" t="str">
        <f t="shared" si="3"/>
        <v>y23 d197</v>
      </c>
      <c r="DM103" t="str">
        <f t="shared" si="3"/>
        <v>y23 d215</v>
      </c>
      <c r="DN103" t="str">
        <f t="shared" si="3"/>
        <v>y23 d233</v>
      </c>
      <c r="DO103" t="str">
        <f t="shared" si="3"/>
        <v>y23 d252</v>
      </c>
      <c r="DP103" t="str">
        <f t="shared" si="3"/>
        <v>y23 d270</v>
      </c>
      <c r="DQ103" t="str">
        <f t="shared" si="3"/>
        <v>y23 d289</v>
      </c>
      <c r="DR103" t="str">
        <f t="shared" si="3"/>
        <v>y23 d307</v>
      </c>
      <c r="DS103" t="str">
        <f t="shared" si="3"/>
        <v>y23 d326</v>
      </c>
      <c r="DT103" t="str">
        <f t="shared" si="3"/>
        <v>y23 d344</v>
      </c>
      <c r="DU103" t="str">
        <f t="shared" si="3"/>
        <v>y23 d363</v>
      </c>
      <c r="DV103" t="str">
        <f t="shared" si="3"/>
        <v>y24 d16</v>
      </c>
      <c r="DW103" t="str">
        <f t="shared" si="3"/>
        <v>y24 d34</v>
      </c>
      <c r="DX103" t="str">
        <f t="shared" si="3"/>
        <v>y24 d53</v>
      </c>
      <c r="DY103" t="str">
        <f t="shared" si="3"/>
        <v>y24 d71</v>
      </c>
      <c r="DZ103" t="str">
        <f t="shared" si="3"/>
        <v>y24 d90</v>
      </c>
      <c r="EA103" t="str">
        <f t="shared" si="3"/>
        <v>y24 d108</v>
      </c>
      <c r="EB103" t="str">
        <f t="shared" si="3"/>
        <v>y24 d126</v>
      </c>
      <c r="EC103" t="str">
        <f t="shared" si="3"/>
        <v>y24 d145</v>
      </c>
      <c r="ED103" t="str">
        <f t="shared" si="3"/>
        <v>y24 d163</v>
      </c>
      <c r="EE103" t="str">
        <f t="shared" si="3"/>
        <v>y24 d182</v>
      </c>
      <c r="EF103" t="str">
        <f t="shared" si="3"/>
        <v>y24 d200</v>
      </c>
      <c r="EG103" t="str">
        <f t="shared" si="3"/>
        <v>y24 d219</v>
      </c>
      <c r="EH103" t="str">
        <f t="shared" si="3"/>
        <v>y24 d237</v>
      </c>
      <c r="EI103" t="str">
        <f t="shared" si="3"/>
        <v>y24 d256</v>
      </c>
      <c r="EJ103" t="str">
        <f t="shared" si="3"/>
        <v>y24 d274</v>
      </c>
      <c r="EK103" t="str">
        <f t="shared" si="3"/>
        <v>y24 d292</v>
      </c>
      <c r="EL103" t="str">
        <f t="shared" si="3"/>
        <v>y24 d311</v>
      </c>
      <c r="EM103" t="str">
        <f t="shared" si="3"/>
        <v>y24 d329</v>
      </c>
      <c r="EN103" t="str">
        <f t="shared" si="3"/>
        <v>y24 d348</v>
      </c>
      <c r="EO103" t="str">
        <f t="shared" si="3"/>
        <v>y25 d1</v>
      </c>
    </row>
    <row r="104" spans="2:146" x14ac:dyDescent="0.25">
      <c r="D104">
        <v>31565546.283348706</v>
      </c>
      <c r="E104" s="14">
        <v>-56950294258.087761</v>
      </c>
      <c r="F104" s="14">
        <v>135627576026.20419</v>
      </c>
      <c r="G104" s="14">
        <v>0</v>
      </c>
      <c r="H104" s="14">
        <v>157553808.95061821</v>
      </c>
      <c r="I104" s="14">
        <v>341462198007.20416</v>
      </c>
      <c r="J104" s="14">
        <v>-191415919584.72308</v>
      </c>
      <c r="K104" s="14">
        <v>-138163310.58274671</v>
      </c>
      <c r="P104" s="14">
        <v>46816389.763500154</v>
      </c>
      <c r="Q104" s="14">
        <v>-401377720717.01642</v>
      </c>
      <c r="R104" s="14">
        <v>246069768264.0513</v>
      </c>
      <c r="S104" s="14">
        <v>0</v>
      </c>
      <c r="T104" s="14">
        <v>38182172.896259248</v>
      </c>
      <c r="U104" s="14">
        <v>-401377095585.35663</v>
      </c>
      <c r="V104" s="14">
        <v>246069396251.89011</v>
      </c>
      <c r="W104" s="14">
        <v>-827546227.53543866</v>
      </c>
    </row>
  </sheetData>
  <sheetProtection selectLockedCells="1"/>
  <mergeCells count="33">
    <mergeCell ref="Y2:AA2"/>
    <mergeCell ref="AC2:AE2"/>
    <mergeCell ref="AG2:AI2"/>
    <mergeCell ref="E2:G2"/>
    <mergeCell ref="I2:K2"/>
    <mergeCell ref="M2:O2"/>
    <mergeCell ref="Q2:S2"/>
    <mergeCell ref="U2:W2"/>
    <mergeCell ref="AG28:AI28"/>
    <mergeCell ref="AJ28:AL28"/>
    <mergeCell ref="ES28:EU30"/>
    <mergeCell ref="EV28:EX30"/>
    <mergeCell ref="AT1:CK1"/>
    <mergeCell ref="ES3:EX3"/>
    <mergeCell ref="AG7:AI7"/>
    <mergeCell ref="AG12:AI12"/>
    <mergeCell ref="AG17:AI17"/>
    <mergeCell ref="AG26:AL26"/>
    <mergeCell ref="ES31:EU33"/>
    <mergeCell ref="EV31:EX33"/>
    <mergeCell ref="AG32:AI32"/>
    <mergeCell ref="AJ32:AL32"/>
    <mergeCell ref="ES34:EX36"/>
    <mergeCell ref="AG36:AI36"/>
    <mergeCell ref="AJ36:AL36"/>
    <mergeCell ref="ES37:EU39"/>
    <mergeCell ref="EV37:EX39"/>
    <mergeCell ref="AG40:AI40"/>
    <mergeCell ref="ES41:EX56"/>
    <mergeCell ref="AG44:AI44"/>
    <mergeCell ref="AG48:AI48"/>
    <mergeCell ref="AG52:AI52"/>
    <mergeCell ref="AG56:AI56"/>
  </mergeCells>
  <conditionalFormatting sqref="AT3:EO102">
    <cfRule type="cellIs" dxfId="1" priority="1" operator="between">
      <formula>$ES$37</formula>
      <formula>$EV$37</formula>
    </cfRule>
    <cfRule type="colorScale" priority="2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PLWReal">
                <anchor moveWithCells="1" sizeWithCells="1">
                  <from>
                    <xdr:col>147</xdr:col>
                    <xdr:colOff>542925</xdr:colOff>
                    <xdr:row>12</xdr:row>
                    <xdr:rowOff>95250</xdr:rowOff>
                  </from>
                  <to>
                    <xdr:col>154</xdr:col>
                    <xdr:colOff>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1748C-F64C-4CAF-9197-4E3D55503FA7}">
  <sheetPr codeName="Sheet6"/>
  <dimension ref="A1:O23"/>
  <sheetViews>
    <sheetView workbookViewId="0">
      <selection activeCell="B14" sqref="B14"/>
    </sheetView>
  </sheetViews>
  <sheetFormatPr defaultRowHeight="15" x14ac:dyDescent="0.25"/>
  <cols>
    <col min="1" max="11" width="9.42578125" customWidth="1"/>
    <col min="18" max="18" width="23.7109375" customWidth="1"/>
  </cols>
  <sheetData>
    <row r="1" spans="1:15" ht="15.75" thickBot="1" x14ac:dyDescent="0.3"/>
    <row r="2" spans="1:15" ht="18.75" thickBot="1" x14ac:dyDescent="0.4">
      <c r="A2" s="89" t="s">
        <v>122</v>
      </c>
      <c r="B2" s="90" t="s">
        <v>123</v>
      </c>
      <c r="C2" s="91" t="s">
        <v>25</v>
      </c>
      <c r="D2" s="90" t="s">
        <v>19</v>
      </c>
      <c r="E2" s="90" t="s">
        <v>18</v>
      </c>
      <c r="F2" s="90" t="s">
        <v>20</v>
      </c>
      <c r="G2" s="91" t="s">
        <v>73</v>
      </c>
      <c r="H2" s="91" t="s">
        <v>72</v>
      </c>
      <c r="I2" s="91" t="s">
        <v>74</v>
      </c>
      <c r="J2" s="91" t="s">
        <v>85</v>
      </c>
      <c r="K2" s="92" t="s">
        <v>86</v>
      </c>
    </row>
    <row r="3" spans="1:15" ht="15.75" thickBot="1" x14ac:dyDescent="0.3">
      <c r="A3" s="85"/>
      <c r="B3" s="86" t="s">
        <v>76</v>
      </c>
      <c r="C3" s="87">
        <f>332900*C6</f>
        <v>1.3265104625678429E+20</v>
      </c>
      <c r="D3" s="98"/>
      <c r="E3" s="98"/>
      <c r="F3" s="98"/>
      <c r="G3" s="98"/>
      <c r="H3" s="98"/>
      <c r="I3" s="98"/>
      <c r="J3" s="86"/>
      <c r="K3" s="88"/>
      <c r="N3" s="307" t="s">
        <v>124</v>
      </c>
      <c r="O3" s="308"/>
    </row>
    <row r="4" spans="1:15" x14ac:dyDescent="0.25">
      <c r="A4" s="4">
        <v>1</v>
      </c>
      <c r="B4" s="73" t="s">
        <v>77</v>
      </c>
      <c r="C4" s="74">
        <f>3.3011E+23*C23</f>
        <v>22024642101000</v>
      </c>
      <c r="D4" s="74">
        <v>57909050000</v>
      </c>
      <c r="E4" s="76">
        <v>0.20563000000000001</v>
      </c>
      <c r="F4" s="76">
        <f>7.005*PI()/180</f>
        <v>0.12226031410220278</v>
      </c>
      <c r="G4" s="76">
        <f>29.124*PI()/180</f>
        <v>0.50830969135082849</v>
      </c>
      <c r="H4" s="76">
        <f>48.331*PI()/180</f>
        <v>0.8435350807813794</v>
      </c>
      <c r="I4" s="77">
        <f>174.796*PI()/180</f>
        <v>3.0507657193160083</v>
      </c>
      <c r="J4" s="74">
        <f>D4*SQRT(2*C4/$C$3)</f>
        <v>33370332.06361606</v>
      </c>
      <c r="K4" s="78">
        <v>2439700</v>
      </c>
      <c r="N4" s="93" t="s">
        <v>223</v>
      </c>
      <c r="O4" s="94">
        <v>10</v>
      </c>
    </row>
    <row r="5" spans="1:15" x14ac:dyDescent="0.25">
      <c r="A5" s="4">
        <v>2</v>
      </c>
      <c r="B5" s="73" t="s">
        <v>78</v>
      </c>
      <c r="C5" s="74">
        <f>4.8675E+24*C23</f>
        <v>324755219250000</v>
      </c>
      <c r="D5" s="74">
        <v>108208000000</v>
      </c>
      <c r="E5" s="76">
        <v>6.7720000000000002E-3</v>
      </c>
      <c r="F5" s="76">
        <f>3.39458*PI()/180</f>
        <v>5.9246597722349109E-2</v>
      </c>
      <c r="G5" s="76">
        <f>54.884*PI()/180</f>
        <v>0.95790650666456778</v>
      </c>
      <c r="H5" s="76">
        <f>76.68*PI()/180</f>
        <v>1.3383184704292519</v>
      </c>
      <c r="I5" s="77">
        <f>50.115*PI()/180</f>
        <v>0.87467175463695823</v>
      </c>
      <c r="J5" s="74">
        <f t="shared" ref="J5:J12" si="0">D5*SQRT(2*C5/$C$3)</f>
        <v>239440217.20212469</v>
      </c>
      <c r="K5" s="78">
        <v>6051800</v>
      </c>
      <c r="N5" s="2" t="s">
        <v>79</v>
      </c>
      <c r="O5" s="5">
        <v>3</v>
      </c>
    </row>
    <row r="6" spans="1:15" x14ac:dyDescent="0.25">
      <c r="A6" s="4">
        <v>3</v>
      </c>
      <c r="B6" s="73" t="s">
        <v>79</v>
      </c>
      <c r="C6" s="74">
        <f>5.97237E+24*C23</f>
        <v>398471151267000</v>
      </c>
      <c r="D6" s="74">
        <v>149598023000</v>
      </c>
      <c r="E6" s="76">
        <v>1.6708600000000001E-2</v>
      </c>
      <c r="F6" s="76">
        <v>0</v>
      </c>
      <c r="G6" s="76">
        <f>114.20783*PI()/180</f>
        <v>1.9933026650579555</v>
      </c>
      <c r="H6" s="76">
        <v>0</v>
      </c>
      <c r="I6" s="77">
        <f>358.617*PI()/180</f>
        <v>6.2590474036245052</v>
      </c>
      <c r="J6" s="74">
        <f t="shared" si="0"/>
        <v>366677240.59648705</v>
      </c>
      <c r="K6" s="78">
        <v>6371000</v>
      </c>
      <c r="N6" s="2" t="s">
        <v>81</v>
      </c>
      <c r="O6" s="5">
        <v>5</v>
      </c>
    </row>
    <row r="7" spans="1:15" x14ac:dyDescent="0.25">
      <c r="A7" s="4">
        <v>4</v>
      </c>
      <c r="B7" s="73" t="s">
        <v>80</v>
      </c>
      <c r="C7" s="74">
        <f>6.4171E+23*C23</f>
        <v>42814313661000</v>
      </c>
      <c r="D7" s="74">
        <v>227939200000</v>
      </c>
      <c r="E7" s="76">
        <v>9.3399999999999997E-2</v>
      </c>
      <c r="F7" s="76">
        <f>PI()/180*1.85</f>
        <v>3.22885911618951E-2</v>
      </c>
      <c r="G7" s="76">
        <f>PI()/180*286.502</f>
        <v>5.0004032135487941</v>
      </c>
      <c r="H7" s="76">
        <f>PI()/180*49.558</f>
        <v>0.86495027070334984</v>
      </c>
      <c r="I7" s="77">
        <f>PI()/180*320.45776</f>
        <v>5.5930430255657839</v>
      </c>
      <c r="J7" s="74">
        <f t="shared" si="0"/>
        <v>183135766.65439263</v>
      </c>
      <c r="K7" s="78">
        <v>3389500</v>
      </c>
      <c r="N7" s="2" t="s">
        <v>80</v>
      </c>
      <c r="O7" s="5">
        <v>4</v>
      </c>
    </row>
    <row r="8" spans="1:15" x14ac:dyDescent="0.25">
      <c r="A8" s="4">
        <v>5</v>
      </c>
      <c r="B8" s="73" t="s">
        <v>81</v>
      </c>
      <c r="C8" s="74">
        <f>1.8982E+27*C23</f>
        <v>1.2664619562000002E+17</v>
      </c>
      <c r="D8" s="74">
        <v>778570000000</v>
      </c>
      <c r="E8" s="76">
        <v>4.8899999999999999E-2</v>
      </c>
      <c r="F8" s="76">
        <f>PI()/180*1.303</f>
        <v>2.2741640153486113E-2</v>
      </c>
      <c r="G8" s="76">
        <f>PI()/180*273.867</f>
        <v>4.7798808625593106</v>
      </c>
      <c r="H8" s="76">
        <f>PI()/180*100.464</f>
        <v>1.7534275797235832</v>
      </c>
      <c r="I8" s="77">
        <f>PI()/180*20.02</f>
        <v>0.3494149162492648</v>
      </c>
      <c r="J8" s="74">
        <f t="shared" si="0"/>
        <v>34021495291.503708</v>
      </c>
      <c r="K8" s="78">
        <v>69911000</v>
      </c>
      <c r="N8" s="2" t="s">
        <v>77</v>
      </c>
      <c r="O8" s="5">
        <v>1</v>
      </c>
    </row>
    <row r="9" spans="1:15" x14ac:dyDescent="0.25">
      <c r="A9" s="4">
        <v>6</v>
      </c>
      <c r="B9" s="73" t="s">
        <v>87</v>
      </c>
      <c r="C9" s="74">
        <f>5.6834E+26*C23</f>
        <v>3.7919133294E+16</v>
      </c>
      <c r="D9" s="74">
        <v>1433530000000</v>
      </c>
      <c r="E9" s="76">
        <v>5.6500000000000002E-2</v>
      </c>
      <c r="F9" s="76">
        <f>PI()/180*2.485</f>
        <v>4.337143191205909E-2</v>
      </c>
      <c r="G9" s="76">
        <f>PI()/180*339.392</f>
        <v>5.9235078549285944</v>
      </c>
      <c r="H9" s="76">
        <f>PI()/180*113.665</f>
        <v>1.9838284942793547</v>
      </c>
      <c r="I9" s="77">
        <f>PI()/180*317.02</f>
        <v>5.533042794672423</v>
      </c>
      <c r="J9" s="74">
        <f t="shared" si="0"/>
        <v>34276434945.05685</v>
      </c>
      <c r="K9" s="78">
        <v>58232000</v>
      </c>
      <c r="N9" s="2" t="s">
        <v>82</v>
      </c>
      <c r="O9" s="5">
        <v>8</v>
      </c>
    </row>
    <row r="10" spans="1:15" x14ac:dyDescent="0.25">
      <c r="A10" s="4">
        <v>7</v>
      </c>
      <c r="B10" s="73" t="s">
        <v>83</v>
      </c>
      <c r="C10" s="74">
        <f>8.681E+25*C23</f>
        <v>5791885071000000</v>
      </c>
      <c r="D10" s="74">
        <v>2875040000000</v>
      </c>
      <c r="E10" s="76">
        <v>4.6381E-3</v>
      </c>
      <c r="F10" s="76">
        <f>PI()/180*0.773</f>
        <v>1.3491395117916168E-2</v>
      </c>
      <c r="G10" s="76">
        <f>PI()/180*96.998857</f>
        <v>1.6929494253211494</v>
      </c>
      <c r="H10" s="76">
        <f>PI()/180*74.006</f>
        <v>1.2916483662309235</v>
      </c>
      <c r="I10" s="77">
        <f>PI()/180*142.2386</f>
        <v>2.4825318934272063</v>
      </c>
      <c r="J10" s="74">
        <f t="shared" si="0"/>
        <v>26866649962.542435</v>
      </c>
      <c r="K10" s="78">
        <v>25362000</v>
      </c>
      <c r="N10" s="2" t="s">
        <v>84</v>
      </c>
      <c r="O10" s="5">
        <v>9</v>
      </c>
    </row>
    <row r="11" spans="1:15" x14ac:dyDescent="0.25">
      <c r="A11" s="4">
        <v>8</v>
      </c>
      <c r="B11" s="73" t="s">
        <v>82</v>
      </c>
      <c r="C11" s="74">
        <f>1.0243E+26*C23</f>
        <v>6834037413000001</v>
      </c>
      <c r="D11" s="74">
        <v>4500000000000</v>
      </c>
      <c r="E11" s="76">
        <v>9.4560000000000009E-3</v>
      </c>
      <c r="F11" s="76">
        <f>PI()/180*1.767975</f>
        <v>3.0856984842946748E-2</v>
      </c>
      <c r="G11" s="76">
        <f>PI()/180*276.336</f>
        <v>4.8229730417910508</v>
      </c>
      <c r="H11" s="76">
        <f>PI()/180*131.784</f>
        <v>2.300064701448207</v>
      </c>
      <c r="I11" s="77">
        <f>PI()/180*256.228</f>
        <v>4.472022235800031</v>
      </c>
      <c r="J11" s="74">
        <f t="shared" si="0"/>
        <v>45678396265.365936</v>
      </c>
      <c r="K11" s="78">
        <v>24622000</v>
      </c>
      <c r="N11" s="2" t="s">
        <v>87</v>
      </c>
      <c r="O11" s="5">
        <v>6</v>
      </c>
    </row>
    <row r="12" spans="1:15" x14ac:dyDescent="0.25">
      <c r="A12" s="4">
        <v>9</v>
      </c>
      <c r="B12" s="73" t="s">
        <v>84</v>
      </c>
      <c r="C12" s="74">
        <f>1.303E+22*C23</f>
        <v>869349873000</v>
      </c>
      <c r="D12" s="74">
        <v>5906380000000</v>
      </c>
      <c r="E12" s="76">
        <v>0.24879999999999999</v>
      </c>
      <c r="F12" s="76">
        <f>PI()/180*17.16</f>
        <v>0.29949849964222697</v>
      </c>
      <c r="G12" s="76">
        <f>PI()/180*113.834</f>
        <v>1.9867781007152252</v>
      </c>
      <c r="H12" s="76">
        <f>PI()/180*110.299</f>
        <v>1.9250807116572257</v>
      </c>
      <c r="I12" s="77">
        <f>PI()/180*15.53</f>
        <v>0.27104963283471939</v>
      </c>
      <c r="J12" s="74">
        <f t="shared" si="0"/>
        <v>676204941.74863362</v>
      </c>
      <c r="K12" s="78">
        <v>1188300</v>
      </c>
      <c r="N12" s="2" t="s">
        <v>83</v>
      </c>
      <c r="O12" s="5">
        <v>7</v>
      </c>
    </row>
    <row r="13" spans="1:15" ht="15.75" thickBot="1" x14ac:dyDescent="0.3">
      <c r="A13" s="79">
        <v>10</v>
      </c>
      <c r="B13" s="80" t="s">
        <v>223</v>
      </c>
      <c r="C13" s="81">
        <f>24100000000000000000*C23</f>
        <v>1607930310</v>
      </c>
      <c r="D13" s="81">
        <v>436921000000</v>
      </c>
      <c r="E13" s="82">
        <v>0.14000000000000001</v>
      </c>
      <c r="F13" s="82">
        <f>PI()/180*3.095</f>
        <v>5.4017940349224504E-2</v>
      </c>
      <c r="G13" s="82">
        <f>PI()/180*228.047</f>
        <v>3.9801709992955088</v>
      </c>
      <c r="H13" s="82">
        <f>PI()/180*150.352</f>
        <v>2.6241374369585144</v>
      </c>
      <c r="I13" s="83">
        <f>PI()/180*323.379</f>
        <v>5.6440282818067429</v>
      </c>
      <c r="J13" s="81">
        <f>D13*SQRT(2*C13/$C$3)</f>
        <v>2151276.2758476636</v>
      </c>
      <c r="K13" s="84">
        <v>111000</v>
      </c>
      <c r="N13" s="3" t="s">
        <v>78</v>
      </c>
      <c r="O13" s="220">
        <v>2</v>
      </c>
    </row>
    <row r="20" spans="2:6" x14ac:dyDescent="0.25">
      <c r="F20" s="1"/>
    </row>
    <row r="23" spans="2:6" x14ac:dyDescent="0.25">
      <c r="B23" t="s">
        <v>17</v>
      </c>
      <c r="C23" s="1">
        <v>6.6719100000000001E-11</v>
      </c>
    </row>
  </sheetData>
  <sortState xmlns:xlrd2="http://schemas.microsoft.com/office/spreadsheetml/2017/richdata2" ref="N4:O12">
    <sortCondition ref="N4"/>
  </sortState>
  <mergeCells count="1">
    <mergeCell ref="N3:O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38A5E-1BBE-4F98-A79E-0E979EB93BD2}">
  <sheetPr codeName="Sheet12">
    <tabColor rgb="FF0000FF"/>
  </sheetPr>
  <dimension ref="A1:Z37"/>
  <sheetViews>
    <sheetView showGridLines="0" zoomScale="85" zoomScaleNormal="85" workbookViewId="0">
      <selection activeCell="L8" sqref="L8"/>
    </sheetView>
  </sheetViews>
  <sheetFormatPr defaultRowHeight="15" x14ac:dyDescent="0.25"/>
  <cols>
    <col min="1" max="1" width="1" style="101" customWidth="1"/>
    <col min="2" max="6" width="9.85546875" style="101" customWidth="1"/>
    <col min="7" max="7" width="3.140625" style="101" customWidth="1"/>
    <col min="8" max="12" width="9.85546875" style="101" customWidth="1"/>
    <col min="13" max="59" width="9.140625" style="101"/>
    <col min="60" max="60" width="9.140625" style="101" customWidth="1"/>
    <col min="61" max="106" width="9.140625" style="101"/>
    <col min="107" max="107" width="9.140625" style="101" customWidth="1"/>
    <col min="108" max="16384" width="9.140625" style="101"/>
  </cols>
  <sheetData>
    <row r="1" spans="1:12" x14ac:dyDescent="0.25">
      <c r="B1" s="262" t="s">
        <v>99</v>
      </c>
      <c r="C1" s="263"/>
      <c r="D1" s="263"/>
      <c r="E1" s="263"/>
      <c r="F1" s="264"/>
      <c r="H1" s="262" t="s">
        <v>110</v>
      </c>
      <c r="I1" s="263"/>
      <c r="J1" s="263"/>
      <c r="K1" s="263"/>
      <c r="L1" s="264"/>
    </row>
    <row r="2" spans="1:12" x14ac:dyDescent="0.25">
      <c r="A2" s="102">
        <f>VLOOKUP(D2,KData!$N$3:$O$19,2)</f>
        <v>3</v>
      </c>
      <c r="B2" s="320" t="s">
        <v>21</v>
      </c>
      <c r="C2" s="321"/>
      <c r="D2" s="138" t="s">
        <v>4</v>
      </c>
      <c r="E2" s="103"/>
      <c r="F2" s="104"/>
      <c r="H2" s="267" t="s">
        <v>107</v>
      </c>
      <c r="I2" s="268"/>
      <c r="J2" s="105">
        <v>1698.8259559375429</v>
      </c>
      <c r="K2" s="106"/>
      <c r="L2" s="107"/>
    </row>
    <row r="3" spans="1:12" x14ac:dyDescent="0.25">
      <c r="A3" s="108"/>
      <c r="B3" s="318" t="s">
        <v>41</v>
      </c>
      <c r="C3" s="319"/>
      <c r="D3" s="139">
        <v>90</v>
      </c>
      <c r="E3" s="109" t="s">
        <v>48</v>
      </c>
      <c r="F3" s="110"/>
      <c r="H3" s="269" t="s">
        <v>106</v>
      </c>
      <c r="I3" s="111" t="s">
        <v>43</v>
      </c>
      <c r="J3" s="112">
        <v>1</v>
      </c>
      <c r="K3" s="310" t="s">
        <v>97</v>
      </c>
      <c r="L3" s="311"/>
    </row>
    <row r="4" spans="1:12" x14ac:dyDescent="0.25">
      <c r="A4" s="102">
        <f>VLOOKUP(D4,KData!$N$3:$O$19,2)</f>
        <v>4</v>
      </c>
      <c r="B4" s="320" t="s">
        <v>40</v>
      </c>
      <c r="C4" s="321"/>
      <c r="D4" s="138" t="s">
        <v>7</v>
      </c>
      <c r="E4" s="103"/>
      <c r="F4" s="104"/>
      <c r="H4" s="270"/>
      <c r="I4" s="113" t="s">
        <v>44</v>
      </c>
      <c r="J4" s="114">
        <v>224.8</v>
      </c>
      <c r="K4" s="312"/>
      <c r="L4" s="313"/>
    </row>
    <row r="5" spans="1:12" x14ac:dyDescent="0.25">
      <c r="B5" s="318" t="s">
        <v>41</v>
      </c>
      <c r="C5" s="319"/>
      <c r="D5" s="139">
        <v>90</v>
      </c>
      <c r="E5" s="109" t="s">
        <v>48</v>
      </c>
      <c r="F5" s="110"/>
      <c r="H5" s="246" t="s">
        <v>60</v>
      </c>
      <c r="I5" s="111" t="s">
        <v>43</v>
      </c>
      <c r="J5" s="112">
        <v>0</v>
      </c>
      <c r="K5" s="314" t="s">
        <v>215</v>
      </c>
      <c r="L5" s="316">
        <f>KPlot!AQ3</f>
        <v>142.02797392390463</v>
      </c>
    </row>
    <row r="6" spans="1:12" ht="15.75" thickBot="1" x14ac:dyDescent="0.3">
      <c r="B6" s="115"/>
      <c r="C6" s="116"/>
      <c r="D6" s="116"/>
      <c r="E6" s="106"/>
      <c r="F6" s="107"/>
      <c r="H6" s="247"/>
      <c r="I6" s="119" t="s">
        <v>44</v>
      </c>
      <c r="J6" s="196">
        <v>276.8</v>
      </c>
      <c r="K6" s="315"/>
      <c r="L6" s="317"/>
    </row>
    <row r="7" spans="1:12" ht="15.75" thickBot="1" x14ac:dyDescent="0.3">
      <c r="B7" s="323" t="s">
        <v>42</v>
      </c>
      <c r="C7" s="324"/>
      <c r="D7" s="140">
        <v>4000</v>
      </c>
      <c r="E7" s="327" t="s">
        <v>96</v>
      </c>
      <c r="F7" s="328"/>
      <c r="H7" s="252" t="s">
        <v>100</v>
      </c>
      <c r="I7" s="202" t="s">
        <v>211</v>
      </c>
      <c r="J7" s="199" t="s">
        <v>206</v>
      </c>
      <c r="K7" s="200" t="s">
        <v>51</v>
      </c>
      <c r="L7" s="201" t="s">
        <v>52</v>
      </c>
    </row>
    <row r="8" spans="1:12" ht="15.75" thickBot="1" x14ac:dyDescent="0.3">
      <c r="B8" s="325"/>
      <c r="C8" s="325"/>
      <c r="D8" s="117"/>
      <c r="E8" s="118"/>
      <c r="H8" s="253"/>
      <c r="I8" s="111" t="s">
        <v>43</v>
      </c>
      <c r="J8" s="112" t="str">
        <f xml:space="preserve"> IF(KPlot!AP4, ROUNDDOWN(KPlot!AP4/KPlot!$EX$4, 0)+1, "none")</f>
        <v>none</v>
      </c>
      <c r="K8" s="194" t="str">
        <f>IF(KPlot!AP5, ROUNDDOWN(KPlot!AP5/KPlot!$EX$4, 0)+1, "none")</f>
        <v>none</v>
      </c>
      <c r="L8" s="195" t="str">
        <f xml:space="preserve"> IF(KPlot!AP6, ROUNDDOWN(KPlot!AP6/KPlot!$EX$4, 0)+1, "none")</f>
        <v>none</v>
      </c>
    </row>
    <row r="9" spans="1:12" ht="15.75" thickBot="1" x14ac:dyDescent="0.3">
      <c r="B9" s="262" t="s">
        <v>136</v>
      </c>
      <c r="C9" s="263"/>
      <c r="D9" s="263"/>
      <c r="E9" s="263"/>
      <c r="F9" s="264"/>
      <c r="H9" s="203" t="s">
        <v>210</v>
      </c>
      <c r="I9" s="119" t="s">
        <v>44</v>
      </c>
      <c r="J9" s="196" t="str">
        <f>IF(KPlot!AP4, ROUND(MOD(KPlot!AP4, KPlot!$EX$4-0.0001)/KPlot!$EX$5, 1)+1, "")</f>
        <v/>
      </c>
      <c r="K9" s="197" t="str">
        <f>IF(KPlot!AP5, ROUND(MOD(KPlot!AP5, KPlot!$EX$4-0.0001)/KPlot!$EX$5, 1)+1, "")</f>
        <v/>
      </c>
      <c r="L9" s="198" t="str">
        <f>IF(KPlot!AP6, ROUND(MOD(KPlot!AP6, KPlot!$EX$4-0.0001)/KPlot!$EX$5, 1)+1, "")</f>
        <v/>
      </c>
    </row>
    <row r="10" spans="1:12" x14ac:dyDescent="0.25">
      <c r="B10" s="322" t="s">
        <v>24</v>
      </c>
      <c r="C10" s="120" t="s">
        <v>43</v>
      </c>
      <c r="D10" s="141">
        <v>1</v>
      </c>
      <c r="E10" s="329" t="s">
        <v>131</v>
      </c>
      <c r="F10" s="330"/>
    </row>
    <row r="11" spans="1:12" x14ac:dyDescent="0.25">
      <c r="B11" s="326"/>
      <c r="C11" s="121" t="s">
        <v>44</v>
      </c>
      <c r="D11" s="142">
        <v>1</v>
      </c>
      <c r="E11" s="331" t="s">
        <v>132</v>
      </c>
      <c r="F11" s="332"/>
    </row>
    <row r="12" spans="1:12" x14ac:dyDescent="0.25">
      <c r="B12" s="322" t="s">
        <v>45</v>
      </c>
      <c r="C12" s="122" t="s">
        <v>46</v>
      </c>
      <c r="D12" s="143">
        <v>2</v>
      </c>
      <c r="E12" s="123"/>
      <c r="F12" s="124"/>
    </row>
    <row r="13" spans="1:12" ht="15.75" thickBot="1" x14ac:dyDescent="0.3">
      <c r="B13" s="322"/>
      <c r="C13" s="125" t="s">
        <v>47</v>
      </c>
      <c r="D13" s="144">
        <v>0</v>
      </c>
      <c r="E13" s="126"/>
      <c r="F13" s="124"/>
    </row>
    <row r="14" spans="1:12" ht="15" customHeight="1" x14ac:dyDescent="0.25">
      <c r="B14" s="262" t="s">
        <v>137</v>
      </c>
      <c r="C14" s="263"/>
      <c r="D14" s="263"/>
      <c r="E14" s="263"/>
      <c r="F14" s="264"/>
    </row>
    <row r="15" spans="1:12" x14ac:dyDescent="0.25">
      <c r="B15" s="246" t="s">
        <v>59</v>
      </c>
      <c r="C15" s="127" t="s">
        <v>43</v>
      </c>
      <c r="D15" s="145">
        <v>1</v>
      </c>
      <c r="E15" s="310" t="s">
        <v>97</v>
      </c>
      <c r="F15" s="311"/>
    </row>
    <row r="16" spans="1:12" x14ac:dyDescent="0.25">
      <c r="B16" s="343"/>
      <c r="C16" s="128" t="s">
        <v>44</v>
      </c>
      <c r="D16" s="146">
        <v>224.8</v>
      </c>
      <c r="E16" s="312"/>
      <c r="F16" s="313"/>
    </row>
    <row r="17" spans="1:26" x14ac:dyDescent="0.25">
      <c r="B17" s="246" t="s">
        <v>60</v>
      </c>
      <c r="C17" s="129" t="s">
        <v>46</v>
      </c>
      <c r="D17" s="147">
        <v>0</v>
      </c>
      <c r="E17" s="103"/>
      <c r="F17" s="104"/>
    </row>
    <row r="18" spans="1:26" ht="15.75" thickBot="1" x14ac:dyDescent="0.3">
      <c r="B18" s="247"/>
      <c r="C18" s="130" t="s">
        <v>47</v>
      </c>
      <c r="D18" s="148">
        <v>276.8</v>
      </c>
      <c r="E18" s="131"/>
      <c r="F18" s="132"/>
    </row>
    <row r="19" spans="1:26" ht="15.75" thickBot="1" x14ac:dyDescent="0.3">
      <c r="B19" s="344"/>
      <c r="C19" s="344"/>
    </row>
    <row r="20" spans="1:26" x14ac:dyDescent="0.25">
      <c r="B20" s="262" t="s">
        <v>105</v>
      </c>
      <c r="C20" s="263"/>
      <c r="D20" s="263"/>
      <c r="E20" s="263"/>
      <c r="F20" s="264"/>
    </row>
    <row r="21" spans="1:26" x14ac:dyDescent="0.25">
      <c r="B21" s="336" t="s">
        <v>91</v>
      </c>
      <c r="C21" s="133" t="s">
        <v>92</v>
      </c>
      <c r="D21" s="149">
        <v>0</v>
      </c>
      <c r="E21" s="339" t="s">
        <v>103</v>
      </c>
      <c r="F21" s="340"/>
    </row>
    <row r="22" spans="1:26" x14ac:dyDescent="0.25">
      <c r="B22" s="337"/>
      <c r="C22" s="134" t="s">
        <v>94</v>
      </c>
      <c r="D22" s="150">
        <v>0</v>
      </c>
      <c r="E22" s="341"/>
      <c r="F22" s="342"/>
    </row>
    <row r="23" spans="1:26" ht="15" customHeight="1" x14ac:dyDescent="0.25">
      <c r="B23" s="337"/>
      <c r="C23" s="135" t="s">
        <v>93</v>
      </c>
      <c r="D23" s="151">
        <v>0</v>
      </c>
      <c r="E23" s="339" t="s">
        <v>104</v>
      </c>
      <c r="F23" s="340"/>
    </row>
    <row r="24" spans="1:26" x14ac:dyDescent="0.25">
      <c r="B24" s="338"/>
      <c r="C24" s="134" t="s">
        <v>95</v>
      </c>
      <c r="D24" s="150">
        <v>0</v>
      </c>
      <c r="E24" s="341"/>
      <c r="F24" s="342"/>
    </row>
    <row r="25" spans="1:26" x14ac:dyDescent="0.25">
      <c r="B25" s="345" t="s">
        <v>98</v>
      </c>
      <c r="C25" s="346"/>
      <c r="D25" s="136" t="s">
        <v>203</v>
      </c>
      <c r="E25" s="137" t="s">
        <v>204</v>
      </c>
      <c r="F25" s="104"/>
    </row>
    <row r="26" spans="1:26" ht="15.75" thickBot="1" x14ac:dyDescent="0.3">
      <c r="A26" s="102">
        <f>VLOOKUP(D26, KData!C22:D25, 2)</f>
        <v>1</v>
      </c>
      <c r="B26" s="347" t="s">
        <v>100</v>
      </c>
      <c r="C26" s="348"/>
      <c r="D26" s="190" t="s">
        <v>209</v>
      </c>
      <c r="E26" s="131" t="s">
        <v>213</v>
      </c>
      <c r="F26" s="132"/>
    </row>
    <row r="27" spans="1:26" x14ac:dyDescent="0.25">
      <c r="B27" s="309"/>
      <c r="C27" s="309"/>
      <c r="X27" s="333" t="s">
        <v>219</v>
      </c>
      <c r="Y27" s="334"/>
      <c r="Z27" s="335"/>
    </row>
    <row r="28" spans="1:26" x14ac:dyDescent="0.25">
      <c r="B28" s="309"/>
      <c r="C28" s="309"/>
      <c r="X28" s="210" t="s">
        <v>216</v>
      </c>
      <c r="Y28" s="217" t="s">
        <v>217</v>
      </c>
      <c r="Z28" s="218" t="s">
        <v>218</v>
      </c>
    </row>
    <row r="29" spans="1:26" x14ac:dyDescent="0.25">
      <c r="B29" s="309"/>
      <c r="C29" s="309"/>
      <c r="X29" s="211" t="str">
        <f>KData!B11</f>
        <v>Gilly</v>
      </c>
      <c r="Y29" s="212">
        <f>KPlot!AL11</f>
        <v>46.988280269764957</v>
      </c>
      <c r="Z29" s="213">
        <f>KPlot!AM11</f>
        <v>149.74412087683942</v>
      </c>
    </row>
    <row r="30" spans="1:26" x14ac:dyDescent="0.25">
      <c r="X30" s="211" t="str">
        <f>KData!B12</f>
        <v>Mun</v>
      </c>
      <c r="Y30" s="212">
        <f>KPlot!AL12</f>
        <v>277.69829445919066</v>
      </c>
      <c r="Z30" s="213">
        <f>KPlot!AM12</f>
        <v>47.924064137397615</v>
      </c>
    </row>
    <row r="31" spans="1:26" x14ac:dyDescent="0.25">
      <c r="X31" s="211" t="str">
        <f>KData!B13</f>
        <v>Minmus</v>
      </c>
      <c r="Y31" s="212">
        <f>KPlot!AL13</f>
        <v>243.66163514142079</v>
      </c>
      <c r="Z31" s="213">
        <f>KPlot!AM13</f>
        <v>207.5008626936004</v>
      </c>
    </row>
    <row r="32" spans="1:26" x14ac:dyDescent="0.25">
      <c r="X32" s="211" t="str">
        <f>KData!B14</f>
        <v>Ike</v>
      </c>
      <c r="Y32" s="212">
        <f>KPlot!AL14</f>
        <v>232.73670626991881</v>
      </c>
      <c r="Z32" s="213">
        <f>KPlot!AM14</f>
        <v>192.50370457452416</v>
      </c>
    </row>
    <row r="33" spans="24:26" x14ac:dyDescent="0.25">
      <c r="X33" s="211" t="str">
        <f>KData!B15</f>
        <v>Laythe</v>
      </c>
      <c r="Y33" s="212">
        <f>KPlot!AL15</f>
        <v>96.147820989976466</v>
      </c>
      <c r="Z33" s="213">
        <f>KPlot!AM15</f>
        <v>14.001259568770712</v>
      </c>
    </row>
    <row r="34" spans="24:26" x14ac:dyDescent="0.25">
      <c r="X34" s="211" t="str">
        <f>KData!B16</f>
        <v>Vall</v>
      </c>
      <c r="Y34" s="212">
        <f>KPlot!AL16</f>
        <v>106.86890065161556</v>
      </c>
      <c r="Z34" s="213">
        <f>KPlot!AM16</f>
        <v>235.002998807696</v>
      </c>
    </row>
    <row r="35" spans="24:26" x14ac:dyDescent="0.25">
      <c r="X35" s="211" t="str">
        <f>KData!B17</f>
        <v>Tylo</v>
      </c>
      <c r="Y35" s="212">
        <f>KPlot!AL17</f>
        <v>304.71005520583452</v>
      </c>
      <c r="Z35" s="213">
        <f>KPlot!AM17</f>
        <v>357.94341085380773</v>
      </c>
    </row>
    <row r="36" spans="24:26" x14ac:dyDescent="0.25">
      <c r="X36" s="211" t="str">
        <f>KData!B18</f>
        <v>Bop</v>
      </c>
      <c r="Y36" s="212">
        <f>KPlot!AL18</f>
        <v>240.26408768688665</v>
      </c>
      <c r="Z36" s="213">
        <f>KPlot!AM18</f>
        <v>206.23695774268973</v>
      </c>
    </row>
    <row r="37" spans="24:26" ht="15.75" thickBot="1" x14ac:dyDescent="0.3">
      <c r="X37" s="214" t="str">
        <f>KData!B19</f>
        <v>Pol</v>
      </c>
      <c r="Y37" s="215">
        <f>KPlot!AL19</f>
        <v>32.006752667852275</v>
      </c>
      <c r="Z37" s="216">
        <f>KPlot!AM19</f>
        <v>253.40857647048645</v>
      </c>
    </row>
  </sheetData>
  <sheetProtection selectLockedCells="1"/>
  <mergeCells count="36">
    <mergeCell ref="X27:Z27"/>
    <mergeCell ref="B21:B24"/>
    <mergeCell ref="B20:F20"/>
    <mergeCell ref="E15:F16"/>
    <mergeCell ref="E21:F22"/>
    <mergeCell ref="E23:F24"/>
    <mergeCell ref="B15:B16"/>
    <mergeCell ref="B17:B18"/>
    <mergeCell ref="B19:C19"/>
    <mergeCell ref="B25:C25"/>
    <mergeCell ref="B26:C26"/>
    <mergeCell ref="B27:C27"/>
    <mergeCell ref="B12:B13"/>
    <mergeCell ref="B9:F9"/>
    <mergeCell ref="B7:C7"/>
    <mergeCell ref="B8:C8"/>
    <mergeCell ref="B10:B11"/>
    <mergeCell ref="E7:F7"/>
    <mergeCell ref="E10:F10"/>
    <mergeCell ref="E11:F11"/>
    <mergeCell ref="B28:C28"/>
    <mergeCell ref="B29:C29"/>
    <mergeCell ref="H7:H8"/>
    <mergeCell ref="K3:L4"/>
    <mergeCell ref="H1:L1"/>
    <mergeCell ref="H2:I2"/>
    <mergeCell ref="H3:H4"/>
    <mergeCell ref="H5:H6"/>
    <mergeCell ref="K5:K6"/>
    <mergeCell ref="L5:L6"/>
    <mergeCell ref="B1:F1"/>
    <mergeCell ref="B5:C5"/>
    <mergeCell ref="B4:C4"/>
    <mergeCell ref="B3:C3"/>
    <mergeCell ref="B2:C2"/>
    <mergeCell ref="B14:F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LWKerb">
                <anchor moveWithCells="1" siz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5</xdr:col>
                    <xdr:colOff>647700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TPKerb">
                <anchor moveWithCells="1" sizeWithCells="1">
                  <from>
                    <xdr:col>4</xdr:col>
                    <xdr:colOff>9525</xdr:colOff>
                    <xdr:row>16</xdr:row>
                    <xdr:rowOff>19050</xdr:rowOff>
                  </from>
                  <to>
                    <xdr:col>5</xdr:col>
                    <xdr:colOff>638175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CFF928-1A0A-4972-8661-78B88BC20E1C}">
          <x14:formula1>
            <xm:f>KData!$A$22:$A$23</xm:f>
          </x14:formula1>
          <xm:sqref>D25</xm:sqref>
        </x14:dataValidation>
        <x14:dataValidation type="list" allowBlank="1" showInputMessage="1" showErrorMessage="1" xr:uid="{1289B90B-574C-4D34-BCDF-EE35B4A2897D}">
          <x14:formula1>
            <xm:f>KData!$N$3:$N$19</xm:f>
          </x14:formula1>
          <xm:sqref>D4 D2</xm:sqref>
        </x14:dataValidation>
        <x14:dataValidation type="list" allowBlank="1" showInputMessage="1" showErrorMessage="1" xr:uid="{744EE96C-69EC-48CC-AE9A-1D17946AED72}">
          <x14:formula1>
            <xm:f>KData!$E$22:$E$25</xm:f>
          </x14:formula1>
          <xm:sqref>D26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055FE-EBFA-4957-92F5-16F8CEBB8182}">
  <sheetPr codeName="Sheet10">
    <tabColor theme="8" tint="0.39997558519241921"/>
  </sheetPr>
  <dimension ref="B1:EX104"/>
  <sheetViews>
    <sheetView topLeftCell="L1" zoomScale="70" zoomScaleNormal="70" workbookViewId="0">
      <selection activeCell="AK2" sqref="AK2:AQ2"/>
    </sheetView>
  </sheetViews>
  <sheetFormatPr defaultRowHeight="15" x14ac:dyDescent="0.25"/>
  <cols>
    <col min="1" max="1" width="6.140625" customWidth="1"/>
    <col min="2" max="2" width="6.140625" style="9" customWidth="1"/>
    <col min="3" max="4" width="6.140625" customWidth="1"/>
    <col min="5" max="31" width="6.140625" style="14" customWidth="1"/>
    <col min="32" max="36" width="6.140625" customWidth="1"/>
    <col min="37" max="41" width="6.140625" style="10" customWidth="1"/>
    <col min="42" max="44" width="6.140625" customWidth="1"/>
    <col min="45" max="45" width="9.140625" style="6"/>
    <col min="46" max="70" width="2.7109375" style="28" customWidth="1"/>
    <col min="71" max="145" width="2.7109375" customWidth="1"/>
  </cols>
  <sheetData>
    <row r="1" spans="2:154" x14ac:dyDescent="0.25">
      <c r="AT1" s="305" t="s">
        <v>88</v>
      </c>
      <c r="AU1" s="305"/>
      <c r="AV1" s="305"/>
      <c r="AW1" s="305"/>
      <c r="AX1" s="305"/>
      <c r="AY1" s="305"/>
      <c r="AZ1" s="305"/>
      <c r="BA1" s="305"/>
      <c r="BB1" s="305"/>
      <c r="BC1" s="305"/>
      <c r="BD1" s="305"/>
      <c r="BE1" s="305"/>
      <c r="BF1" s="305"/>
      <c r="BG1" s="305"/>
      <c r="BH1" s="305"/>
      <c r="BI1" s="305"/>
      <c r="BJ1" s="305"/>
      <c r="BK1" s="305"/>
      <c r="BL1" s="305"/>
      <c r="BM1" s="305"/>
      <c r="BN1" s="305"/>
      <c r="BO1" s="305"/>
      <c r="BP1" s="305"/>
      <c r="BQ1" s="305"/>
      <c r="BR1" s="305"/>
      <c r="BS1" s="305"/>
      <c r="BT1" s="305"/>
      <c r="BU1" s="305"/>
      <c r="BV1" s="305"/>
      <c r="BW1" s="305"/>
      <c r="BX1" s="305"/>
      <c r="BY1" s="305"/>
      <c r="BZ1" s="305"/>
      <c r="CA1" s="305"/>
      <c r="CB1" s="305"/>
      <c r="CC1" s="305"/>
      <c r="CD1" s="305"/>
      <c r="CE1" s="305"/>
      <c r="CF1" s="305"/>
      <c r="CG1" s="305"/>
      <c r="CH1" s="305"/>
      <c r="CI1" s="305"/>
      <c r="CJ1" s="305"/>
      <c r="CK1" s="305"/>
    </row>
    <row r="2" spans="2:154" ht="87" customHeight="1" x14ac:dyDescent="0.35">
      <c r="E2" s="306" t="s">
        <v>28</v>
      </c>
      <c r="F2" s="306"/>
      <c r="G2" s="306"/>
      <c r="H2" s="15"/>
      <c r="I2" s="306" t="s">
        <v>30</v>
      </c>
      <c r="J2" s="306"/>
      <c r="K2" s="306"/>
      <c r="L2" s="15"/>
      <c r="M2" s="306" t="s">
        <v>31</v>
      </c>
      <c r="N2" s="306"/>
      <c r="O2" s="306"/>
      <c r="P2" s="15"/>
      <c r="Q2" s="306" t="s">
        <v>38</v>
      </c>
      <c r="R2" s="306"/>
      <c r="S2" s="306"/>
      <c r="T2" s="15"/>
      <c r="U2" s="306" t="s">
        <v>39</v>
      </c>
      <c r="V2" s="306"/>
      <c r="W2" s="306"/>
      <c r="X2" s="15"/>
      <c r="Y2" s="306" t="s">
        <v>32</v>
      </c>
      <c r="Z2" s="306"/>
      <c r="AA2" s="306"/>
      <c r="AB2" s="15"/>
      <c r="AC2" s="306" t="s">
        <v>33</v>
      </c>
      <c r="AD2" s="306"/>
      <c r="AE2" s="306"/>
      <c r="AG2" s="254" t="s">
        <v>34</v>
      </c>
      <c r="AH2" s="254"/>
      <c r="AI2" s="254"/>
      <c r="AK2" s="11" t="s">
        <v>49</v>
      </c>
      <c r="AL2" s="11" t="s">
        <v>54</v>
      </c>
      <c r="AM2" s="11" t="s">
        <v>55</v>
      </c>
      <c r="AN2" s="11" t="s">
        <v>56</v>
      </c>
      <c r="AO2" s="11" t="s">
        <v>57</v>
      </c>
      <c r="AP2" s="184" t="s">
        <v>212</v>
      </c>
      <c r="AQ2" s="204" t="s">
        <v>214</v>
      </c>
      <c r="AT2" s="29">
        <v>0</v>
      </c>
      <c r="AU2" s="29">
        <v>185930.20202020201</v>
      </c>
      <c r="AV2" s="29">
        <v>371860.40404040401</v>
      </c>
      <c r="AW2" s="29">
        <v>557790.60606060596</v>
      </c>
      <c r="AX2" s="29">
        <v>743720.80808080803</v>
      </c>
      <c r="AY2" s="29">
        <v>929651.01010101009</v>
      </c>
      <c r="AZ2" s="29">
        <v>1115581.2121212122</v>
      </c>
      <c r="BA2" s="29">
        <v>1301511.4141414142</v>
      </c>
      <c r="BB2" s="29">
        <v>1487441.6161616163</v>
      </c>
      <c r="BC2" s="29">
        <v>1673371.8181818184</v>
      </c>
      <c r="BD2" s="30">
        <v>1859302.0202020204</v>
      </c>
      <c r="BE2" s="30">
        <v>2045232.2222222225</v>
      </c>
      <c r="BF2" s="30">
        <v>2231162.4242424243</v>
      </c>
      <c r="BG2" s="30">
        <v>2417092.6262626261</v>
      </c>
      <c r="BH2" s="30">
        <v>2603022.828282828</v>
      </c>
      <c r="BI2" s="30">
        <v>2788953.0303030298</v>
      </c>
      <c r="BJ2" s="30">
        <v>2974883.2323232316</v>
      </c>
      <c r="BK2" s="30">
        <v>3160813.4343434335</v>
      </c>
      <c r="BL2" s="30">
        <v>3346743.6363636353</v>
      </c>
      <c r="BM2" s="30">
        <v>3532673.8383838371</v>
      </c>
      <c r="BN2" s="30">
        <v>3718604.040404039</v>
      </c>
      <c r="BO2" s="30">
        <v>3904534.2424242408</v>
      </c>
      <c r="BP2" s="30">
        <v>4090464.4444444426</v>
      </c>
      <c r="BQ2" s="30">
        <v>4276394.6464646449</v>
      </c>
      <c r="BR2" s="30">
        <v>4462324.8484848468</v>
      </c>
      <c r="BS2" s="30">
        <v>4648255.0505050486</v>
      </c>
      <c r="BT2" s="30">
        <v>4834185.2525252504</v>
      </c>
      <c r="BU2" s="30">
        <v>5020115.4545454523</v>
      </c>
      <c r="BV2" s="30">
        <v>5206045.6565656541</v>
      </c>
      <c r="BW2" s="30">
        <v>5391975.8585858559</v>
      </c>
      <c r="BX2" s="30">
        <v>5577906.0606060578</v>
      </c>
      <c r="BY2" s="30">
        <v>5763836.2626262596</v>
      </c>
      <c r="BZ2" s="30">
        <v>5949766.4646464614</v>
      </c>
      <c r="CA2" s="30">
        <v>6135696.6666666633</v>
      </c>
      <c r="CB2" s="30">
        <v>6321626.8686868651</v>
      </c>
      <c r="CC2" s="30">
        <v>6507557.0707070669</v>
      </c>
      <c r="CD2" s="30">
        <v>6693487.2727272687</v>
      </c>
      <c r="CE2" s="30">
        <v>6879417.4747474706</v>
      </c>
      <c r="CF2" s="30">
        <v>7065347.6767676724</v>
      </c>
      <c r="CG2" s="30">
        <v>7251277.8787878742</v>
      </c>
      <c r="CH2" s="30">
        <v>7437208.0808080761</v>
      </c>
      <c r="CI2" s="30">
        <v>7623138.2828282779</v>
      </c>
      <c r="CJ2" s="30">
        <v>7809068.4848484797</v>
      </c>
      <c r="CK2" s="30">
        <v>7994998.6868686816</v>
      </c>
      <c r="CL2" s="30">
        <v>8180928.8888888834</v>
      </c>
      <c r="CM2" s="30">
        <v>8366859.0909090852</v>
      </c>
      <c r="CN2" s="30">
        <v>8552789.292929288</v>
      </c>
      <c r="CO2" s="30">
        <v>8738719.4949494898</v>
      </c>
      <c r="CP2" s="30">
        <v>8924649.6969696917</v>
      </c>
      <c r="CQ2" s="30">
        <v>9110579.8989898935</v>
      </c>
      <c r="CR2" s="30">
        <v>9296510.1010100953</v>
      </c>
      <c r="CS2" s="30">
        <v>9482440.3030302972</v>
      </c>
      <c r="CT2" s="30">
        <v>9668370.505050499</v>
      </c>
      <c r="CU2" s="30">
        <v>9854300.7070707008</v>
      </c>
      <c r="CV2" s="30">
        <v>10040230.909090903</v>
      </c>
      <c r="CW2" s="30">
        <v>10226161.111111104</v>
      </c>
      <c r="CX2" s="30">
        <v>10412091.313131306</v>
      </c>
      <c r="CY2" s="30">
        <v>10598021.515151508</v>
      </c>
      <c r="CZ2" s="30">
        <v>10783951.71717171</v>
      </c>
      <c r="DA2" s="30">
        <v>10969881.919191912</v>
      </c>
      <c r="DB2" s="30">
        <v>11155812.121212114</v>
      </c>
      <c r="DC2" s="30">
        <v>11341742.323232315</v>
      </c>
      <c r="DD2" s="30">
        <v>11527672.525252517</v>
      </c>
      <c r="DE2" s="30">
        <v>11713602.727272719</v>
      </c>
      <c r="DF2" s="30">
        <v>11899532.929292921</v>
      </c>
      <c r="DG2" s="30">
        <v>12085463.131313123</v>
      </c>
      <c r="DH2" s="30">
        <v>12271393.333333325</v>
      </c>
      <c r="DI2" s="30">
        <v>12457323.535353526</v>
      </c>
      <c r="DJ2" s="30">
        <v>12643253.737373728</v>
      </c>
      <c r="DK2" s="30">
        <v>12829183.93939393</v>
      </c>
      <c r="DL2" s="30">
        <v>13015114.141414132</v>
      </c>
      <c r="DM2" s="30">
        <v>13201044.343434334</v>
      </c>
      <c r="DN2" s="30">
        <v>13386974.545454536</v>
      </c>
      <c r="DO2" s="30">
        <v>13572904.747474737</v>
      </c>
      <c r="DP2" s="30">
        <v>13758834.949494939</v>
      </c>
      <c r="DQ2" s="30">
        <v>13944765.151515141</v>
      </c>
      <c r="DR2" s="30">
        <v>14130695.353535343</v>
      </c>
      <c r="DS2" s="30">
        <v>14316625.555555545</v>
      </c>
      <c r="DT2" s="30">
        <v>14502555.757575747</v>
      </c>
      <c r="DU2" s="30">
        <v>14688485.959595948</v>
      </c>
      <c r="DV2" s="30">
        <v>14874416.16161615</v>
      </c>
      <c r="DW2" s="30">
        <v>15060346.363636352</v>
      </c>
      <c r="DX2" s="30">
        <v>15246276.565656554</v>
      </c>
      <c r="DY2" s="30">
        <v>15432206.767676756</v>
      </c>
      <c r="DZ2" s="30">
        <v>15618136.969696958</v>
      </c>
      <c r="EA2" s="30">
        <v>15804067.171717159</v>
      </c>
      <c r="EB2" s="30">
        <v>15989997.373737361</v>
      </c>
      <c r="EC2" s="30">
        <v>16175927.575757563</v>
      </c>
      <c r="ED2" s="30">
        <v>16361857.777777765</v>
      </c>
      <c r="EE2" s="30">
        <v>16547787.979797967</v>
      </c>
      <c r="EF2" s="30">
        <v>16733718.181818169</v>
      </c>
      <c r="EG2" s="30">
        <v>16919648.38383837</v>
      </c>
      <c r="EH2" s="30">
        <v>17105578.585858572</v>
      </c>
      <c r="EI2" s="30">
        <v>17291508.787878774</v>
      </c>
      <c r="EJ2" s="30">
        <v>17477438.989898976</v>
      </c>
      <c r="EK2" s="30">
        <v>17663369.191919178</v>
      </c>
      <c r="EL2" s="30">
        <v>17849299.39393938</v>
      </c>
      <c r="EM2" s="30">
        <v>18035229.595959581</v>
      </c>
      <c r="EN2" s="30">
        <v>18221159.797979783</v>
      </c>
      <c r="EO2" s="30">
        <v>18407089.999999985</v>
      </c>
    </row>
    <row r="3" spans="2:154" ht="15" customHeight="1" x14ac:dyDescent="0.25">
      <c r="B3" s="9" t="s">
        <v>29</v>
      </c>
      <c r="D3" s="9" t="s">
        <v>27</v>
      </c>
      <c r="E3" s="15" t="s">
        <v>22</v>
      </c>
      <c r="F3" s="15" t="s">
        <v>23</v>
      </c>
      <c r="G3" s="15" t="s">
        <v>26</v>
      </c>
      <c r="H3" s="15" t="s">
        <v>27</v>
      </c>
      <c r="I3" s="15" t="s">
        <v>22</v>
      </c>
      <c r="J3" s="15" t="s">
        <v>23</v>
      </c>
      <c r="K3" s="15" t="s">
        <v>26</v>
      </c>
      <c r="L3" s="15" t="s">
        <v>27</v>
      </c>
      <c r="M3" s="15" t="s">
        <v>22</v>
      </c>
      <c r="N3" s="15" t="s">
        <v>23</v>
      </c>
      <c r="O3" s="15" t="s">
        <v>26</v>
      </c>
      <c r="P3" s="15" t="s">
        <v>27</v>
      </c>
      <c r="Q3" s="15" t="s">
        <v>22</v>
      </c>
      <c r="R3" s="15" t="s">
        <v>23</v>
      </c>
      <c r="S3" s="15" t="s">
        <v>26</v>
      </c>
      <c r="T3" s="15" t="s">
        <v>27</v>
      </c>
      <c r="U3" s="15" t="s">
        <v>22</v>
      </c>
      <c r="V3" s="15" t="s">
        <v>23</v>
      </c>
      <c r="W3" s="15" t="s">
        <v>26</v>
      </c>
      <c r="X3" s="15" t="s">
        <v>27</v>
      </c>
      <c r="Y3" s="15" t="s">
        <v>22</v>
      </c>
      <c r="Z3" s="15" t="s">
        <v>23</v>
      </c>
      <c r="AA3" s="15" t="s">
        <v>26</v>
      </c>
      <c r="AB3" s="15" t="s">
        <v>27</v>
      </c>
      <c r="AC3" s="15" t="s">
        <v>22</v>
      </c>
      <c r="AD3" s="15" t="s">
        <v>23</v>
      </c>
      <c r="AE3" s="15" t="s">
        <v>26</v>
      </c>
      <c r="AG3" s="9" t="s">
        <v>22</v>
      </c>
      <c r="AH3" s="9" t="s">
        <v>23</v>
      </c>
      <c r="AI3" s="9" t="s">
        <v>26</v>
      </c>
      <c r="AK3" s="11" t="s">
        <v>50</v>
      </c>
      <c r="AL3" s="206">
        <v>1050.7518871050206</v>
      </c>
      <c r="AM3" s="206">
        <v>0</v>
      </c>
      <c r="AN3" s="206">
        <v>648.0864942859107</v>
      </c>
      <c r="AO3" s="206">
        <v>1698.8383813909313</v>
      </c>
      <c r="AP3" s="207"/>
      <c r="AQ3">
        <v>142.02797392390463</v>
      </c>
      <c r="AS3" s="31">
        <v>1864000.7769453882</v>
      </c>
      <c r="AT3" s="167">
        <v>4000</v>
      </c>
      <c r="AU3" s="167">
        <v>4000</v>
      </c>
      <c r="AV3" s="167">
        <v>4000</v>
      </c>
      <c r="AW3" s="167">
        <v>4000</v>
      </c>
      <c r="AX3" s="167">
        <v>4000</v>
      </c>
      <c r="AY3" s="167">
        <v>4000</v>
      </c>
      <c r="AZ3" s="167">
        <v>4000</v>
      </c>
      <c r="BA3" s="167">
        <v>4000</v>
      </c>
      <c r="BB3" s="167">
        <v>4000</v>
      </c>
      <c r="BC3" s="167">
        <v>4000</v>
      </c>
      <c r="BD3" s="167">
        <v>4000</v>
      </c>
      <c r="BE3" s="167">
        <v>4000</v>
      </c>
      <c r="BF3" s="167">
        <v>4000</v>
      </c>
      <c r="BG3" s="167">
        <v>4000</v>
      </c>
      <c r="BH3" s="167">
        <v>4000</v>
      </c>
      <c r="BI3" s="167">
        <v>4000</v>
      </c>
      <c r="BJ3" s="167">
        <v>4000</v>
      </c>
      <c r="BK3" s="167">
        <v>4000</v>
      </c>
      <c r="BL3" s="167">
        <v>4000</v>
      </c>
      <c r="BM3" s="167">
        <v>4000</v>
      </c>
      <c r="BN3" s="167">
        <v>4000</v>
      </c>
      <c r="BO3" s="167">
        <v>4000</v>
      </c>
      <c r="BP3" s="167">
        <v>4000</v>
      </c>
      <c r="BQ3" s="167">
        <v>4000</v>
      </c>
      <c r="BR3" s="167">
        <v>4000</v>
      </c>
      <c r="BS3" s="167">
        <v>4000</v>
      </c>
      <c r="BT3" s="167">
        <v>4000</v>
      </c>
      <c r="BU3" s="167">
        <v>4000</v>
      </c>
      <c r="BV3" s="167">
        <v>4000</v>
      </c>
      <c r="BW3" s="167">
        <v>4000</v>
      </c>
      <c r="BX3" s="167">
        <v>4000</v>
      </c>
      <c r="BY3" s="167">
        <v>4000</v>
      </c>
      <c r="BZ3" s="167">
        <v>4000</v>
      </c>
      <c r="CA3" s="167">
        <v>4000</v>
      </c>
      <c r="CB3" s="167">
        <v>4000</v>
      </c>
      <c r="CC3" s="167">
        <v>4000</v>
      </c>
      <c r="CD3" s="167">
        <v>4000</v>
      </c>
      <c r="CE3" s="167">
        <v>4000</v>
      </c>
      <c r="CF3" s="167">
        <v>4000</v>
      </c>
      <c r="CG3" s="167">
        <v>4000</v>
      </c>
      <c r="CH3" s="167">
        <v>4000</v>
      </c>
      <c r="CI3" s="167">
        <v>4000</v>
      </c>
      <c r="CJ3" s="167">
        <v>4000</v>
      </c>
      <c r="CK3" s="167">
        <v>4000</v>
      </c>
      <c r="CL3" s="167">
        <v>4000</v>
      </c>
      <c r="CM3" s="167">
        <v>4000</v>
      </c>
      <c r="CN3" s="167">
        <v>4000</v>
      </c>
      <c r="CO3" s="167">
        <v>4000</v>
      </c>
      <c r="CP3" s="167">
        <v>4000</v>
      </c>
      <c r="CQ3" s="167">
        <v>4000</v>
      </c>
      <c r="CR3" s="167">
        <v>4000</v>
      </c>
      <c r="CS3" s="167">
        <v>4000</v>
      </c>
      <c r="CT3" s="167">
        <v>4000</v>
      </c>
      <c r="CU3" s="167">
        <v>4000</v>
      </c>
      <c r="CV3" s="167">
        <v>4000</v>
      </c>
      <c r="CW3" s="167">
        <v>4000</v>
      </c>
      <c r="CX3" s="167">
        <v>4000</v>
      </c>
      <c r="CY3" s="167">
        <v>4000</v>
      </c>
      <c r="CZ3" s="167">
        <v>4000</v>
      </c>
      <c r="DA3" s="167">
        <v>4000</v>
      </c>
      <c r="DB3" s="167">
        <v>4000</v>
      </c>
      <c r="DC3" s="167">
        <v>4000</v>
      </c>
      <c r="DD3" s="167">
        <v>4000</v>
      </c>
      <c r="DE3" s="167">
        <v>4000</v>
      </c>
      <c r="DF3" s="167">
        <v>4000</v>
      </c>
      <c r="DG3" s="167">
        <v>4000</v>
      </c>
      <c r="DH3" s="167">
        <v>4000</v>
      </c>
      <c r="DI3" s="167">
        <v>4000</v>
      </c>
      <c r="DJ3" s="167">
        <v>4000</v>
      </c>
      <c r="DK3" s="167">
        <v>4000</v>
      </c>
      <c r="DL3" s="167">
        <v>4000</v>
      </c>
      <c r="DM3" s="167">
        <v>4000</v>
      </c>
      <c r="DN3" s="167">
        <v>4000</v>
      </c>
      <c r="DO3" s="167">
        <v>4000</v>
      </c>
      <c r="DP3" s="167">
        <v>4000</v>
      </c>
      <c r="DQ3" s="167">
        <v>4000</v>
      </c>
      <c r="DR3" s="167">
        <v>4000</v>
      </c>
      <c r="DS3" s="167">
        <v>4000</v>
      </c>
      <c r="DT3" s="167">
        <v>4000</v>
      </c>
      <c r="DU3" s="167">
        <v>4000</v>
      </c>
      <c r="DV3" s="167">
        <v>4000</v>
      </c>
      <c r="DW3" s="167">
        <v>4000</v>
      </c>
      <c r="DX3" s="167">
        <v>4000</v>
      </c>
      <c r="DY3" s="167">
        <v>4000</v>
      </c>
      <c r="DZ3" s="167">
        <v>4000</v>
      </c>
      <c r="EA3" s="167">
        <v>4000</v>
      </c>
      <c r="EB3" s="167">
        <v>4000</v>
      </c>
      <c r="EC3" s="167">
        <v>4000</v>
      </c>
      <c r="ED3" s="167">
        <v>4000</v>
      </c>
      <c r="EE3" s="167">
        <v>4000</v>
      </c>
      <c r="EF3" s="167">
        <v>4000</v>
      </c>
      <c r="EG3" s="167">
        <v>4000</v>
      </c>
      <c r="EH3" s="167">
        <v>4000</v>
      </c>
      <c r="EI3" s="167">
        <v>4000</v>
      </c>
      <c r="EJ3" s="167">
        <v>4000</v>
      </c>
      <c r="EK3" s="167">
        <v>4000</v>
      </c>
      <c r="EL3" s="167">
        <v>4000</v>
      </c>
      <c r="EM3" s="167">
        <v>4000</v>
      </c>
      <c r="EN3" s="167">
        <v>4000</v>
      </c>
      <c r="EO3" s="167">
        <v>4000</v>
      </c>
      <c r="EP3" t="str">
        <f>ROUNDDOWN(AS3/$EX$4, 0) &amp; "y " &amp; ROUND(MOD(AS3, $EX$4)/$EX$5, 0) &amp; "d"</f>
        <v>0y 86d</v>
      </c>
      <c r="ES3" s="254" t="s">
        <v>111</v>
      </c>
      <c r="ET3" s="254"/>
      <c r="EU3" s="254"/>
      <c r="EV3" s="254"/>
      <c r="EW3" s="254"/>
      <c r="EX3" s="254"/>
    </row>
    <row r="4" spans="2:154" ht="15" customHeight="1" x14ac:dyDescent="0.25">
      <c r="B4" s="9">
        <v>1</v>
      </c>
      <c r="D4">
        <v>0</v>
      </c>
      <c r="E4" s="12">
        <v>-13599823007.697136</v>
      </c>
      <c r="F4" s="12">
        <v>21659825.247473374</v>
      </c>
      <c r="G4" s="12">
        <v>0</v>
      </c>
      <c r="H4" s="12">
        <v>0</v>
      </c>
      <c r="I4" s="12">
        <v>15514867153.114368</v>
      </c>
      <c r="J4" s="12">
        <v>-15290394870.784014</v>
      </c>
      <c r="K4" s="12">
        <v>32847.339609958261</v>
      </c>
      <c r="L4" s="12">
        <v>0</v>
      </c>
      <c r="M4" s="12">
        <v>13432568922.398344</v>
      </c>
      <c r="N4" s="12">
        <v>2126440014.1402314</v>
      </c>
      <c r="O4" s="12"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G4" s="8">
        <v>0</v>
      </c>
      <c r="AH4" s="8">
        <v>0</v>
      </c>
      <c r="AI4" s="8">
        <v>0</v>
      </c>
      <c r="AJ4" s="1"/>
      <c r="AK4" s="18" t="s">
        <v>53</v>
      </c>
      <c r="AL4" s="206"/>
      <c r="AM4" s="206"/>
      <c r="AN4" s="206"/>
      <c r="AO4" s="206"/>
      <c r="AP4" s="208"/>
      <c r="AS4" s="31">
        <v>2042869.5383694405</v>
      </c>
      <c r="AT4" s="167">
        <v>4000</v>
      </c>
      <c r="AU4" s="167">
        <v>4000</v>
      </c>
      <c r="AV4" s="167">
        <v>4000</v>
      </c>
      <c r="AW4" s="167">
        <v>4000</v>
      </c>
      <c r="AX4" s="167">
        <v>4000</v>
      </c>
      <c r="AY4" s="167">
        <v>4000</v>
      </c>
      <c r="AZ4" s="167">
        <v>4000</v>
      </c>
      <c r="BA4" s="167">
        <v>4000</v>
      </c>
      <c r="BB4" s="167">
        <v>4000</v>
      </c>
      <c r="BC4" s="167">
        <v>4000</v>
      </c>
      <c r="BD4" s="167">
        <v>4000</v>
      </c>
      <c r="BE4" s="167">
        <v>4000</v>
      </c>
      <c r="BF4" s="167">
        <v>4000</v>
      </c>
      <c r="BG4" s="167">
        <v>4000</v>
      </c>
      <c r="BH4" s="167">
        <v>4000</v>
      </c>
      <c r="BI4" s="167">
        <v>4000</v>
      </c>
      <c r="BJ4" s="167">
        <v>4000</v>
      </c>
      <c r="BK4" s="167">
        <v>4000</v>
      </c>
      <c r="BL4" s="167">
        <v>4000</v>
      </c>
      <c r="BM4" s="167">
        <v>4000</v>
      </c>
      <c r="BN4" s="167">
        <v>4000</v>
      </c>
      <c r="BO4" s="167">
        <v>4000</v>
      </c>
      <c r="BP4" s="167">
        <v>4000</v>
      </c>
      <c r="BQ4" s="167">
        <v>4000</v>
      </c>
      <c r="BR4" s="167">
        <v>4000</v>
      </c>
      <c r="BS4" s="167">
        <v>4000</v>
      </c>
      <c r="BT4" s="167">
        <v>4000</v>
      </c>
      <c r="BU4" s="167">
        <v>4000</v>
      </c>
      <c r="BV4" s="167">
        <v>4000</v>
      </c>
      <c r="BW4" s="167">
        <v>4000</v>
      </c>
      <c r="BX4" s="167">
        <v>4000</v>
      </c>
      <c r="BY4" s="167">
        <v>4000</v>
      </c>
      <c r="BZ4" s="167">
        <v>4000</v>
      </c>
      <c r="CA4" s="167">
        <v>4000</v>
      </c>
      <c r="CB4" s="167">
        <v>4000</v>
      </c>
      <c r="CC4" s="167">
        <v>4000</v>
      </c>
      <c r="CD4" s="167">
        <v>4000</v>
      </c>
      <c r="CE4" s="167">
        <v>4000</v>
      </c>
      <c r="CF4" s="167">
        <v>4000</v>
      </c>
      <c r="CG4" s="167">
        <v>4000</v>
      </c>
      <c r="CH4" s="167">
        <v>4000</v>
      </c>
      <c r="CI4" s="167">
        <v>4000</v>
      </c>
      <c r="CJ4" s="167">
        <v>4000</v>
      </c>
      <c r="CK4" s="167">
        <v>4000</v>
      </c>
      <c r="CL4" s="167">
        <v>4000</v>
      </c>
      <c r="CM4" s="167">
        <v>4000</v>
      </c>
      <c r="CN4" s="167">
        <v>4000</v>
      </c>
      <c r="CO4" s="167">
        <v>4000</v>
      </c>
      <c r="CP4" s="167">
        <v>4000</v>
      </c>
      <c r="CQ4" s="167">
        <v>4000</v>
      </c>
      <c r="CR4" s="167">
        <v>4000</v>
      </c>
      <c r="CS4" s="167">
        <v>4000</v>
      </c>
      <c r="CT4" s="167">
        <v>4000</v>
      </c>
      <c r="CU4" s="167">
        <v>4000</v>
      </c>
      <c r="CV4" s="167">
        <v>4000</v>
      </c>
      <c r="CW4" s="167">
        <v>4000</v>
      </c>
      <c r="CX4" s="167">
        <v>4000</v>
      </c>
      <c r="CY4" s="167">
        <v>4000</v>
      </c>
      <c r="CZ4" s="167">
        <v>4000</v>
      </c>
      <c r="DA4" s="167">
        <v>4000</v>
      </c>
      <c r="DB4" s="167">
        <v>4000</v>
      </c>
      <c r="DC4" s="167">
        <v>4000</v>
      </c>
      <c r="DD4" s="167">
        <v>4000</v>
      </c>
      <c r="DE4" s="167">
        <v>4000</v>
      </c>
      <c r="DF4" s="167">
        <v>4000</v>
      </c>
      <c r="DG4" s="167">
        <v>4000</v>
      </c>
      <c r="DH4" s="167">
        <v>4000</v>
      </c>
      <c r="DI4" s="167">
        <v>4000</v>
      </c>
      <c r="DJ4" s="167">
        <v>4000</v>
      </c>
      <c r="DK4" s="167">
        <v>4000</v>
      </c>
      <c r="DL4" s="167">
        <v>4000</v>
      </c>
      <c r="DM4" s="167">
        <v>4000</v>
      </c>
      <c r="DN4" s="167">
        <v>4000</v>
      </c>
      <c r="DO4" s="167">
        <v>4000</v>
      </c>
      <c r="DP4" s="167">
        <v>4000</v>
      </c>
      <c r="DQ4" s="167">
        <v>4000</v>
      </c>
      <c r="DR4" s="167">
        <v>4000</v>
      </c>
      <c r="DS4" s="167">
        <v>4000</v>
      </c>
      <c r="DT4" s="167">
        <v>4000</v>
      </c>
      <c r="DU4" s="167">
        <v>4000</v>
      </c>
      <c r="DV4" s="167">
        <v>4000</v>
      </c>
      <c r="DW4" s="167">
        <v>4000</v>
      </c>
      <c r="DX4" s="167">
        <v>4000</v>
      </c>
      <c r="DY4" s="167">
        <v>4000</v>
      </c>
      <c r="DZ4" s="167">
        <v>4000</v>
      </c>
      <c r="EA4" s="167">
        <v>4000</v>
      </c>
      <c r="EB4" s="167">
        <v>4000</v>
      </c>
      <c r="EC4" s="167">
        <v>4000</v>
      </c>
      <c r="ED4" s="167">
        <v>4000</v>
      </c>
      <c r="EE4" s="167">
        <v>4000</v>
      </c>
      <c r="EF4" s="167">
        <v>4000</v>
      </c>
      <c r="EG4" s="167">
        <v>4000</v>
      </c>
      <c r="EH4" s="167">
        <v>4000</v>
      </c>
      <c r="EI4" s="167">
        <v>4000</v>
      </c>
      <c r="EJ4" s="167">
        <v>4000</v>
      </c>
      <c r="EK4" s="167">
        <v>4000</v>
      </c>
      <c r="EL4" s="167">
        <v>4000</v>
      </c>
      <c r="EM4" s="167">
        <v>4000</v>
      </c>
      <c r="EN4" s="167">
        <v>4000</v>
      </c>
      <c r="EO4" s="167">
        <v>4000</v>
      </c>
      <c r="EP4" t="str">
        <f t="shared" ref="EP4:EP67" si="0">ROUNDDOWN(AS4/$EX$4, 0) &amp; "y " &amp; ROUND(MOD(AS4, $EX$4)/$EX$5, 0) &amp; "d"</f>
        <v>0y 95d</v>
      </c>
      <c r="ES4" s="67"/>
      <c r="ET4" s="68" t="s">
        <v>112</v>
      </c>
      <c r="EU4" s="63" t="s">
        <v>119</v>
      </c>
      <c r="EV4" s="67"/>
      <c r="EW4" s="68" t="s">
        <v>117</v>
      </c>
      <c r="EX4" s="67">
        <f>IF(EU4="Real", 31558149.7635, 9203545)</f>
        <v>9203545</v>
      </c>
    </row>
    <row r="5" spans="2:154" ht="15" customHeight="1" x14ac:dyDescent="0.25">
      <c r="B5" s="9">
        <v>2</v>
      </c>
      <c r="D5">
        <v>92035.445972177811</v>
      </c>
      <c r="E5" s="12">
        <v>-13574346895.255716</v>
      </c>
      <c r="F5" s="12">
        <v>-832322867.62990141</v>
      </c>
      <c r="G5" s="12">
        <v>0</v>
      </c>
      <c r="H5" s="12">
        <v>191502.67994532309</v>
      </c>
      <c r="I5" s="12">
        <v>16442679650.331343</v>
      </c>
      <c r="J5" s="12">
        <v>-14284591334.989309</v>
      </c>
      <c r="K5" s="12">
        <v>-1399407.5769721856</v>
      </c>
      <c r="L5" s="12">
        <v>41093.209730968752</v>
      </c>
      <c r="M5" s="12">
        <v>13356801492.884474</v>
      </c>
      <c r="N5" s="12">
        <v>2536061619.7807417</v>
      </c>
      <c r="O5" s="12"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G5" s="8">
        <v>13432568922.398336</v>
      </c>
      <c r="AH5" s="8">
        <v>2126440014.1401999</v>
      </c>
      <c r="AI5" s="8">
        <v>0</v>
      </c>
      <c r="AJ5" s="1"/>
      <c r="AK5" s="18" t="s">
        <v>51</v>
      </c>
      <c r="AL5" s="206"/>
      <c r="AM5" s="206"/>
      <c r="AN5" s="206"/>
      <c r="AO5" s="206"/>
      <c r="AP5" s="208"/>
      <c r="AS5" s="31">
        <v>2221738.299793493</v>
      </c>
      <c r="AT5" s="167">
        <v>4000</v>
      </c>
      <c r="AU5" s="167">
        <v>4000</v>
      </c>
      <c r="AV5" s="167">
        <v>4000</v>
      </c>
      <c r="AW5" s="167">
        <v>4000</v>
      </c>
      <c r="AX5" s="167">
        <v>4000</v>
      </c>
      <c r="AY5" s="167">
        <v>4000</v>
      </c>
      <c r="AZ5" s="167">
        <v>4000</v>
      </c>
      <c r="BA5" s="167">
        <v>4000</v>
      </c>
      <c r="BB5" s="167">
        <v>4000</v>
      </c>
      <c r="BC5" s="167">
        <v>4000</v>
      </c>
      <c r="BD5" s="167">
        <v>4000</v>
      </c>
      <c r="BE5" s="167">
        <v>4000</v>
      </c>
      <c r="BF5" s="167">
        <v>4000</v>
      </c>
      <c r="BG5" s="167">
        <v>4000</v>
      </c>
      <c r="BH5" s="167">
        <v>4000</v>
      </c>
      <c r="BI5" s="167">
        <v>4000</v>
      </c>
      <c r="BJ5" s="167">
        <v>4000</v>
      </c>
      <c r="BK5" s="167">
        <v>4000</v>
      </c>
      <c r="BL5" s="167">
        <v>4000</v>
      </c>
      <c r="BM5" s="167">
        <v>4000</v>
      </c>
      <c r="BN5" s="167">
        <v>4000</v>
      </c>
      <c r="BO5" s="167">
        <v>4000</v>
      </c>
      <c r="BP5" s="167">
        <v>4000</v>
      </c>
      <c r="BQ5" s="167">
        <v>4000</v>
      </c>
      <c r="BR5" s="167">
        <v>4000</v>
      </c>
      <c r="BS5" s="167">
        <v>4000</v>
      </c>
      <c r="BT5" s="167">
        <v>4000</v>
      </c>
      <c r="BU5" s="167">
        <v>4000</v>
      </c>
      <c r="BV5" s="167">
        <v>4000</v>
      </c>
      <c r="BW5" s="167">
        <v>4000</v>
      </c>
      <c r="BX5" s="167">
        <v>4000</v>
      </c>
      <c r="BY5" s="167">
        <v>4000</v>
      </c>
      <c r="BZ5" s="167">
        <v>4000</v>
      </c>
      <c r="CA5" s="167">
        <v>3936.6549461449549</v>
      </c>
      <c r="CB5" s="167">
        <v>3871.1863248286654</v>
      </c>
      <c r="CC5" s="167">
        <v>3898.3091078952311</v>
      </c>
      <c r="CD5" s="167">
        <v>4000</v>
      </c>
      <c r="CE5" s="167">
        <v>4000</v>
      </c>
      <c r="CF5" s="167">
        <v>4000</v>
      </c>
      <c r="CG5" s="167">
        <v>4000</v>
      </c>
      <c r="CH5" s="167">
        <v>4000</v>
      </c>
      <c r="CI5" s="167">
        <v>4000</v>
      </c>
      <c r="CJ5" s="167">
        <v>4000</v>
      </c>
      <c r="CK5" s="167">
        <v>4000</v>
      </c>
      <c r="CL5" s="167">
        <v>4000</v>
      </c>
      <c r="CM5" s="167">
        <v>4000</v>
      </c>
      <c r="CN5" s="167">
        <v>4000</v>
      </c>
      <c r="CO5" s="167">
        <v>4000</v>
      </c>
      <c r="CP5" s="167">
        <v>4000</v>
      </c>
      <c r="CQ5" s="167">
        <v>4000</v>
      </c>
      <c r="CR5" s="167">
        <v>4000</v>
      </c>
      <c r="CS5" s="167">
        <v>4000</v>
      </c>
      <c r="CT5" s="167">
        <v>4000</v>
      </c>
      <c r="CU5" s="167">
        <v>4000</v>
      </c>
      <c r="CV5" s="167">
        <v>4000</v>
      </c>
      <c r="CW5" s="167">
        <v>4000</v>
      </c>
      <c r="CX5" s="167">
        <v>4000</v>
      </c>
      <c r="CY5" s="167">
        <v>4000</v>
      </c>
      <c r="CZ5" s="167">
        <v>4000</v>
      </c>
      <c r="DA5" s="167">
        <v>4000</v>
      </c>
      <c r="DB5" s="167">
        <v>4000</v>
      </c>
      <c r="DC5" s="167">
        <v>4000</v>
      </c>
      <c r="DD5" s="167">
        <v>4000</v>
      </c>
      <c r="DE5" s="167">
        <v>4000</v>
      </c>
      <c r="DF5" s="167">
        <v>4000</v>
      </c>
      <c r="DG5" s="167">
        <v>4000</v>
      </c>
      <c r="DH5" s="167">
        <v>4000</v>
      </c>
      <c r="DI5" s="167">
        <v>4000</v>
      </c>
      <c r="DJ5" s="167">
        <v>4000</v>
      </c>
      <c r="DK5" s="167">
        <v>4000</v>
      </c>
      <c r="DL5" s="167">
        <v>4000</v>
      </c>
      <c r="DM5" s="167">
        <v>4000</v>
      </c>
      <c r="DN5" s="167">
        <v>4000</v>
      </c>
      <c r="DO5" s="167">
        <v>4000</v>
      </c>
      <c r="DP5" s="167">
        <v>4000</v>
      </c>
      <c r="DQ5" s="167">
        <v>4000</v>
      </c>
      <c r="DR5" s="167">
        <v>4000</v>
      </c>
      <c r="DS5" s="167">
        <v>4000</v>
      </c>
      <c r="DT5" s="167">
        <v>4000</v>
      </c>
      <c r="DU5" s="167">
        <v>4000</v>
      </c>
      <c r="DV5" s="167">
        <v>4000</v>
      </c>
      <c r="DW5" s="167">
        <v>4000</v>
      </c>
      <c r="DX5" s="167">
        <v>4000</v>
      </c>
      <c r="DY5" s="167">
        <v>4000</v>
      </c>
      <c r="DZ5" s="167">
        <v>4000</v>
      </c>
      <c r="EA5" s="167">
        <v>4000</v>
      </c>
      <c r="EB5" s="167">
        <v>4000</v>
      </c>
      <c r="EC5" s="167">
        <v>4000</v>
      </c>
      <c r="ED5" s="167">
        <v>4000</v>
      </c>
      <c r="EE5" s="167">
        <v>4000</v>
      </c>
      <c r="EF5" s="167">
        <v>4000</v>
      </c>
      <c r="EG5" s="167">
        <v>4000</v>
      </c>
      <c r="EH5" s="167">
        <v>4000</v>
      </c>
      <c r="EI5" s="167">
        <v>4000</v>
      </c>
      <c r="EJ5" s="167">
        <v>4000</v>
      </c>
      <c r="EK5" s="167">
        <v>4000</v>
      </c>
      <c r="EL5" s="167">
        <v>4000</v>
      </c>
      <c r="EM5" s="167">
        <v>4000</v>
      </c>
      <c r="EN5" s="167">
        <v>4000</v>
      </c>
      <c r="EO5" s="167">
        <v>4000</v>
      </c>
      <c r="EP5" t="str">
        <f t="shared" si="0"/>
        <v>0y 103d</v>
      </c>
      <c r="ES5" s="67"/>
      <c r="ET5" s="68" t="s">
        <v>21</v>
      </c>
      <c r="EU5" s="63" t="s">
        <v>4</v>
      </c>
      <c r="EV5" s="67"/>
      <c r="EW5" s="68" t="s">
        <v>118</v>
      </c>
      <c r="EX5" s="67">
        <f>IF(EU4="Real", 86400, 21600)</f>
        <v>21600</v>
      </c>
    </row>
    <row r="6" spans="2:154" ht="15" customHeight="1" x14ac:dyDescent="0.25">
      <c r="B6" s="9">
        <v>3</v>
      </c>
      <c r="D6">
        <v>184070.89194435108</v>
      </c>
      <c r="E6" s="12">
        <v>-13495299037.147917</v>
      </c>
      <c r="F6" s="12">
        <v>-1683020762.4009373</v>
      </c>
      <c r="G6" s="12">
        <v>0</v>
      </c>
      <c r="H6" s="12">
        <v>382926.07109727478</v>
      </c>
      <c r="I6" s="12">
        <v>17301757361.658581</v>
      </c>
      <c r="J6" s="12">
        <v>-13219824303.568651</v>
      </c>
      <c r="K6" s="12">
        <v>-2825252.4814099032</v>
      </c>
      <c r="L6" s="12">
        <v>82165.989964989101</v>
      </c>
      <c r="M6" s="12">
        <v>13270558268.401222</v>
      </c>
      <c r="N6" s="12">
        <v>2943483400.1131291</v>
      </c>
      <c r="O6" s="12"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G6" s="8"/>
      <c r="AH6" s="8"/>
      <c r="AI6" s="8"/>
      <c r="AK6" s="11" t="s">
        <v>52</v>
      </c>
      <c r="AL6" s="19"/>
      <c r="AM6" s="19"/>
      <c r="AN6" s="19"/>
      <c r="AO6" s="19"/>
      <c r="AS6" s="31">
        <v>2400607.0612175455</v>
      </c>
      <c r="AT6" s="167">
        <v>4000</v>
      </c>
      <c r="AU6" s="167">
        <v>4000</v>
      </c>
      <c r="AV6" s="167">
        <v>4000</v>
      </c>
      <c r="AW6" s="167">
        <v>4000</v>
      </c>
      <c r="AX6" s="167">
        <v>4000</v>
      </c>
      <c r="AY6" s="167">
        <v>4000</v>
      </c>
      <c r="AZ6" s="167">
        <v>4000</v>
      </c>
      <c r="BA6" s="167">
        <v>4000</v>
      </c>
      <c r="BB6" s="167">
        <v>4000</v>
      </c>
      <c r="BC6" s="167">
        <v>4000</v>
      </c>
      <c r="BD6" s="167">
        <v>4000</v>
      </c>
      <c r="BE6" s="167">
        <v>4000</v>
      </c>
      <c r="BF6" s="167">
        <v>4000</v>
      </c>
      <c r="BG6" s="167">
        <v>4000</v>
      </c>
      <c r="BH6" s="167">
        <v>4000</v>
      </c>
      <c r="BI6" s="167">
        <v>4000</v>
      </c>
      <c r="BJ6" s="167">
        <v>4000</v>
      </c>
      <c r="BK6" s="167">
        <v>4000</v>
      </c>
      <c r="BL6" s="167">
        <v>4000</v>
      </c>
      <c r="BM6" s="167">
        <v>4000</v>
      </c>
      <c r="BN6" s="167">
        <v>4000</v>
      </c>
      <c r="BO6" s="167">
        <v>4000</v>
      </c>
      <c r="BP6" s="167">
        <v>4000</v>
      </c>
      <c r="BQ6" s="167">
        <v>4000</v>
      </c>
      <c r="BR6" s="167">
        <v>4000</v>
      </c>
      <c r="BS6" s="167">
        <v>4000</v>
      </c>
      <c r="BT6" s="167">
        <v>4000</v>
      </c>
      <c r="BU6" s="167">
        <v>4000</v>
      </c>
      <c r="BV6" s="167">
        <v>4000</v>
      </c>
      <c r="BW6" s="167">
        <v>4000</v>
      </c>
      <c r="BX6" s="167">
        <v>4000</v>
      </c>
      <c r="BY6" s="167">
        <v>3867.8243070221811</v>
      </c>
      <c r="BZ6" s="167">
        <v>3677.7619035469779</v>
      </c>
      <c r="CA6" s="167">
        <v>3564.3699394485207</v>
      </c>
      <c r="CB6" s="167">
        <v>3532.3214236227623</v>
      </c>
      <c r="CC6" s="167">
        <v>3585.8809936956313</v>
      </c>
      <c r="CD6" s="167">
        <v>3728.3250176051497</v>
      </c>
      <c r="CE6" s="167">
        <v>3960.743654730687</v>
      </c>
      <c r="CF6" s="167">
        <v>4000</v>
      </c>
      <c r="CG6" s="167">
        <v>4000</v>
      </c>
      <c r="CH6" s="167">
        <v>4000</v>
      </c>
      <c r="CI6" s="167">
        <v>4000</v>
      </c>
      <c r="CJ6" s="167">
        <v>4000</v>
      </c>
      <c r="CK6" s="167">
        <v>4000</v>
      </c>
      <c r="CL6" s="167">
        <v>4000</v>
      </c>
      <c r="CM6" s="167">
        <v>4000</v>
      </c>
      <c r="CN6" s="167">
        <v>4000</v>
      </c>
      <c r="CO6" s="167">
        <v>4000</v>
      </c>
      <c r="CP6" s="167">
        <v>4000</v>
      </c>
      <c r="CQ6" s="167">
        <v>4000</v>
      </c>
      <c r="CR6" s="167">
        <v>4000</v>
      </c>
      <c r="CS6" s="167">
        <v>4000</v>
      </c>
      <c r="CT6" s="167">
        <v>4000</v>
      </c>
      <c r="CU6" s="167">
        <v>4000</v>
      </c>
      <c r="CV6" s="167">
        <v>4000</v>
      </c>
      <c r="CW6" s="167">
        <v>4000</v>
      </c>
      <c r="CX6" s="167">
        <v>4000</v>
      </c>
      <c r="CY6" s="167">
        <v>4000</v>
      </c>
      <c r="CZ6" s="167">
        <v>4000</v>
      </c>
      <c r="DA6" s="167">
        <v>4000</v>
      </c>
      <c r="DB6" s="167">
        <v>4000</v>
      </c>
      <c r="DC6" s="167">
        <v>4000</v>
      </c>
      <c r="DD6" s="167">
        <v>4000</v>
      </c>
      <c r="DE6" s="167">
        <v>4000</v>
      </c>
      <c r="DF6" s="167">
        <v>4000</v>
      </c>
      <c r="DG6" s="167">
        <v>4000</v>
      </c>
      <c r="DH6" s="167">
        <v>4000</v>
      </c>
      <c r="DI6" s="167">
        <v>4000</v>
      </c>
      <c r="DJ6" s="167">
        <v>4000</v>
      </c>
      <c r="DK6" s="167">
        <v>4000</v>
      </c>
      <c r="DL6" s="167">
        <v>4000</v>
      </c>
      <c r="DM6" s="167">
        <v>4000</v>
      </c>
      <c r="DN6" s="167">
        <v>4000</v>
      </c>
      <c r="DO6" s="167">
        <v>4000</v>
      </c>
      <c r="DP6" s="167">
        <v>4000</v>
      </c>
      <c r="DQ6" s="167">
        <v>4000</v>
      </c>
      <c r="DR6" s="167">
        <v>4000</v>
      </c>
      <c r="DS6" s="167">
        <v>4000</v>
      </c>
      <c r="DT6" s="167">
        <v>4000</v>
      </c>
      <c r="DU6" s="167">
        <v>4000</v>
      </c>
      <c r="DV6" s="167">
        <v>4000</v>
      </c>
      <c r="DW6" s="167">
        <v>4000</v>
      </c>
      <c r="DX6" s="167">
        <v>4000</v>
      </c>
      <c r="DY6" s="167">
        <v>4000</v>
      </c>
      <c r="DZ6" s="167">
        <v>4000</v>
      </c>
      <c r="EA6" s="167">
        <v>4000</v>
      </c>
      <c r="EB6" s="167">
        <v>4000</v>
      </c>
      <c r="EC6" s="167">
        <v>4000</v>
      </c>
      <c r="ED6" s="167">
        <v>4000</v>
      </c>
      <c r="EE6" s="167">
        <v>4000</v>
      </c>
      <c r="EF6" s="167">
        <v>4000</v>
      </c>
      <c r="EG6" s="167">
        <v>4000</v>
      </c>
      <c r="EH6" s="167">
        <v>4000</v>
      </c>
      <c r="EI6" s="167">
        <v>4000</v>
      </c>
      <c r="EJ6" s="167">
        <v>4000</v>
      </c>
      <c r="EK6" s="167">
        <v>4000</v>
      </c>
      <c r="EL6" s="167">
        <v>4000</v>
      </c>
      <c r="EM6" s="167">
        <v>4000</v>
      </c>
      <c r="EN6" s="167">
        <v>4000</v>
      </c>
      <c r="EO6" s="167">
        <v>4000</v>
      </c>
      <c r="EP6" t="str">
        <f t="shared" si="0"/>
        <v>0y 111d</v>
      </c>
      <c r="ES6" s="67"/>
      <c r="ET6" s="68" t="s">
        <v>40</v>
      </c>
      <c r="EU6" s="63" t="s">
        <v>7</v>
      </c>
      <c r="EV6" s="67"/>
      <c r="EW6" s="67"/>
      <c r="EX6" s="67"/>
    </row>
    <row r="7" spans="2:154" ht="15" customHeight="1" x14ac:dyDescent="0.25">
      <c r="B7" s="9">
        <v>4</v>
      </c>
      <c r="D7">
        <v>276106.33791652496</v>
      </c>
      <c r="E7" s="12">
        <v>-13362991399.156162</v>
      </c>
      <c r="F7" s="12">
        <v>-2527076543.12183</v>
      </c>
      <c r="G7" s="12">
        <v>0</v>
      </c>
      <c r="H7" s="12">
        <v>574189.48668806674</v>
      </c>
      <c r="I7" s="12">
        <v>18088233097.935776</v>
      </c>
      <c r="J7" s="12">
        <v>-12101021892.475262</v>
      </c>
      <c r="K7" s="12">
        <v>-4238168.0119404523</v>
      </c>
      <c r="L7" s="12">
        <v>123230.77404676258</v>
      </c>
      <c r="M7" s="12">
        <v>13173886483.206926</v>
      </c>
      <c r="N7" s="12">
        <v>3348509031.2842393</v>
      </c>
      <c r="O7" s="12"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G7" s="254" t="s">
        <v>35</v>
      </c>
      <c r="AH7" s="254"/>
      <c r="AI7" s="254"/>
      <c r="AK7" s="11" t="s">
        <v>58</v>
      </c>
      <c r="AL7" s="206">
        <v>1050.7518871050206</v>
      </c>
      <c r="AM7" s="206">
        <v>0</v>
      </c>
      <c r="AN7" s="206">
        <v>648.0864942859107</v>
      </c>
      <c r="AO7" s="206">
        <v>1698.8383813909313</v>
      </c>
      <c r="AP7" t="s">
        <v>31</v>
      </c>
      <c r="AS7" s="31">
        <v>2579475.8226415981</v>
      </c>
      <c r="AT7" s="167">
        <v>4000</v>
      </c>
      <c r="AU7" s="167">
        <v>4000</v>
      </c>
      <c r="AV7" s="167">
        <v>4000</v>
      </c>
      <c r="AW7" s="167">
        <v>4000</v>
      </c>
      <c r="AX7" s="167">
        <v>4000</v>
      </c>
      <c r="AY7" s="167">
        <v>4000</v>
      </c>
      <c r="AZ7" s="167">
        <v>4000</v>
      </c>
      <c r="BA7" s="167">
        <v>4000</v>
      </c>
      <c r="BB7" s="167">
        <v>4000</v>
      </c>
      <c r="BC7" s="167">
        <v>4000</v>
      </c>
      <c r="BD7" s="167">
        <v>4000</v>
      </c>
      <c r="BE7" s="167">
        <v>4000</v>
      </c>
      <c r="BF7" s="167">
        <v>4000</v>
      </c>
      <c r="BG7" s="167">
        <v>4000</v>
      </c>
      <c r="BH7" s="167">
        <v>4000</v>
      </c>
      <c r="BI7" s="167">
        <v>4000</v>
      </c>
      <c r="BJ7" s="167">
        <v>4000</v>
      </c>
      <c r="BK7" s="167">
        <v>4000</v>
      </c>
      <c r="BL7" s="167">
        <v>4000</v>
      </c>
      <c r="BM7" s="167">
        <v>4000</v>
      </c>
      <c r="BN7" s="167">
        <v>4000</v>
      </c>
      <c r="BO7" s="167">
        <v>4000</v>
      </c>
      <c r="BP7" s="167">
        <v>4000</v>
      </c>
      <c r="BQ7" s="167">
        <v>4000</v>
      </c>
      <c r="BR7" s="167">
        <v>4000</v>
      </c>
      <c r="BS7" s="167">
        <v>4000</v>
      </c>
      <c r="BT7" s="167">
        <v>4000</v>
      </c>
      <c r="BU7" s="167">
        <v>4000</v>
      </c>
      <c r="BV7" s="167">
        <v>4000</v>
      </c>
      <c r="BW7" s="167">
        <v>3980.9701735215622</v>
      </c>
      <c r="BX7" s="167">
        <v>3704.5856858417228</v>
      </c>
      <c r="BY7" s="167">
        <v>3488.7934297085403</v>
      </c>
      <c r="BZ7" s="167">
        <v>3338.8943755275309</v>
      </c>
      <c r="CA7" s="167">
        <v>3259.8396199256213</v>
      </c>
      <c r="CB7" s="167">
        <v>3256.321631723923</v>
      </c>
      <c r="CC7" s="167">
        <v>3332.5294932042298</v>
      </c>
      <c r="CD7" s="167">
        <v>3491.3504876441466</v>
      </c>
      <c r="CE7" s="167">
        <v>3733.1663895716856</v>
      </c>
      <c r="CF7" s="167">
        <v>4000</v>
      </c>
      <c r="CG7" s="167">
        <v>4000</v>
      </c>
      <c r="CH7" s="167">
        <v>4000</v>
      </c>
      <c r="CI7" s="167">
        <v>4000</v>
      </c>
      <c r="CJ7" s="167">
        <v>4000</v>
      </c>
      <c r="CK7" s="167">
        <v>4000</v>
      </c>
      <c r="CL7" s="167">
        <v>4000</v>
      </c>
      <c r="CM7" s="167">
        <v>4000</v>
      </c>
      <c r="CN7" s="167">
        <v>4000</v>
      </c>
      <c r="CO7" s="167">
        <v>4000</v>
      </c>
      <c r="CP7" s="167">
        <v>4000</v>
      </c>
      <c r="CQ7" s="167">
        <v>4000</v>
      </c>
      <c r="CR7" s="167">
        <v>4000</v>
      </c>
      <c r="CS7" s="167">
        <v>4000</v>
      </c>
      <c r="CT7" s="167">
        <v>4000</v>
      </c>
      <c r="CU7" s="167">
        <v>4000</v>
      </c>
      <c r="CV7" s="167">
        <v>4000</v>
      </c>
      <c r="CW7" s="167">
        <v>4000</v>
      </c>
      <c r="CX7" s="167">
        <v>4000</v>
      </c>
      <c r="CY7" s="167">
        <v>4000</v>
      </c>
      <c r="CZ7" s="167">
        <v>4000</v>
      </c>
      <c r="DA7" s="167">
        <v>4000</v>
      </c>
      <c r="DB7" s="167">
        <v>4000</v>
      </c>
      <c r="DC7" s="167">
        <v>4000</v>
      </c>
      <c r="DD7" s="167">
        <v>4000</v>
      </c>
      <c r="DE7" s="167">
        <v>4000</v>
      </c>
      <c r="DF7" s="167">
        <v>4000</v>
      </c>
      <c r="DG7" s="167">
        <v>4000</v>
      </c>
      <c r="DH7" s="167">
        <v>4000</v>
      </c>
      <c r="DI7" s="167">
        <v>4000</v>
      </c>
      <c r="DJ7" s="167">
        <v>4000</v>
      </c>
      <c r="DK7" s="167">
        <v>4000</v>
      </c>
      <c r="DL7" s="167">
        <v>4000</v>
      </c>
      <c r="DM7" s="167">
        <v>4000</v>
      </c>
      <c r="DN7" s="167">
        <v>4000</v>
      </c>
      <c r="DO7" s="167">
        <v>4000</v>
      </c>
      <c r="DP7" s="167">
        <v>4000</v>
      </c>
      <c r="DQ7" s="167">
        <v>4000</v>
      </c>
      <c r="DR7" s="167">
        <v>4000</v>
      </c>
      <c r="DS7" s="167">
        <v>4000</v>
      </c>
      <c r="DT7" s="167">
        <v>4000</v>
      </c>
      <c r="DU7" s="167">
        <v>4000</v>
      </c>
      <c r="DV7" s="167">
        <v>4000</v>
      </c>
      <c r="DW7" s="167">
        <v>4000</v>
      </c>
      <c r="DX7" s="167">
        <v>4000</v>
      </c>
      <c r="DY7" s="167">
        <v>4000</v>
      </c>
      <c r="DZ7" s="167">
        <v>4000</v>
      </c>
      <c r="EA7" s="167">
        <v>4000</v>
      </c>
      <c r="EB7" s="167">
        <v>4000</v>
      </c>
      <c r="EC7" s="167">
        <v>4000</v>
      </c>
      <c r="ED7" s="167">
        <v>4000</v>
      </c>
      <c r="EE7" s="167">
        <v>4000</v>
      </c>
      <c r="EF7" s="167">
        <v>4000</v>
      </c>
      <c r="EG7" s="167">
        <v>4000</v>
      </c>
      <c r="EH7" s="167">
        <v>4000</v>
      </c>
      <c r="EI7" s="167">
        <v>4000</v>
      </c>
      <c r="EJ7" s="167">
        <v>4000</v>
      </c>
      <c r="EK7" s="167">
        <v>4000</v>
      </c>
      <c r="EL7" s="167">
        <v>4000</v>
      </c>
      <c r="EM7" s="167">
        <v>4000</v>
      </c>
      <c r="EN7" s="167">
        <v>4000</v>
      </c>
      <c r="EO7" s="167">
        <v>4000</v>
      </c>
      <c r="EP7" t="str">
        <f t="shared" si="0"/>
        <v>0y 119d</v>
      </c>
      <c r="ES7" s="67"/>
      <c r="ET7" s="68" t="s">
        <v>113</v>
      </c>
      <c r="EU7" s="63" t="str">
        <f>AT103</f>
        <v>y1 d1</v>
      </c>
      <c r="EV7" s="67"/>
      <c r="EW7" s="67"/>
      <c r="EX7" s="67"/>
    </row>
    <row r="8" spans="2:154" ht="15" customHeight="1" x14ac:dyDescent="0.25">
      <c r="B8" s="9">
        <v>5</v>
      </c>
      <c r="D8">
        <v>368141.78388869757</v>
      </c>
      <c r="E8" s="12">
        <v>-13177946139.081997</v>
      </c>
      <c r="F8" s="12">
        <v>-3361159107.2384634</v>
      </c>
      <c r="G8" s="12">
        <v>0</v>
      </c>
      <c r="H8" s="12">
        <v>765213.17299108801</v>
      </c>
      <c r="I8" s="12">
        <v>18798626426.658154</v>
      </c>
      <c r="J8" s="12">
        <v>-10933381445.980043</v>
      </c>
      <c r="K8" s="12">
        <v>-5631717.5920958845</v>
      </c>
      <c r="L8" s="12">
        <v>164299.99193704315</v>
      </c>
      <c r="M8" s="12">
        <v>13066833657.932123</v>
      </c>
      <c r="N8" s="12">
        <v>3750942413.9339414</v>
      </c>
      <c r="O8" s="12"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G8" s="9" t="s">
        <v>22</v>
      </c>
      <c r="AH8" s="9" t="s">
        <v>23</v>
      </c>
      <c r="AI8" s="9" t="s">
        <v>26</v>
      </c>
      <c r="AS8" s="31">
        <v>2758344.5840656506</v>
      </c>
      <c r="AT8" s="167">
        <v>4000</v>
      </c>
      <c r="AU8" s="167">
        <v>4000</v>
      </c>
      <c r="AV8" s="167">
        <v>4000</v>
      </c>
      <c r="AW8" s="167">
        <v>4000</v>
      </c>
      <c r="AX8" s="167">
        <v>4000</v>
      </c>
      <c r="AY8" s="167">
        <v>4000</v>
      </c>
      <c r="AZ8" s="167">
        <v>4000</v>
      </c>
      <c r="BA8" s="167">
        <v>4000</v>
      </c>
      <c r="BB8" s="167">
        <v>4000</v>
      </c>
      <c r="BC8" s="167">
        <v>4000</v>
      </c>
      <c r="BD8" s="167">
        <v>4000</v>
      </c>
      <c r="BE8" s="167">
        <v>4000</v>
      </c>
      <c r="BF8" s="167">
        <v>4000</v>
      </c>
      <c r="BG8" s="167">
        <v>4000</v>
      </c>
      <c r="BH8" s="167">
        <v>4000</v>
      </c>
      <c r="BI8" s="167">
        <v>4000</v>
      </c>
      <c r="BJ8" s="167">
        <v>4000</v>
      </c>
      <c r="BK8" s="167">
        <v>4000</v>
      </c>
      <c r="BL8" s="167">
        <v>4000</v>
      </c>
      <c r="BM8" s="167">
        <v>4000</v>
      </c>
      <c r="BN8" s="167">
        <v>4000</v>
      </c>
      <c r="BO8" s="167">
        <v>4000</v>
      </c>
      <c r="BP8" s="167">
        <v>4000</v>
      </c>
      <c r="BQ8" s="167">
        <v>4000</v>
      </c>
      <c r="BR8" s="167">
        <v>4000</v>
      </c>
      <c r="BS8" s="167">
        <v>4000</v>
      </c>
      <c r="BT8" s="167">
        <v>4000</v>
      </c>
      <c r="BU8" s="167">
        <v>4000</v>
      </c>
      <c r="BV8" s="167">
        <v>3866.9618896533052</v>
      </c>
      <c r="BW8" s="167">
        <v>3583.528128901964</v>
      </c>
      <c r="BX8" s="167">
        <v>3350.8970532267444</v>
      </c>
      <c r="BY8" s="167">
        <v>3174.3526492506699</v>
      </c>
      <c r="BZ8" s="167">
        <v>3058.9430628897553</v>
      </c>
      <c r="CA8" s="167">
        <v>3009.5446188555711</v>
      </c>
      <c r="CB8" s="167">
        <v>3030.7808347900527</v>
      </c>
      <c r="CC8" s="167">
        <v>3126.5626691438647</v>
      </c>
      <c r="CD8" s="167">
        <v>3299.1678417144021</v>
      </c>
      <c r="CE8" s="167">
        <v>3548.18736997627</v>
      </c>
      <c r="CF8" s="167">
        <v>3869.9748155679799</v>
      </c>
      <c r="CG8" s="167">
        <v>4000</v>
      </c>
      <c r="CH8" s="167">
        <v>4000</v>
      </c>
      <c r="CI8" s="167">
        <v>4000</v>
      </c>
      <c r="CJ8" s="167">
        <v>4000</v>
      </c>
      <c r="CK8" s="167">
        <v>4000</v>
      </c>
      <c r="CL8" s="167">
        <v>4000</v>
      </c>
      <c r="CM8" s="167">
        <v>4000</v>
      </c>
      <c r="CN8" s="167">
        <v>4000</v>
      </c>
      <c r="CO8" s="167">
        <v>4000</v>
      </c>
      <c r="CP8" s="167">
        <v>4000</v>
      </c>
      <c r="CQ8" s="167">
        <v>4000</v>
      </c>
      <c r="CR8" s="167">
        <v>4000</v>
      </c>
      <c r="CS8" s="167">
        <v>4000</v>
      </c>
      <c r="CT8" s="167">
        <v>4000</v>
      </c>
      <c r="CU8" s="167">
        <v>4000</v>
      </c>
      <c r="CV8" s="167">
        <v>4000</v>
      </c>
      <c r="CW8" s="167">
        <v>4000</v>
      </c>
      <c r="CX8" s="167">
        <v>4000</v>
      </c>
      <c r="CY8" s="167">
        <v>4000</v>
      </c>
      <c r="CZ8" s="167">
        <v>4000</v>
      </c>
      <c r="DA8" s="167">
        <v>4000</v>
      </c>
      <c r="DB8" s="167">
        <v>4000</v>
      </c>
      <c r="DC8" s="167">
        <v>4000</v>
      </c>
      <c r="DD8" s="167">
        <v>4000</v>
      </c>
      <c r="DE8" s="167">
        <v>4000</v>
      </c>
      <c r="DF8" s="167">
        <v>4000</v>
      </c>
      <c r="DG8" s="167">
        <v>4000</v>
      </c>
      <c r="DH8" s="167">
        <v>4000</v>
      </c>
      <c r="DI8" s="167">
        <v>4000</v>
      </c>
      <c r="DJ8" s="167">
        <v>4000</v>
      </c>
      <c r="DK8" s="167">
        <v>4000</v>
      </c>
      <c r="DL8" s="167">
        <v>4000</v>
      </c>
      <c r="DM8" s="167">
        <v>4000</v>
      </c>
      <c r="DN8" s="167">
        <v>4000</v>
      </c>
      <c r="DO8" s="167">
        <v>4000</v>
      </c>
      <c r="DP8" s="167">
        <v>4000</v>
      </c>
      <c r="DQ8" s="167">
        <v>4000</v>
      </c>
      <c r="DR8" s="167">
        <v>4000</v>
      </c>
      <c r="DS8" s="167">
        <v>4000</v>
      </c>
      <c r="DT8" s="167">
        <v>4000</v>
      </c>
      <c r="DU8" s="167">
        <v>4000</v>
      </c>
      <c r="DV8" s="167">
        <v>4000</v>
      </c>
      <c r="DW8" s="167">
        <v>4000</v>
      </c>
      <c r="DX8" s="167">
        <v>4000</v>
      </c>
      <c r="DY8" s="167">
        <v>4000</v>
      </c>
      <c r="DZ8" s="167">
        <v>4000</v>
      </c>
      <c r="EA8" s="167">
        <v>4000</v>
      </c>
      <c r="EB8" s="167">
        <v>4000</v>
      </c>
      <c r="EC8" s="167">
        <v>4000</v>
      </c>
      <c r="ED8" s="167">
        <v>4000</v>
      </c>
      <c r="EE8" s="167">
        <v>4000</v>
      </c>
      <c r="EF8" s="167">
        <v>4000</v>
      </c>
      <c r="EG8" s="167">
        <v>4000</v>
      </c>
      <c r="EH8" s="167">
        <v>4000</v>
      </c>
      <c r="EI8" s="167">
        <v>4000</v>
      </c>
      <c r="EJ8" s="167">
        <v>4000</v>
      </c>
      <c r="EK8" s="167">
        <v>4000</v>
      </c>
      <c r="EL8" s="167">
        <v>4000</v>
      </c>
      <c r="EM8" s="167">
        <v>4000</v>
      </c>
      <c r="EN8" s="167">
        <v>4000</v>
      </c>
      <c r="EO8" s="167">
        <v>4000</v>
      </c>
      <c r="EP8" t="str">
        <f t="shared" si="0"/>
        <v>0y 128d</v>
      </c>
      <c r="ES8" s="67"/>
      <c r="ET8" s="68" t="s">
        <v>116</v>
      </c>
      <c r="EU8" s="63" t="str">
        <f>EO103</f>
        <v>y3 d1</v>
      </c>
      <c r="EV8" s="67"/>
      <c r="EW8" s="67"/>
      <c r="EX8" s="67"/>
    </row>
    <row r="9" spans="2:154" ht="15" customHeight="1" x14ac:dyDescent="0.25">
      <c r="B9" s="9">
        <v>6</v>
      </c>
      <c r="D9">
        <v>460177.22986087151</v>
      </c>
      <c r="E9" s="12">
        <v>-12940893546.027786</v>
      </c>
      <c r="F9" s="12">
        <v>-4181976711.926374</v>
      </c>
      <c r="G9" s="12">
        <v>0</v>
      </c>
      <c r="H9" s="12">
        <v>955918.76917848317</v>
      </c>
      <c r="I9" s="12">
        <v>19429863860.077866</v>
      </c>
      <c r="J9" s="12">
        <v>-9722334940.2874546</v>
      </c>
      <c r="K9" s="12">
        <v>-6999588.0891197426</v>
      </c>
      <c r="L9" s="12">
        <v>205386.0754732794</v>
      </c>
      <c r="M9" s="12">
        <v>12949447652.824255</v>
      </c>
      <c r="N9" s="12">
        <v>4150587445.1172233</v>
      </c>
      <c r="O9" s="12"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G9" s="8">
        <v>0</v>
      </c>
      <c r="AH9" s="8">
        <v>0</v>
      </c>
      <c r="AI9" s="8">
        <v>0</v>
      </c>
      <c r="AK9" s="209" t="s">
        <v>219</v>
      </c>
      <c r="AS9" s="31">
        <v>2937213.3454897031</v>
      </c>
      <c r="AT9" s="167">
        <v>4000</v>
      </c>
      <c r="AU9" s="167">
        <v>4000</v>
      </c>
      <c r="AV9" s="167">
        <v>4000</v>
      </c>
      <c r="AW9" s="167">
        <v>4000</v>
      </c>
      <c r="AX9" s="167">
        <v>4000</v>
      </c>
      <c r="AY9" s="167">
        <v>4000</v>
      </c>
      <c r="AZ9" s="167">
        <v>4000</v>
      </c>
      <c r="BA9" s="167">
        <v>4000</v>
      </c>
      <c r="BB9" s="167">
        <v>4000</v>
      </c>
      <c r="BC9" s="167">
        <v>4000</v>
      </c>
      <c r="BD9" s="167">
        <v>4000</v>
      </c>
      <c r="BE9" s="167">
        <v>4000</v>
      </c>
      <c r="BF9" s="167">
        <v>4000</v>
      </c>
      <c r="BG9" s="167">
        <v>4000</v>
      </c>
      <c r="BH9" s="167">
        <v>4000</v>
      </c>
      <c r="BI9" s="167">
        <v>4000</v>
      </c>
      <c r="BJ9" s="167">
        <v>4000</v>
      </c>
      <c r="BK9" s="167">
        <v>4000</v>
      </c>
      <c r="BL9" s="167">
        <v>4000</v>
      </c>
      <c r="BM9" s="167">
        <v>4000</v>
      </c>
      <c r="BN9" s="167">
        <v>4000</v>
      </c>
      <c r="BO9" s="167">
        <v>4000</v>
      </c>
      <c r="BP9" s="167">
        <v>4000</v>
      </c>
      <c r="BQ9" s="167">
        <v>4000</v>
      </c>
      <c r="BR9" s="167">
        <v>4000</v>
      </c>
      <c r="BS9" s="167">
        <v>4000</v>
      </c>
      <c r="BT9" s="167">
        <v>4000</v>
      </c>
      <c r="BU9" s="167">
        <v>3775.9320250638993</v>
      </c>
      <c r="BV9" s="167">
        <v>3491.633427079048</v>
      </c>
      <c r="BW9" s="167">
        <v>3249.5700730550816</v>
      </c>
      <c r="BX9" s="167">
        <v>3054.8063562362804</v>
      </c>
      <c r="BY9" s="167">
        <v>2912.3078773452653</v>
      </c>
      <c r="BZ9" s="167">
        <v>2826.9574710126008</v>
      </c>
      <c r="CA9" s="167">
        <v>2803.5249943554545</v>
      </c>
      <c r="CB9" s="167">
        <v>2846.4177773946412</v>
      </c>
      <c r="CC9" s="167">
        <v>2959.0682176650912</v>
      </c>
      <c r="CD9" s="167">
        <v>3143.0064974008324</v>
      </c>
      <c r="CE9" s="167">
        <v>3397.0569644199868</v>
      </c>
      <c r="CF9" s="167">
        <v>3717.1588113944217</v>
      </c>
      <c r="CG9" s="167">
        <v>4000</v>
      </c>
      <c r="CH9" s="167">
        <v>4000</v>
      </c>
      <c r="CI9" s="167">
        <v>4000</v>
      </c>
      <c r="CJ9" s="167">
        <v>4000</v>
      </c>
      <c r="CK9" s="167">
        <v>4000</v>
      </c>
      <c r="CL9" s="167">
        <v>4000</v>
      </c>
      <c r="CM9" s="167">
        <v>4000</v>
      </c>
      <c r="CN9" s="167">
        <v>4000</v>
      </c>
      <c r="CO9" s="167">
        <v>4000</v>
      </c>
      <c r="CP9" s="167">
        <v>4000</v>
      </c>
      <c r="CQ9" s="167">
        <v>4000</v>
      </c>
      <c r="CR9" s="167">
        <v>4000</v>
      </c>
      <c r="CS9" s="167">
        <v>4000</v>
      </c>
      <c r="CT9" s="167">
        <v>4000</v>
      </c>
      <c r="CU9" s="167">
        <v>4000</v>
      </c>
      <c r="CV9" s="167">
        <v>4000</v>
      </c>
      <c r="CW9" s="167">
        <v>4000</v>
      </c>
      <c r="CX9" s="167">
        <v>4000</v>
      </c>
      <c r="CY9" s="167">
        <v>4000</v>
      </c>
      <c r="CZ9" s="167">
        <v>4000</v>
      </c>
      <c r="DA9" s="167">
        <v>4000</v>
      </c>
      <c r="DB9" s="167">
        <v>4000</v>
      </c>
      <c r="DC9" s="167">
        <v>4000</v>
      </c>
      <c r="DD9" s="167">
        <v>4000</v>
      </c>
      <c r="DE9" s="167">
        <v>4000</v>
      </c>
      <c r="DF9" s="167">
        <v>4000</v>
      </c>
      <c r="DG9" s="167">
        <v>4000</v>
      </c>
      <c r="DH9" s="167">
        <v>4000</v>
      </c>
      <c r="DI9" s="167">
        <v>4000</v>
      </c>
      <c r="DJ9" s="167">
        <v>4000</v>
      </c>
      <c r="DK9" s="167">
        <v>4000</v>
      </c>
      <c r="DL9" s="167">
        <v>4000</v>
      </c>
      <c r="DM9" s="167">
        <v>4000</v>
      </c>
      <c r="DN9" s="167">
        <v>4000</v>
      </c>
      <c r="DO9" s="167">
        <v>4000</v>
      </c>
      <c r="DP9" s="167">
        <v>4000</v>
      </c>
      <c r="DQ9" s="167">
        <v>4000</v>
      </c>
      <c r="DR9" s="167">
        <v>4000</v>
      </c>
      <c r="DS9" s="167">
        <v>4000</v>
      </c>
      <c r="DT9" s="167">
        <v>4000</v>
      </c>
      <c r="DU9" s="167">
        <v>4000</v>
      </c>
      <c r="DV9" s="167">
        <v>4000</v>
      </c>
      <c r="DW9" s="167">
        <v>4000</v>
      </c>
      <c r="DX9" s="167">
        <v>4000</v>
      </c>
      <c r="DY9" s="167">
        <v>4000</v>
      </c>
      <c r="DZ9" s="167">
        <v>4000</v>
      </c>
      <c r="EA9" s="167">
        <v>4000</v>
      </c>
      <c r="EB9" s="167">
        <v>4000</v>
      </c>
      <c r="EC9" s="167">
        <v>4000</v>
      </c>
      <c r="ED9" s="167">
        <v>4000</v>
      </c>
      <c r="EE9" s="167">
        <v>4000</v>
      </c>
      <c r="EF9" s="167">
        <v>4000</v>
      </c>
      <c r="EG9" s="167">
        <v>4000</v>
      </c>
      <c r="EH9" s="167">
        <v>4000</v>
      </c>
      <c r="EI9" s="167">
        <v>4000</v>
      </c>
      <c r="EJ9" s="167">
        <v>4000</v>
      </c>
      <c r="EK9" s="167">
        <v>4000</v>
      </c>
      <c r="EL9" s="167">
        <v>4000</v>
      </c>
      <c r="EM9" s="167">
        <v>4000</v>
      </c>
      <c r="EN9" s="167">
        <v>4000</v>
      </c>
      <c r="EO9" s="167">
        <v>4000</v>
      </c>
      <c r="EP9" t="str">
        <f t="shared" si="0"/>
        <v>0y 136d</v>
      </c>
      <c r="ET9" s="68" t="s">
        <v>114</v>
      </c>
      <c r="EU9" s="63" t="str">
        <f>EP3</f>
        <v>0y 86d</v>
      </c>
    </row>
    <row r="10" spans="2:154" ht="15" customHeight="1" x14ac:dyDescent="0.25">
      <c r="B10" s="9">
        <v>7</v>
      </c>
      <c r="D10">
        <v>552212.67583304411</v>
      </c>
      <c r="E10" s="12">
        <v>-12652769158.279301</v>
      </c>
      <c r="F10" s="12">
        <v>-4986289965.0957174</v>
      </c>
      <c r="G10" s="12">
        <v>0</v>
      </c>
      <c r="H10" s="12">
        <v>1146229.7528194091</v>
      </c>
      <c r="I10" s="12">
        <v>19979295399.289898</v>
      </c>
      <c r="J10" s="12">
        <v>-8473512736.6720743</v>
      </c>
      <c r="K10" s="12">
        <v>-8335629.0304769883</v>
      </c>
      <c r="L10" s="12">
        <v>246501.46362418288</v>
      </c>
      <c r="M10" s="12">
        <v>12821776734.688307</v>
      </c>
      <c r="N10" s="12">
        <v>4547247793.6592894</v>
      </c>
      <c r="O10" s="12"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G10" s="8">
        <v>-19940995548.660805</v>
      </c>
      <c r="AH10" s="8">
        <v>-1576713114.5592787</v>
      </c>
      <c r="AI10" s="8">
        <v>15814175.674115183</v>
      </c>
      <c r="AK10" s="205" t="s">
        <v>216</v>
      </c>
      <c r="AL10" s="205" t="s">
        <v>217</v>
      </c>
      <c r="AM10" s="205" t="s">
        <v>218</v>
      </c>
      <c r="AS10" s="31">
        <v>3116082.1069137556</v>
      </c>
      <c r="AT10" s="167">
        <v>4000</v>
      </c>
      <c r="AU10" s="167">
        <v>4000</v>
      </c>
      <c r="AV10" s="167">
        <v>4000</v>
      </c>
      <c r="AW10" s="167">
        <v>4000</v>
      </c>
      <c r="AX10" s="167">
        <v>4000</v>
      </c>
      <c r="AY10" s="167">
        <v>4000</v>
      </c>
      <c r="AZ10" s="167">
        <v>4000</v>
      </c>
      <c r="BA10" s="167">
        <v>4000</v>
      </c>
      <c r="BB10" s="167">
        <v>4000</v>
      </c>
      <c r="BC10" s="167">
        <v>4000</v>
      </c>
      <c r="BD10" s="167">
        <v>4000</v>
      </c>
      <c r="BE10" s="167">
        <v>4000</v>
      </c>
      <c r="BF10" s="167">
        <v>4000</v>
      </c>
      <c r="BG10" s="167">
        <v>4000</v>
      </c>
      <c r="BH10" s="167">
        <v>4000</v>
      </c>
      <c r="BI10" s="167">
        <v>4000</v>
      </c>
      <c r="BJ10" s="167">
        <v>4000</v>
      </c>
      <c r="BK10" s="167">
        <v>4000</v>
      </c>
      <c r="BL10" s="167">
        <v>4000</v>
      </c>
      <c r="BM10" s="167">
        <v>4000</v>
      </c>
      <c r="BN10" s="167">
        <v>4000</v>
      </c>
      <c r="BO10" s="167">
        <v>4000</v>
      </c>
      <c r="BP10" s="167">
        <v>4000</v>
      </c>
      <c r="BQ10" s="167">
        <v>4000</v>
      </c>
      <c r="BR10" s="167">
        <v>4000</v>
      </c>
      <c r="BS10" s="167">
        <v>4000</v>
      </c>
      <c r="BT10" s="167">
        <v>3699.6014289036584</v>
      </c>
      <c r="BU10" s="167">
        <v>3419.2332026676668</v>
      </c>
      <c r="BV10" s="167">
        <v>3173.7383748875582</v>
      </c>
      <c r="BW10" s="167">
        <v>2967.811598641053</v>
      </c>
      <c r="BX10" s="167">
        <v>2806.1774054292264</v>
      </c>
      <c r="BY10" s="167">
        <v>2693.573444597042</v>
      </c>
      <c r="BZ10" s="167">
        <v>2634.7245401818318</v>
      </c>
      <c r="CA10" s="167">
        <v>2634.2014454680211</v>
      </c>
      <c r="CB10" s="167">
        <v>2696.0333188910136</v>
      </c>
      <c r="CC10" s="167">
        <v>2823.0115922822515</v>
      </c>
      <c r="CD10" s="167">
        <v>3015.8848799783818</v>
      </c>
      <c r="CE10" s="167">
        <v>3272.8340353361564</v>
      </c>
      <c r="CF10" s="167">
        <v>3589.6086430739106</v>
      </c>
      <c r="CG10" s="167">
        <v>3960.297077487814</v>
      </c>
      <c r="CH10" s="167">
        <v>4000</v>
      </c>
      <c r="CI10" s="167">
        <v>4000</v>
      </c>
      <c r="CJ10" s="167">
        <v>4000</v>
      </c>
      <c r="CK10" s="167">
        <v>4000</v>
      </c>
      <c r="CL10" s="167">
        <v>4000</v>
      </c>
      <c r="CM10" s="167">
        <v>4000</v>
      </c>
      <c r="CN10" s="167">
        <v>4000</v>
      </c>
      <c r="CO10" s="167">
        <v>4000</v>
      </c>
      <c r="CP10" s="167">
        <v>4000</v>
      </c>
      <c r="CQ10" s="167">
        <v>4000</v>
      </c>
      <c r="CR10" s="167">
        <v>4000</v>
      </c>
      <c r="CS10" s="167">
        <v>4000</v>
      </c>
      <c r="CT10" s="167">
        <v>4000</v>
      </c>
      <c r="CU10" s="167">
        <v>4000</v>
      </c>
      <c r="CV10" s="167">
        <v>4000</v>
      </c>
      <c r="CW10" s="167">
        <v>4000</v>
      </c>
      <c r="CX10" s="167">
        <v>4000</v>
      </c>
      <c r="CY10" s="167">
        <v>4000</v>
      </c>
      <c r="CZ10" s="167">
        <v>4000</v>
      </c>
      <c r="DA10" s="167">
        <v>4000</v>
      </c>
      <c r="DB10" s="167">
        <v>4000</v>
      </c>
      <c r="DC10" s="167">
        <v>4000</v>
      </c>
      <c r="DD10" s="167">
        <v>4000</v>
      </c>
      <c r="DE10" s="167">
        <v>4000</v>
      </c>
      <c r="DF10" s="167">
        <v>4000</v>
      </c>
      <c r="DG10" s="167">
        <v>4000</v>
      </c>
      <c r="DH10" s="167">
        <v>4000</v>
      </c>
      <c r="DI10" s="167">
        <v>4000</v>
      </c>
      <c r="DJ10" s="167">
        <v>4000</v>
      </c>
      <c r="DK10" s="167">
        <v>4000</v>
      </c>
      <c r="DL10" s="167">
        <v>4000</v>
      </c>
      <c r="DM10" s="167">
        <v>4000</v>
      </c>
      <c r="DN10" s="167">
        <v>4000</v>
      </c>
      <c r="DO10" s="167">
        <v>4000</v>
      </c>
      <c r="DP10" s="167">
        <v>4000</v>
      </c>
      <c r="DQ10" s="167">
        <v>4000</v>
      </c>
      <c r="DR10" s="167">
        <v>4000</v>
      </c>
      <c r="DS10" s="167">
        <v>4000</v>
      </c>
      <c r="DT10" s="167">
        <v>4000</v>
      </c>
      <c r="DU10" s="167">
        <v>4000</v>
      </c>
      <c r="DV10" s="167">
        <v>4000</v>
      </c>
      <c r="DW10" s="167">
        <v>4000</v>
      </c>
      <c r="DX10" s="167">
        <v>4000</v>
      </c>
      <c r="DY10" s="167">
        <v>4000</v>
      </c>
      <c r="DZ10" s="167">
        <v>4000</v>
      </c>
      <c r="EA10" s="167">
        <v>4000</v>
      </c>
      <c r="EB10" s="167">
        <v>4000</v>
      </c>
      <c r="EC10" s="167">
        <v>4000</v>
      </c>
      <c r="ED10" s="167">
        <v>4000</v>
      </c>
      <c r="EE10" s="167">
        <v>4000</v>
      </c>
      <c r="EF10" s="167">
        <v>4000</v>
      </c>
      <c r="EG10" s="167">
        <v>4000</v>
      </c>
      <c r="EH10" s="167">
        <v>4000</v>
      </c>
      <c r="EI10" s="167">
        <v>4000</v>
      </c>
      <c r="EJ10" s="167">
        <v>4000</v>
      </c>
      <c r="EK10" s="167">
        <v>4000</v>
      </c>
      <c r="EL10" s="167">
        <v>4000</v>
      </c>
      <c r="EM10" s="167">
        <v>4000</v>
      </c>
      <c r="EN10" s="167">
        <v>4000</v>
      </c>
      <c r="EO10" s="167">
        <v>4000</v>
      </c>
      <c r="EP10" t="str">
        <f t="shared" si="0"/>
        <v>0y 144d</v>
      </c>
      <c r="ET10" s="68" t="s">
        <v>115</v>
      </c>
      <c r="EU10" s="63" t="str">
        <f>EP102</f>
        <v>2y 54d</v>
      </c>
    </row>
    <row r="11" spans="2:154" ht="15" customHeight="1" x14ac:dyDescent="0.25">
      <c r="B11" s="9">
        <v>8</v>
      </c>
      <c r="D11">
        <v>644248.12180521735</v>
      </c>
      <c r="E11" s="12">
        <v>-12314710071.163467</v>
      </c>
      <c r="F11" s="12">
        <v>-5770924609.7920256</v>
      </c>
      <c r="G11" s="12">
        <v>0</v>
      </c>
      <c r="H11" s="12">
        <v>1336071.8666232915</v>
      </c>
      <c r="I11" s="12">
        <v>20444707294.927418</v>
      </c>
      <c r="J11" s="12">
        <v>-7192706133.0209589</v>
      </c>
      <c r="K11" s="12">
        <v>-9633889.9408782553</v>
      </c>
      <c r="L11" s="12">
        <v>287658.60772075743</v>
      </c>
      <c r="M11" s="12">
        <v>12683869657.472351</v>
      </c>
      <c r="N11" s="12">
        <v>4940726679.2461147</v>
      </c>
      <c r="O11" s="12"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G11" s="8"/>
      <c r="AH11" s="8"/>
      <c r="AI11" s="8"/>
      <c r="AK11" s="6" t="s">
        <v>3</v>
      </c>
      <c r="AL11" s="19">
        <v>46.988280269764957</v>
      </c>
      <c r="AM11" s="19">
        <v>149.74412087683942</v>
      </c>
      <c r="AS11" s="31">
        <v>3294950.8683378082</v>
      </c>
      <c r="AT11" s="167">
        <v>4000</v>
      </c>
      <c r="AU11" s="167">
        <v>4000</v>
      </c>
      <c r="AV11" s="167">
        <v>4000</v>
      </c>
      <c r="AW11" s="167">
        <v>4000</v>
      </c>
      <c r="AX11" s="167">
        <v>4000</v>
      </c>
      <c r="AY11" s="167">
        <v>4000</v>
      </c>
      <c r="AZ11" s="167">
        <v>4000</v>
      </c>
      <c r="BA11" s="167">
        <v>4000</v>
      </c>
      <c r="BB11" s="167">
        <v>4000</v>
      </c>
      <c r="BC11" s="167">
        <v>4000</v>
      </c>
      <c r="BD11" s="167">
        <v>4000</v>
      </c>
      <c r="BE11" s="167">
        <v>4000</v>
      </c>
      <c r="BF11" s="167">
        <v>4000</v>
      </c>
      <c r="BG11" s="167">
        <v>4000</v>
      </c>
      <c r="BH11" s="167">
        <v>4000</v>
      </c>
      <c r="BI11" s="167">
        <v>4000</v>
      </c>
      <c r="BJ11" s="167">
        <v>4000</v>
      </c>
      <c r="BK11" s="167">
        <v>4000</v>
      </c>
      <c r="BL11" s="167">
        <v>4000</v>
      </c>
      <c r="BM11" s="167">
        <v>4000</v>
      </c>
      <c r="BN11" s="167">
        <v>4000</v>
      </c>
      <c r="BO11" s="167">
        <v>4000</v>
      </c>
      <c r="BP11" s="167">
        <v>4000</v>
      </c>
      <c r="BQ11" s="167">
        <v>4000</v>
      </c>
      <c r="BR11" s="167">
        <v>3929.6044804496714</v>
      </c>
      <c r="BS11" s="167">
        <v>3632.1651601392041</v>
      </c>
      <c r="BT11" s="167">
        <v>3359.2979372078207</v>
      </c>
      <c r="BU11" s="167">
        <v>3115.0800536788511</v>
      </c>
      <c r="BV11" s="167">
        <v>2903.7495291473697</v>
      </c>
      <c r="BW11" s="167">
        <v>2729.6727159119478</v>
      </c>
      <c r="BX11" s="167">
        <v>2597.3164890074486</v>
      </c>
      <c r="BY11" s="167">
        <v>2511.2184136333453</v>
      </c>
      <c r="BZ11" s="167">
        <v>2475.8959084082408</v>
      </c>
      <c r="CA11" s="167">
        <v>2495.6011434918964</v>
      </c>
      <c r="CB11" s="167">
        <v>2573.8345044840762</v>
      </c>
      <c r="CC11" s="167">
        <v>2712.6724168445344</v>
      </c>
      <c r="CD11" s="167">
        <v>2912.1343567394424</v>
      </c>
      <c r="CE11" s="167">
        <v>3169.9482349152049</v>
      </c>
      <c r="CF11" s="167">
        <v>3481.8950462224384</v>
      </c>
      <c r="CG11" s="167">
        <v>3842.5771819425008</v>
      </c>
      <c r="CH11" s="167">
        <v>4000</v>
      </c>
      <c r="CI11" s="167">
        <v>4000</v>
      </c>
      <c r="CJ11" s="167">
        <v>4000</v>
      </c>
      <c r="CK11" s="167">
        <v>4000</v>
      </c>
      <c r="CL11" s="167">
        <v>4000</v>
      </c>
      <c r="CM11" s="167">
        <v>4000</v>
      </c>
      <c r="CN11" s="167">
        <v>4000</v>
      </c>
      <c r="CO11" s="167">
        <v>4000</v>
      </c>
      <c r="CP11" s="167">
        <v>4000</v>
      </c>
      <c r="CQ11" s="167">
        <v>4000</v>
      </c>
      <c r="CR11" s="167">
        <v>4000</v>
      </c>
      <c r="CS11" s="167">
        <v>4000</v>
      </c>
      <c r="CT11" s="167">
        <v>4000</v>
      </c>
      <c r="CU11" s="167">
        <v>4000</v>
      </c>
      <c r="CV11" s="167">
        <v>4000</v>
      </c>
      <c r="CW11" s="167">
        <v>4000</v>
      </c>
      <c r="CX11" s="167">
        <v>4000</v>
      </c>
      <c r="CY11" s="167">
        <v>4000</v>
      </c>
      <c r="CZ11" s="167">
        <v>4000</v>
      </c>
      <c r="DA11" s="167">
        <v>4000</v>
      </c>
      <c r="DB11" s="167">
        <v>4000</v>
      </c>
      <c r="DC11" s="167">
        <v>4000</v>
      </c>
      <c r="DD11" s="167">
        <v>4000</v>
      </c>
      <c r="DE11" s="167">
        <v>4000</v>
      </c>
      <c r="DF11" s="167">
        <v>4000</v>
      </c>
      <c r="DG11" s="167">
        <v>4000</v>
      </c>
      <c r="DH11" s="167">
        <v>4000</v>
      </c>
      <c r="DI11" s="167">
        <v>4000</v>
      </c>
      <c r="DJ11" s="167">
        <v>4000</v>
      </c>
      <c r="DK11" s="167">
        <v>4000</v>
      </c>
      <c r="DL11" s="167">
        <v>4000</v>
      </c>
      <c r="DM11" s="167">
        <v>4000</v>
      </c>
      <c r="DN11" s="167">
        <v>4000</v>
      </c>
      <c r="DO11" s="167">
        <v>4000</v>
      </c>
      <c r="DP11" s="167">
        <v>4000</v>
      </c>
      <c r="DQ11" s="167">
        <v>4000</v>
      </c>
      <c r="DR11" s="167">
        <v>4000</v>
      </c>
      <c r="DS11" s="167">
        <v>4000</v>
      </c>
      <c r="DT11" s="167">
        <v>4000</v>
      </c>
      <c r="DU11" s="167">
        <v>4000</v>
      </c>
      <c r="DV11" s="167">
        <v>4000</v>
      </c>
      <c r="DW11" s="167">
        <v>4000</v>
      </c>
      <c r="DX11" s="167">
        <v>4000</v>
      </c>
      <c r="DY11" s="167">
        <v>4000</v>
      </c>
      <c r="DZ11" s="167">
        <v>4000</v>
      </c>
      <c r="EA11" s="167">
        <v>4000</v>
      </c>
      <c r="EB11" s="167">
        <v>4000</v>
      </c>
      <c r="EC11" s="167">
        <v>4000</v>
      </c>
      <c r="ED11" s="167">
        <v>4000</v>
      </c>
      <c r="EE11" s="167">
        <v>4000</v>
      </c>
      <c r="EF11" s="167">
        <v>4000</v>
      </c>
      <c r="EG11" s="167">
        <v>4000</v>
      </c>
      <c r="EH11" s="167">
        <v>4000</v>
      </c>
      <c r="EI11" s="167">
        <v>4000</v>
      </c>
      <c r="EJ11" s="167">
        <v>4000</v>
      </c>
      <c r="EK11" s="167">
        <v>4000</v>
      </c>
      <c r="EL11" s="167">
        <v>4000</v>
      </c>
      <c r="EM11" s="167">
        <v>4000</v>
      </c>
      <c r="EN11" s="167">
        <v>4000</v>
      </c>
      <c r="EO11" s="167">
        <v>4000</v>
      </c>
      <c r="EP11" t="str">
        <f t="shared" si="0"/>
        <v>0y 153d</v>
      </c>
      <c r="EU11" s="63"/>
    </row>
    <row r="12" spans="2:154" x14ac:dyDescent="0.25">
      <c r="B12" s="9">
        <v>9</v>
      </c>
      <c r="D12">
        <v>736283.56777739059</v>
      </c>
      <c r="E12" s="12">
        <v>-11928050449.452618</v>
      </c>
      <c r="F12" s="12">
        <v>-6532784051.5381632</v>
      </c>
      <c r="G12" s="12">
        <v>0</v>
      </c>
      <c r="H12" s="12">
        <v>1525373.5223848289</v>
      </c>
      <c r="I12" s="12">
        <v>20824330948.100452</v>
      </c>
      <c r="J12" s="12">
        <v>-5885829173.11901</v>
      </c>
      <c r="K12" s="12">
        <v>-10888655.400680959</v>
      </c>
      <c r="L12" s="12">
        <v>328869.97664642346</v>
      </c>
      <c r="M12" s="12">
        <v>12535775756.470753</v>
      </c>
      <c r="N12" s="12">
        <v>5330826655.5622568</v>
      </c>
      <c r="O12" s="12"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G12" s="254" t="s">
        <v>36</v>
      </c>
      <c r="AH12" s="254"/>
      <c r="AI12" s="254"/>
      <c r="AK12" s="6" t="s">
        <v>5</v>
      </c>
      <c r="AL12" s="19">
        <v>277.69829445919066</v>
      </c>
      <c r="AM12" s="19">
        <v>47.924064137397615</v>
      </c>
      <c r="AS12" s="31">
        <v>3473819.6297618607</v>
      </c>
      <c r="AT12" s="167">
        <v>4000</v>
      </c>
      <c r="AU12" s="167">
        <v>4000</v>
      </c>
      <c r="AV12" s="167">
        <v>4000</v>
      </c>
      <c r="AW12" s="167">
        <v>4000</v>
      </c>
      <c r="AX12" s="167">
        <v>4000</v>
      </c>
      <c r="AY12" s="167">
        <v>4000</v>
      </c>
      <c r="AZ12" s="167">
        <v>4000</v>
      </c>
      <c r="BA12" s="167">
        <v>4000</v>
      </c>
      <c r="BB12" s="167">
        <v>4000</v>
      </c>
      <c r="BC12" s="167">
        <v>4000</v>
      </c>
      <c r="BD12" s="167">
        <v>4000</v>
      </c>
      <c r="BE12" s="167">
        <v>4000</v>
      </c>
      <c r="BF12" s="167">
        <v>4000</v>
      </c>
      <c r="BG12" s="167">
        <v>4000</v>
      </c>
      <c r="BH12" s="167">
        <v>4000</v>
      </c>
      <c r="BI12" s="167">
        <v>4000</v>
      </c>
      <c r="BJ12" s="167">
        <v>4000</v>
      </c>
      <c r="BK12" s="167">
        <v>4000</v>
      </c>
      <c r="BL12" s="167">
        <v>4000</v>
      </c>
      <c r="BM12" s="167">
        <v>4000</v>
      </c>
      <c r="BN12" s="167">
        <v>4000</v>
      </c>
      <c r="BO12" s="167">
        <v>4000</v>
      </c>
      <c r="BP12" s="167">
        <v>4000</v>
      </c>
      <c r="BQ12" s="167">
        <v>3852.4308878174743</v>
      </c>
      <c r="BR12" s="167">
        <v>3569.6871230823899</v>
      </c>
      <c r="BS12" s="167">
        <v>3306.8566126969154</v>
      </c>
      <c r="BT12" s="167">
        <v>3067.4816224627057</v>
      </c>
      <c r="BU12" s="167">
        <v>2855.3142411229778</v>
      </c>
      <c r="BV12" s="167">
        <v>2674.2942599674398</v>
      </c>
      <c r="BW12" s="167">
        <v>2528.5281274985296</v>
      </c>
      <c r="BX12" s="167">
        <v>2422.2599858678132</v>
      </c>
      <c r="BY12" s="167">
        <v>2359.806788609083</v>
      </c>
      <c r="BZ12" s="167">
        <v>2345.3981145120133</v>
      </c>
      <c r="CA12" s="167">
        <v>2382.8444485306509</v>
      </c>
      <c r="CB12" s="167">
        <v>2475.0267278301853</v>
      </c>
      <c r="CC12" s="167">
        <v>2623.305712130963</v>
      </c>
      <c r="CD12" s="167">
        <v>2827.1059219239492</v>
      </c>
      <c r="CE12" s="167">
        <v>3083.9137252981445</v>
      </c>
      <c r="CF12" s="167">
        <v>3389.7261336858428</v>
      </c>
      <c r="CG12" s="167">
        <v>3739.7428784188924</v>
      </c>
      <c r="CH12" s="167">
        <v>4000</v>
      </c>
      <c r="CI12" s="167">
        <v>4000</v>
      </c>
      <c r="CJ12" s="167">
        <v>4000</v>
      </c>
      <c r="CK12" s="167">
        <v>4000</v>
      </c>
      <c r="CL12" s="167">
        <v>4000</v>
      </c>
      <c r="CM12" s="167">
        <v>4000</v>
      </c>
      <c r="CN12" s="167">
        <v>4000</v>
      </c>
      <c r="CO12" s="167">
        <v>4000</v>
      </c>
      <c r="CP12" s="167">
        <v>4000</v>
      </c>
      <c r="CQ12" s="167">
        <v>4000</v>
      </c>
      <c r="CR12" s="167">
        <v>4000</v>
      </c>
      <c r="CS12" s="167">
        <v>4000</v>
      </c>
      <c r="CT12" s="167">
        <v>4000</v>
      </c>
      <c r="CU12" s="167">
        <v>4000</v>
      </c>
      <c r="CV12" s="167">
        <v>4000</v>
      </c>
      <c r="CW12" s="167">
        <v>4000</v>
      </c>
      <c r="CX12" s="167">
        <v>4000</v>
      </c>
      <c r="CY12" s="167">
        <v>4000</v>
      </c>
      <c r="CZ12" s="167">
        <v>4000</v>
      </c>
      <c r="DA12" s="167">
        <v>4000</v>
      </c>
      <c r="DB12" s="167">
        <v>4000</v>
      </c>
      <c r="DC12" s="167">
        <v>4000</v>
      </c>
      <c r="DD12" s="167">
        <v>4000</v>
      </c>
      <c r="DE12" s="167">
        <v>4000</v>
      </c>
      <c r="DF12" s="167">
        <v>4000</v>
      </c>
      <c r="DG12" s="167">
        <v>4000</v>
      </c>
      <c r="DH12" s="167">
        <v>4000</v>
      </c>
      <c r="DI12" s="167">
        <v>4000</v>
      </c>
      <c r="DJ12" s="167">
        <v>4000</v>
      </c>
      <c r="DK12" s="167">
        <v>4000</v>
      </c>
      <c r="DL12" s="167">
        <v>4000</v>
      </c>
      <c r="DM12" s="167">
        <v>4000</v>
      </c>
      <c r="DN12" s="167">
        <v>4000</v>
      </c>
      <c r="DO12" s="167">
        <v>4000</v>
      </c>
      <c r="DP12" s="167">
        <v>4000</v>
      </c>
      <c r="DQ12" s="167">
        <v>4000</v>
      </c>
      <c r="DR12" s="167">
        <v>4000</v>
      </c>
      <c r="DS12" s="167">
        <v>4000</v>
      </c>
      <c r="DT12" s="167">
        <v>4000</v>
      </c>
      <c r="DU12" s="167">
        <v>4000</v>
      </c>
      <c r="DV12" s="167">
        <v>4000</v>
      </c>
      <c r="DW12" s="167">
        <v>4000</v>
      </c>
      <c r="DX12" s="167">
        <v>4000</v>
      </c>
      <c r="DY12" s="167">
        <v>4000</v>
      </c>
      <c r="DZ12" s="167">
        <v>4000</v>
      </c>
      <c r="EA12" s="167">
        <v>4000</v>
      </c>
      <c r="EB12" s="167">
        <v>4000</v>
      </c>
      <c r="EC12" s="167">
        <v>4000</v>
      </c>
      <c r="ED12" s="167">
        <v>4000</v>
      </c>
      <c r="EE12" s="167">
        <v>4000</v>
      </c>
      <c r="EF12" s="167">
        <v>4000</v>
      </c>
      <c r="EG12" s="167">
        <v>4000</v>
      </c>
      <c r="EH12" s="167">
        <v>4000</v>
      </c>
      <c r="EI12" s="167">
        <v>4000</v>
      </c>
      <c r="EJ12" s="167">
        <v>4000</v>
      </c>
      <c r="EK12" s="167">
        <v>4000</v>
      </c>
      <c r="EL12" s="167">
        <v>4000</v>
      </c>
      <c r="EM12" s="167">
        <v>4000</v>
      </c>
      <c r="EN12" s="167">
        <v>4000</v>
      </c>
      <c r="EO12" s="167">
        <v>4000</v>
      </c>
      <c r="EP12" t="str">
        <f t="shared" si="0"/>
        <v>0y 161d</v>
      </c>
    </row>
    <row r="13" spans="2:154" x14ac:dyDescent="0.25">
      <c r="B13" s="9">
        <v>10</v>
      </c>
      <c r="D13">
        <v>828319.01374956453</v>
      </c>
      <c r="E13" s="12">
        <v>-11494316262.025671</v>
      </c>
      <c r="F13" s="12">
        <v>-7268861579.1780176</v>
      </c>
      <c r="G13" s="12">
        <v>0</v>
      </c>
      <c r="H13" s="12">
        <v>1714066.1785085893</v>
      </c>
      <c r="I13" s="12">
        <v>21116847938.329491</v>
      </c>
      <c r="J13" s="12">
        <v>-4558880173.7092543</v>
      </c>
      <c r="K13" s="12">
        <v>-12094477.472338537</v>
      </c>
      <c r="L13" s="12">
        <v>370148.06196851312</v>
      </c>
      <c r="M13" s="12">
        <v>12377545056.139961</v>
      </c>
      <c r="N13" s="12">
        <v>5717349397.8014088</v>
      </c>
      <c r="O13" s="12"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G13" s="9" t="s">
        <v>22</v>
      </c>
      <c r="AH13" s="9" t="s">
        <v>23</v>
      </c>
      <c r="AI13" s="9" t="s">
        <v>26</v>
      </c>
      <c r="AK13" s="6" t="s">
        <v>6</v>
      </c>
      <c r="AL13" s="19">
        <v>243.66163514142079</v>
      </c>
      <c r="AM13" s="19">
        <v>207.5008626936004</v>
      </c>
      <c r="AS13" s="6">
        <v>3652688.3911859132</v>
      </c>
      <c r="AT13" s="167">
        <v>4000</v>
      </c>
      <c r="AU13" s="167">
        <v>4000</v>
      </c>
      <c r="AV13" s="167">
        <v>4000</v>
      </c>
      <c r="AW13" s="167">
        <v>4000</v>
      </c>
      <c r="AX13" s="167">
        <v>4000</v>
      </c>
      <c r="AY13" s="167">
        <v>4000</v>
      </c>
      <c r="AZ13" s="167">
        <v>4000</v>
      </c>
      <c r="BA13" s="167">
        <v>4000</v>
      </c>
      <c r="BB13" s="167">
        <v>4000</v>
      </c>
      <c r="BC13" s="167">
        <v>4000</v>
      </c>
      <c r="BD13" s="167">
        <v>4000</v>
      </c>
      <c r="BE13" s="167">
        <v>4000</v>
      </c>
      <c r="BF13" s="167">
        <v>4000</v>
      </c>
      <c r="BG13" s="167">
        <v>4000</v>
      </c>
      <c r="BH13" s="167">
        <v>4000</v>
      </c>
      <c r="BI13" s="167">
        <v>4000</v>
      </c>
      <c r="BJ13" s="167">
        <v>4000</v>
      </c>
      <c r="BK13" s="167">
        <v>4000</v>
      </c>
      <c r="BL13" s="167">
        <v>4000</v>
      </c>
      <c r="BM13" s="167">
        <v>4000</v>
      </c>
      <c r="BN13" s="167">
        <v>4000</v>
      </c>
      <c r="BO13" s="167">
        <v>4000</v>
      </c>
      <c r="BP13" s="167">
        <v>3776.8392117325529</v>
      </c>
      <c r="BQ13" s="167">
        <v>3509.6179926447708</v>
      </c>
      <c r="BR13" s="167">
        <v>3258.5146566784597</v>
      </c>
      <c r="BS13" s="167">
        <v>3026.5790342925402</v>
      </c>
      <c r="BT13" s="167">
        <v>2817.085186921875</v>
      </c>
      <c r="BU13" s="167">
        <v>2633.5235105206971</v>
      </c>
      <c r="BV13" s="167">
        <v>2479.590196332857</v>
      </c>
      <c r="BW13" s="167">
        <v>2359.1655197641958</v>
      </c>
      <c r="BX13" s="167">
        <v>2276.2664603919493</v>
      </c>
      <c r="BY13" s="167">
        <v>2234.937922520774</v>
      </c>
      <c r="BZ13" s="167">
        <v>2239.0319925182284</v>
      </c>
      <c r="CA13" s="167">
        <v>2291.8277762818943</v>
      </c>
      <c r="CB13" s="167">
        <v>2395.5552431965316</v>
      </c>
      <c r="CC13" s="167">
        <v>2550.9381210818237</v>
      </c>
      <c r="CD13" s="167">
        <v>2756.9814835726611</v>
      </c>
      <c r="CE13" s="167">
        <v>3011.126973756519</v>
      </c>
      <c r="CF13" s="167">
        <v>3309.7197107419315</v>
      </c>
      <c r="CG13" s="167">
        <v>3648.5873661582409</v>
      </c>
      <c r="CH13" s="167">
        <v>4000</v>
      </c>
      <c r="CI13" s="167">
        <v>4000</v>
      </c>
      <c r="CJ13" s="167">
        <v>4000</v>
      </c>
      <c r="CK13" s="167">
        <v>4000</v>
      </c>
      <c r="CL13" s="167">
        <v>4000</v>
      </c>
      <c r="CM13" s="167">
        <v>4000</v>
      </c>
      <c r="CN13" s="167">
        <v>4000</v>
      </c>
      <c r="CO13" s="167">
        <v>4000</v>
      </c>
      <c r="CP13" s="167">
        <v>4000</v>
      </c>
      <c r="CQ13" s="167">
        <v>4000</v>
      </c>
      <c r="CR13" s="167">
        <v>4000</v>
      </c>
      <c r="CS13" s="167">
        <v>4000</v>
      </c>
      <c r="CT13" s="167">
        <v>4000</v>
      </c>
      <c r="CU13" s="167">
        <v>4000</v>
      </c>
      <c r="CV13" s="167">
        <v>4000</v>
      </c>
      <c r="CW13" s="167">
        <v>4000</v>
      </c>
      <c r="CX13" s="167">
        <v>4000</v>
      </c>
      <c r="CY13" s="167">
        <v>4000</v>
      </c>
      <c r="CZ13" s="167">
        <v>4000</v>
      </c>
      <c r="DA13" s="167">
        <v>4000</v>
      </c>
      <c r="DB13" s="167">
        <v>4000</v>
      </c>
      <c r="DC13" s="167">
        <v>4000</v>
      </c>
      <c r="DD13" s="167">
        <v>4000</v>
      </c>
      <c r="DE13" s="167">
        <v>4000</v>
      </c>
      <c r="DF13" s="167">
        <v>4000</v>
      </c>
      <c r="DG13" s="167">
        <v>4000</v>
      </c>
      <c r="DH13" s="167">
        <v>4000</v>
      </c>
      <c r="DI13" s="167">
        <v>4000</v>
      </c>
      <c r="DJ13" s="167">
        <v>4000</v>
      </c>
      <c r="DK13" s="167">
        <v>4000</v>
      </c>
      <c r="DL13" s="167">
        <v>4000</v>
      </c>
      <c r="DM13" s="167">
        <v>4000</v>
      </c>
      <c r="DN13" s="167">
        <v>4000</v>
      </c>
      <c r="DO13" s="167">
        <v>4000</v>
      </c>
      <c r="DP13" s="167">
        <v>4000</v>
      </c>
      <c r="DQ13" s="167">
        <v>4000</v>
      </c>
      <c r="DR13" s="167">
        <v>4000</v>
      </c>
      <c r="DS13" s="167">
        <v>4000</v>
      </c>
      <c r="DT13" s="167">
        <v>4000</v>
      </c>
      <c r="DU13" s="167">
        <v>4000</v>
      </c>
      <c r="DV13" s="167">
        <v>4000</v>
      </c>
      <c r="DW13" s="167">
        <v>4000</v>
      </c>
      <c r="DX13" s="167">
        <v>4000</v>
      </c>
      <c r="DY13" s="167">
        <v>4000</v>
      </c>
      <c r="DZ13" s="167">
        <v>4000</v>
      </c>
      <c r="EA13" s="167">
        <v>4000</v>
      </c>
      <c r="EB13" s="167">
        <v>4000</v>
      </c>
      <c r="EC13" s="167">
        <v>4000</v>
      </c>
      <c r="ED13" s="167">
        <v>4000</v>
      </c>
      <c r="EE13" s="167">
        <v>4000</v>
      </c>
      <c r="EF13" s="167">
        <v>4000</v>
      </c>
      <c r="EG13" s="167">
        <v>4000</v>
      </c>
      <c r="EH13" s="167">
        <v>4000</v>
      </c>
      <c r="EI13" s="167">
        <v>4000</v>
      </c>
      <c r="EJ13" s="167">
        <v>4000</v>
      </c>
      <c r="EK13" s="167">
        <v>4000</v>
      </c>
      <c r="EL13" s="167">
        <v>4000</v>
      </c>
      <c r="EM13" s="167">
        <v>4000</v>
      </c>
      <c r="EN13" s="167">
        <v>4000</v>
      </c>
      <c r="EO13" s="167">
        <v>4000</v>
      </c>
      <c r="EP13" t="str">
        <f t="shared" si="0"/>
        <v>0y 169d</v>
      </c>
    </row>
    <row r="14" spans="2:154" x14ac:dyDescent="0.25">
      <c r="B14" s="9">
        <v>11</v>
      </c>
      <c r="D14">
        <v>920354.45972173719</v>
      </c>
      <c r="E14" s="12">
        <v>-11015219259.566111</v>
      </c>
      <c r="F14" s="12">
        <v>-7976252230.9918194</v>
      </c>
      <c r="G14" s="12">
        <v>0</v>
      </c>
      <c r="H14" s="12">
        <v>1902084.6879687808</v>
      </c>
      <c r="I14" s="12">
        <v>21321391226.824043</v>
      </c>
      <c r="J14" s="12">
        <v>-3217903420.5475593</v>
      </c>
      <c r="K14" s="12">
        <v>-13246205.193363931</v>
      </c>
      <c r="L14" s="12">
        <v>411505.38299314614</v>
      </c>
      <c r="M14" s="12">
        <v>12209228391.542755</v>
      </c>
      <c r="N14" s="12">
        <v>6100095494.8926687</v>
      </c>
      <c r="O14" s="12"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G14" s="8">
        <v>0</v>
      </c>
      <c r="AH14" s="8">
        <v>0</v>
      </c>
      <c r="AI14" s="8">
        <v>0</v>
      </c>
      <c r="AK14" s="6" t="s">
        <v>8</v>
      </c>
      <c r="AL14" s="19">
        <v>232.73670626991881</v>
      </c>
      <c r="AM14" s="19">
        <v>192.50370457452416</v>
      </c>
      <c r="AS14" s="6">
        <v>3831557.1526099658</v>
      </c>
      <c r="AT14" s="167">
        <v>4000</v>
      </c>
      <c r="AU14" s="167">
        <v>4000</v>
      </c>
      <c r="AV14" s="167">
        <v>4000</v>
      </c>
      <c r="AW14" s="167">
        <v>4000</v>
      </c>
      <c r="AX14" s="167">
        <v>4000</v>
      </c>
      <c r="AY14" s="167">
        <v>4000</v>
      </c>
      <c r="AZ14" s="167">
        <v>4000</v>
      </c>
      <c r="BA14" s="167">
        <v>4000</v>
      </c>
      <c r="BB14" s="167">
        <v>4000</v>
      </c>
      <c r="BC14" s="167">
        <v>4000</v>
      </c>
      <c r="BD14" s="167">
        <v>4000</v>
      </c>
      <c r="BE14" s="167">
        <v>4000</v>
      </c>
      <c r="BF14" s="167">
        <v>4000</v>
      </c>
      <c r="BG14" s="167">
        <v>4000</v>
      </c>
      <c r="BH14" s="167">
        <v>4000</v>
      </c>
      <c r="BI14" s="167">
        <v>4000</v>
      </c>
      <c r="BJ14" s="167">
        <v>4000</v>
      </c>
      <c r="BK14" s="167">
        <v>4000</v>
      </c>
      <c r="BL14" s="167">
        <v>4000</v>
      </c>
      <c r="BM14" s="167">
        <v>4000</v>
      </c>
      <c r="BN14" s="167">
        <v>3963.8450474891051</v>
      </c>
      <c r="BO14" s="167">
        <v>3701.8139581440337</v>
      </c>
      <c r="BP14" s="167">
        <v>3450.4195907169324</v>
      </c>
      <c r="BQ14" s="167">
        <v>3212.0668893397242</v>
      </c>
      <c r="BR14" s="167">
        <v>2989.3694591872054</v>
      </c>
      <c r="BS14" s="167">
        <v>2785.1566533023715</v>
      </c>
      <c r="BT14" s="167">
        <v>2602.4792764467188</v>
      </c>
      <c r="BU14" s="167">
        <v>2444.6090091872206</v>
      </c>
      <c r="BV14" s="167">
        <v>2315.0265048583615</v>
      </c>
      <c r="BW14" s="167">
        <v>2217.388356704756</v>
      </c>
      <c r="BX14" s="167">
        <v>2155.4531457677194</v>
      </c>
      <c r="BY14" s="167">
        <v>2132.9321022093118</v>
      </c>
      <c r="BZ14" s="167">
        <v>2153.2189431051756</v>
      </c>
      <c r="CA14" s="167">
        <v>2219.0233018987292</v>
      </c>
      <c r="CB14" s="167">
        <v>2331.9585980843444</v>
      </c>
      <c r="CC14" s="167">
        <v>2492.2417215980822</v>
      </c>
      <c r="CD14" s="167">
        <v>2698.6407605824165</v>
      </c>
      <c r="CE14" s="167">
        <v>2948.7113227644604</v>
      </c>
      <c r="CF14" s="167">
        <v>3239.224728918477</v>
      </c>
      <c r="CG14" s="167">
        <v>3566.6287140609165</v>
      </c>
      <c r="CH14" s="167">
        <v>3927.4042753998165</v>
      </c>
      <c r="CI14" s="167">
        <v>4000</v>
      </c>
      <c r="CJ14" s="167">
        <v>4000</v>
      </c>
      <c r="CK14" s="167">
        <v>4000</v>
      </c>
      <c r="CL14" s="167">
        <v>4000</v>
      </c>
      <c r="CM14" s="167">
        <v>4000</v>
      </c>
      <c r="CN14" s="167">
        <v>4000</v>
      </c>
      <c r="CO14" s="167">
        <v>4000</v>
      </c>
      <c r="CP14" s="167">
        <v>4000</v>
      </c>
      <c r="CQ14" s="167">
        <v>4000</v>
      </c>
      <c r="CR14" s="167">
        <v>4000</v>
      </c>
      <c r="CS14" s="167">
        <v>4000</v>
      </c>
      <c r="CT14" s="167">
        <v>4000</v>
      </c>
      <c r="CU14" s="167">
        <v>4000</v>
      </c>
      <c r="CV14" s="167">
        <v>4000</v>
      </c>
      <c r="CW14" s="167">
        <v>4000</v>
      </c>
      <c r="CX14" s="167">
        <v>4000</v>
      </c>
      <c r="CY14" s="167">
        <v>4000</v>
      </c>
      <c r="CZ14" s="167">
        <v>4000</v>
      </c>
      <c r="DA14" s="167">
        <v>4000</v>
      </c>
      <c r="DB14" s="167">
        <v>4000</v>
      </c>
      <c r="DC14" s="167">
        <v>4000</v>
      </c>
      <c r="DD14" s="167">
        <v>4000</v>
      </c>
      <c r="DE14" s="167">
        <v>4000</v>
      </c>
      <c r="DF14" s="167">
        <v>4000</v>
      </c>
      <c r="DG14" s="167">
        <v>4000</v>
      </c>
      <c r="DH14" s="167">
        <v>4000</v>
      </c>
      <c r="DI14" s="167">
        <v>4000</v>
      </c>
      <c r="DJ14" s="167">
        <v>4000</v>
      </c>
      <c r="DK14" s="167">
        <v>4000</v>
      </c>
      <c r="DL14" s="167">
        <v>4000</v>
      </c>
      <c r="DM14" s="167">
        <v>4000</v>
      </c>
      <c r="DN14" s="167">
        <v>4000</v>
      </c>
      <c r="DO14" s="167">
        <v>4000</v>
      </c>
      <c r="DP14" s="167">
        <v>4000</v>
      </c>
      <c r="DQ14" s="167">
        <v>4000</v>
      </c>
      <c r="DR14" s="167">
        <v>4000</v>
      </c>
      <c r="DS14" s="167">
        <v>4000</v>
      </c>
      <c r="DT14" s="167">
        <v>4000</v>
      </c>
      <c r="DU14" s="167">
        <v>4000</v>
      </c>
      <c r="DV14" s="167">
        <v>4000</v>
      </c>
      <c r="DW14" s="167">
        <v>4000</v>
      </c>
      <c r="DX14" s="167">
        <v>4000</v>
      </c>
      <c r="DY14" s="167">
        <v>4000</v>
      </c>
      <c r="DZ14" s="167">
        <v>4000</v>
      </c>
      <c r="EA14" s="167">
        <v>4000</v>
      </c>
      <c r="EB14" s="167">
        <v>4000</v>
      </c>
      <c r="EC14" s="167">
        <v>4000</v>
      </c>
      <c r="ED14" s="167">
        <v>4000</v>
      </c>
      <c r="EE14" s="167">
        <v>4000</v>
      </c>
      <c r="EF14" s="167">
        <v>4000</v>
      </c>
      <c r="EG14" s="167">
        <v>4000</v>
      </c>
      <c r="EH14" s="167">
        <v>4000</v>
      </c>
      <c r="EI14" s="167">
        <v>4000</v>
      </c>
      <c r="EJ14" s="167">
        <v>4000</v>
      </c>
      <c r="EK14" s="167">
        <v>4000</v>
      </c>
      <c r="EL14" s="167">
        <v>4000</v>
      </c>
      <c r="EM14" s="167">
        <v>4000</v>
      </c>
      <c r="EN14" s="167">
        <v>4000</v>
      </c>
      <c r="EO14" s="167">
        <v>4000</v>
      </c>
      <c r="EP14" t="str">
        <f t="shared" si="0"/>
        <v>0y 177d</v>
      </c>
    </row>
    <row r="15" spans="2:154" x14ac:dyDescent="0.25">
      <c r="B15" s="9">
        <v>12</v>
      </c>
      <c r="D15">
        <v>1012389.9056939104</v>
      </c>
      <c r="E15" s="12">
        <v>-10492650219.064034</v>
      </c>
      <c r="F15" s="12">
        <v>-8652164259.2529182</v>
      </c>
      <c r="G15" s="12">
        <v>0</v>
      </c>
      <c r="H15" s="12">
        <v>2089367.6140806715</v>
      </c>
      <c r="I15" s="12">
        <v>21437542642.006588</v>
      </c>
      <c r="J15" s="12">
        <v>-1868951466.8995538</v>
      </c>
      <c r="K15" s="12">
        <v>-14339010.890522907</v>
      </c>
      <c r="L15" s="12">
        <v>452954.49172500195</v>
      </c>
      <c r="M15" s="12">
        <v>12030877543.45624</v>
      </c>
      <c r="N15" s="12">
        <v>6478864246.8050375</v>
      </c>
      <c r="O15" s="12"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G15" s="8"/>
      <c r="AH15" s="8"/>
      <c r="AI15" s="8"/>
      <c r="AK15" s="6" t="s">
        <v>11</v>
      </c>
      <c r="AL15" s="19">
        <v>96.147820989976466</v>
      </c>
      <c r="AM15" s="19">
        <v>14.001259568770712</v>
      </c>
      <c r="AS15" s="6">
        <v>4010425.9140340183</v>
      </c>
      <c r="AT15" s="167">
        <v>4000</v>
      </c>
      <c r="AU15" s="167">
        <v>4000</v>
      </c>
      <c r="AV15" s="167">
        <v>4000</v>
      </c>
      <c r="AW15" s="167">
        <v>4000</v>
      </c>
      <c r="AX15" s="167">
        <v>4000</v>
      </c>
      <c r="AY15" s="167">
        <v>4000</v>
      </c>
      <c r="AZ15" s="167">
        <v>4000</v>
      </c>
      <c r="BA15" s="167">
        <v>4000</v>
      </c>
      <c r="BB15" s="167">
        <v>4000</v>
      </c>
      <c r="BC15" s="167">
        <v>4000</v>
      </c>
      <c r="BD15" s="167">
        <v>4000</v>
      </c>
      <c r="BE15" s="167">
        <v>4000</v>
      </c>
      <c r="BF15" s="167">
        <v>4000</v>
      </c>
      <c r="BG15" s="167">
        <v>4000</v>
      </c>
      <c r="BH15" s="167">
        <v>4000</v>
      </c>
      <c r="BI15" s="167">
        <v>4000</v>
      </c>
      <c r="BJ15" s="167">
        <v>4000</v>
      </c>
      <c r="BK15" s="167">
        <v>4000</v>
      </c>
      <c r="BL15" s="167">
        <v>4000</v>
      </c>
      <c r="BM15" s="167">
        <v>3871.0899563995313</v>
      </c>
      <c r="BN15" s="167">
        <v>3626.9267612376625</v>
      </c>
      <c r="BO15" s="167">
        <v>3391.2759592161751</v>
      </c>
      <c r="BP15" s="167">
        <v>3166.1860172071092</v>
      </c>
      <c r="BQ15" s="167">
        <v>2953.8896149596876</v>
      </c>
      <c r="BR15" s="167">
        <v>2756.8180018774592</v>
      </c>
      <c r="BS15" s="167">
        <v>2577.6129719075325</v>
      </c>
      <c r="BT15" s="167">
        <v>2419.1341233038652</v>
      </c>
      <c r="BU15" s="167">
        <v>2284.4561888253534</v>
      </c>
      <c r="BV15" s="167">
        <v>2176.8483166779497</v>
      </c>
      <c r="BW15" s="167">
        <v>2099.7238526660831</v>
      </c>
      <c r="BX15" s="167">
        <v>2056.5406522507592</v>
      </c>
      <c r="BY15" s="167">
        <v>2050.6128486013977</v>
      </c>
      <c r="BZ15" s="167">
        <v>2084.8397491824007</v>
      </c>
      <c r="CA15" s="167">
        <v>2161.367340481318</v>
      </c>
      <c r="CB15" s="167">
        <v>2281.2822993803829</v>
      </c>
      <c r="CC15" s="167">
        <v>2444.4474851334789</v>
      </c>
      <c r="CD15" s="167">
        <v>2649.5562417467281</v>
      </c>
      <c r="CE15" s="167">
        <v>2894.3895114909665</v>
      </c>
      <c r="CF15" s="167">
        <v>3176.1781529735672</v>
      </c>
      <c r="CG15" s="167">
        <v>3491.9473482565209</v>
      </c>
      <c r="CH15" s="167">
        <v>3838.7828892950283</v>
      </c>
      <c r="CI15" s="167">
        <v>4000</v>
      </c>
      <c r="CJ15" s="167">
        <v>4000</v>
      </c>
      <c r="CK15" s="167">
        <v>4000</v>
      </c>
      <c r="CL15" s="167">
        <v>4000</v>
      </c>
      <c r="CM15" s="167">
        <v>4000</v>
      </c>
      <c r="CN15" s="167">
        <v>4000</v>
      </c>
      <c r="CO15" s="167">
        <v>4000</v>
      </c>
      <c r="CP15" s="167">
        <v>4000</v>
      </c>
      <c r="CQ15" s="167">
        <v>4000</v>
      </c>
      <c r="CR15" s="167">
        <v>4000</v>
      </c>
      <c r="CS15" s="167">
        <v>4000</v>
      </c>
      <c r="CT15" s="167">
        <v>4000</v>
      </c>
      <c r="CU15" s="167">
        <v>4000</v>
      </c>
      <c r="CV15" s="167">
        <v>4000</v>
      </c>
      <c r="CW15" s="167">
        <v>4000</v>
      </c>
      <c r="CX15" s="167">
        <v>4000</v>
      </c>
      <c r="CY15" s="167">
        <v>4000</v>
      </c>
      <c r="CZ15" s="167">
        <v>4000</v>
      </c>
      <c r="DA15" s="167">
        <v>4000</v>
      </c>
      <c r="DB15" s="167">
        <v>4000</v>
      </c>
      <c r="DC15" s="167">
        <v>4000</v>
      </c>
      <c r="DD15" s="167">
        <v>4000</v>
      </c>
      <c r="DE15" s="167">
        <v>4000</v>
      </c>
      <c r="DF15" s="167">
        <v>4000</v>
      </c>
      <c r="DG15" s="167">
        <v>4000</v>
      </c>
      <c r="DH15" s="167">
        <v>4000</v>
      </c>
      <c r="DI15" s="167">
        <v>4000</v>
      </c>
      <c r="DJ15" s="167">
        <v>4000</v>
      </c>
      <c r="DK15" s="167">
        <v>4000</v>
      </c>
      <c r="DL15" s="167">
        <v>4000</v>
      </c>
      <c r="DM15" s="167">
        <v>4000</v>
      </c>
      <c r="DN15" s="167">
        <v>4000</v>
      </c>
      <c r="DO15" s="167">
        <v>4000</v>
      </c>
      <c r="DP15" s="167">
        <v>4000</v>
      </c>
      <c r="DQ15" s="167">
        <v>4000</v>
      </c>
      <c r="DR15" s="167">
        <v>4000</v>
      </c>
      <c r="DS15" s="167">
        <v>4000</v>
      </c>
      <c r="DT15" s="167">
        <v>4000</v>
      </c>
      <c r="DU15" s="167">
        <v>4000</v>
      </c>
      <c r="DV15" s="167">
        <v>4000</v>
      </c>
      <c r="DW15" s="167">
        <v>4000</v>
      </c>
      <c r="DX15" s="167">
        <v>4000</v>
      </c>
      <c r="DY15" s="167">
        <v>4000</v>
      </c>
      <c r="DZ15" s="167">
        <v>4000</v>
      </c>
      <c r="EA15" s="167">
        <v>4000</v>
      </c>
      <c r="EB15" s="167">
        <v>4000</v>
      </c>
      <c r="EC15" s="167">
        <v>4000</v>
      </c>
      <c r="ED15" s="167">
        <v>4000</v>
      </c>
      <c r="EE15" s="167">
        <v>4000</v>
      </c>
      <c r="EF15" s="167">
        <v>4000</v>
      </c>
      <c r="EG15" s="167">
        <v>4000</v>
      </c>
      <c r="EH15" s="167">
        <v>4000</v>
      </c>
      <c r="EI15" s="167">
        <v>4000</v>
      </c>
      <c r="EJ15" s="167">
        <v>4000</v>
      </c>
      <c r="EK15" s="167">
        <v>4000</v>
      </c>
      <c r="EL15" s="167">
        <v>4000</v>
      </c>
      <c r="EM15" s="167">
        <v>4000</v>
      </c>
      <c r="EN15" s="167">
        <v>4000</v>
      </c>
      <c r="EO15" s="167">
        <v>4000</v>
      </c>
      <c r="EP15" t="str">
        <f t="shared" si="0"/>
        <v>0y 186d</v>
      </c>
    </row>
    <row r="16" spans="2:154" x14ac:dyDescent="0.25">
      <c r="B16" s="9">
        <v>13</v>
      </c>
      <c r="D16">
        <v>1104425.3516660836</v>
      </c>
      <c r="E16" s="12">
        <v>-9928671481.7832127</v>
      </c>
      <c r="F16" s="12">
        <v>-9293930147.9806099</v>
      </c>
      <c r="G16" s="12">
        <v>0</v>
      </c>
      <c r="H16" s="12">
        <v>2275857.5120101976</v>
      </c>
      <c r="I16" s="12">
        <v>21465326808.313007</v>
      </c>
      <c r="J16" s="12">
        <v>-518048441.99144024</v>
      </c>
      <c r="K16" s="12">
        <v>-15368413.129076147</v>
      </c>
      <c r="L16" s="12">
        <v>494507.97771306307</v>
      </c>
      <c r="M16" s="12">
        <v>11842545387.196371</v>
      </c>
      <c r="N16" s="12">
        <v>6853453467.3168354</v>
      </c>
      <c r="O16" s="12"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G16" s="8"/>
      <c r="AH16" s="8"/>
      <c r="AI16" s="8"/>
      <c r="AK16" s="6" t="s">
        <v>12</v>
      </c>
      <c r="AL16" s="19">
        <v>106.86890065161556</v>
      </c>
      <c r="AM16" s="19">
        <v>235.002998807696</v>
      </c>
      <c r="AS16" s="6">
        <v>4189294.6754580708</v>
      </c>
      <c r="AT16" s="167">
        <v>4000</v>
      </c>
      <c r="AU16" s="167">
        <v>4000</v>
      </c>
      <c r="AV16" s="167">
        <v>4000</v>
      </c>
      <c r="AW16" s="167">
        <v>4000</v>
      </c>
      <c r="AX16" s="167">
        <v>4000</v>
      </c>
      <c r="AY16" s="167">
        <v>4000</v>
      </c>
      <c r="AZ16" s="167">
        <v>4000</v>
      </c>
      <c r="BA16" s="167">
        <v>4000</v>
      </c>
      <c r="BB16" s="167">
        <v>4000</v>
      </c>
      <c r="BC16" s="167">
        <v>4000</v>
      </c>
      <c r="BD16" s="167">
        <v>4000</v>
      </c>
      <c r="BE16" s="167">
        <v>4000</v>
      </c>
      <c r="BF16" s="167">
        <v>4000</v>
      </c>
      <c r="BG16" s="167">
        <v>4000</v>
      </c>
      <c r="BH16" s="167">
        <v>4000</v>
      </c>
      <c r="BI16" s="167">
        <v>4000</v>
      </c>
      <c r="BJ16" s="167">
        <v>4000</v>
      </c>
      <c r="BK16" s="167">
        <v>4000</v>
      </c>
      <c r="BL16" s="167">
        <v>3779.2419894575833</v>
      </c>
      <c r="BM16" s="167">
        <v>3552.1526177129836</v>
      </c>
      <c r="BN16" s="167">
        <v>3331.8853095404747</v>
      </c>
      <c r="BO16" s="167">
        <v>3120.1847418987436</v>
      </c>
      <c r="BP16" s="167">
        <v>2918.9569730482317</v>
      </c>
      <c r="BQ16" s="167">
        <v>2730.2845269918907</v>
      </c>
      <c r="BR16" s="167">
        <v>2556.4411838685091</v>
      </c>
      <c r="BS16" s="167">
        <v>2399.9037918116624</v>
      </c>
      <c r="BT16" s="167">
        <v>2263.3564878102243</v>
      </c>
      <c r="BU16" s="167">
        <v>2149.6801449871314</v>
      </c>
      <c r="BV16" s="167">
        <v>2061.9186711312877</v>
      </c>
      <c r="BW16" s="167">
        <v>2003.2126807740535</v>
      </c>
      <c r="BX16" s="167">
        <v>1976.6721842532202</v>
      </c>
      <c r="BY16" s="167">
        <v>1985.1835054780033</v>
      </c>
      <c r="BZ16" s="167">
        <v>2031.1455538632006</v>
      </c>
      <c r="CA16" s="167">
        <v>2116.1990683476056</v>
      </c>
      <c r="CB16" s="167">
        <v>2241.0234018683045</v>
      </c>
      <c r="CC16" s="167">
        <v>2405.2761816226662</v>
      </c>
      <c r="CD16" s="167">
        <v>2607.7028417316806</v>
      </c>
      <c r="CE16" s="167">
        <v>2846.375607083568</v>
      </c>
      <c r="CF16" s="167">
        <v>3118.9815166698445</v>
      </c>
      <c r="CG16" s="167">
        <v>3423.0740667954351</v>
      </c>
      <c r="CH16" s="167">
        <v>3756.2649909900865</v>
      </c>
      <c r="CI16" s="167">
        <v>4000</v>
      </c>
      <c r="CJ16" s="167">
        <v>4000</v>
      </c>
      <c r="CK16" s="167">
        <v>4000</v>
      </c>
      <c r="CL16" s="167">
        <v>4000</v>
      </c>
      <c r="CM16" s="167">
        <v>4000</v>
      </c>
      <c r="CN16" s="167">
        <v>4000</v>
      </c>
      <c r="CO16" s="167">
        <v>4000</v>
      </c>
      <c r="CP16" s="167">
        <v>4000</v>
      </c>
      <c r="CQ16" s="167">
        <v>4000</v>
      </c>
      <c r="CR16" s="167">
        <v>4000</v>
      </c>
      <c r="CS16" s="167">
        <v>4000</v>
      </c>
      <c r="CT16" s="167">
        <v>4000</v>
      </c>
      <c r="CU16" s="167">
        <v>4000</v>
      </c>
      <c r="CV16" s="167">
        <v>4000</v>
      </c>
      <c r="CW16" s="167">
        <v>4000</v>
      </c>
      <c r="CX16" s="167">
        <v>4000</v>
      </c>
      <c r="CY16" s="167">
        <v>4000</v>
      </c>
      <c r="CZ16" s="167">
        <v>4000</v>
      </c>
      <c r="DA16" s="167">
        <v>4000</v>
      </c>
      <c r="DB16" s="167">
        <v>4000</v>
      </c>
      <c r="DC16" s="167">
        <v>4000</v>
      </c>
      <c r="DD16" s="167">
        <v>4000</v>
      </c>
      <c r="DE16" s="167">
        <v>4000</v>
      </c>
      <c r="DF16" s="167">
        <v>4000</v>
      </c>
      <c r="DG16" s="167">
        <v>4000</v>
      </c>
      <c r="DH16" s="167">
        <v>4000</v>
      </c>
      <c r="DI16" s="167">
        <v>4000</v>
      </c>
      <c r="DJ16" s="167">
        <v>4000</v>
      </c>
      <c r="DK16" s="167">
        <v>4000</v>
      </c>
      <c r="DL16" s="167">
        <v>4000</v>
      </c>
      <c r="DM16" s="167">
        <v>4000</v>
      </c>
      <c r="DN16" s="167">
        <v>4000</v>
      </c>
      <c r="DO16" s="167">
        <v>4000</v>
      </c>
      <c r="DP16" s="167">
        <v>4000</v>
      </c>
      <c r="DQ16" s="167">
        <v>4000</v>
      </c>
      <c r="DR16" s="167">
        <v>4000</v>
      </c>
      <c r="DS16" s="167">
        <v>4000</v>
      </c>
      <c r="DT16" s="167">
        <v>4000</v>
      </c>
      <c r="DU16" s="167">
        <v>4000</v>
      </c>
      <c r="DV16" s="167">
        <v>4000</v>
      </c>
      <c r="DW16" s="167">
        <v>4000</v>
      </c>
      <c r="DX16" s="167">
        <v>4000</v>
      </c>
      <c r="DY16" s="167">
        <v>4000</v>
      </c>
      <c r="DZ16" s="167">
        <v>4000</v>
      </c>
      <c r="EA16" s="167">
        <v>4000</v>
      </c>
      <c r="EB16" s="167">
        <v>4000</v>
      </c>
      <c r="EC16" s="167">
        <v>4000</v>
      </c>
      <c r="ED16" s="167">
        <v>4000</v>
      </c>
      <c r="EE16" s="167">
        <v>4000</v>
      </c>
      <c r="EF16" s="167">
        <v>4000</v>
      </c>
      <c r="EG16" s="167">
        <v>4000</v>
      </c>
      <c r="EH16" s="167">
        <v>4000</v>
      </c>
      <c r="EI16" s="167">
        <v>4000</v>
      </c>
      <c r="EJ16" s="167">
        <v>4000</v>
      </c>
      <c r="EK16" s="167">
        <v>4000</v>
      </c>
      <c r="EL16" s="167">
        <v>4000</v>
      </c>
      <c r="EM16" s="167">
        <v>4000</v>
      </c>
      <c r="EN16" s="167">
        <v>4000</v>
      </c>
      <c r="EO16" s="167">
        <v>4000</v>
      </c>
      <c r="EP16" t="str">
        <f t="shared" si="0"/>
        <v>0y 194d</v>
      </c>
    </row>
    <row r="17" spans="2:154" x14ac:dyDescent="0.25">
      <c r="B17" s="9">
        <v>14</v>
      </c>
      <c r="D17">
        <v>1196460.7976382575</v>
      </c>
      <c r="E17" s="12">
        <v>-9325508814.1423225</v>
      </c>
      <c r="F17" s="12">
        <v>-9899017140.4070206</v>
      </c>
      <c r="G17" s="12">
        <v>0</v>
      </c>
      <c r="H17" s="12">
        <v>2461501.1745131034</v>
      </c>
      <c r="I17" s="12">
        <v>21405201727.836693</v>
      </c>
      <c r="J17" s="12">
        <v>828845256.15559649</v>
      </c>
      <c r="K17" s="12">
        <v>-16330296.171223613</v>
      </c>
      <c r="L17" s="12">
        <v>536178.47276267887</v>
      </c>
      <c r="M17" s="12">
        <v>11644286055.227709</v>
      </c>
      <c r="N17" s="12">
        <v>7223659292.6622972</v>
      </c>
      <c r="O17" s="12"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G17" s="254" t="s">
        <v>37</v>
      </c>
      <c r="AH17" s="254"/>
      <c r="AI17" s="254"/>
      <c r="AK17" s="6" t="s">
        <v>13</v>
      </c>
      <c r="AL17" s="19">
        <v>304.71005520583452</v>
      </c>
      <c r="AM17" s="19">
        <v>357.94341085380773</v>
      </c>
      <c r="AS17" s="6">
        <v>4368163.4368821234</v>
      </c>
      <c r="AT17" s="167">
        <v>4000</v>
      </c>
      <c r="AU17" s="167">
        <v>4000</v>
      </c>
      <c r="AV17" s="167">
        <v>4000</v>
      </c>
      <c r="AW17" s="167">
        <v>4000</v>
      </c>
      <c r="AX17" s="167">
        <v>4000</v>
      </c>
      <c r="AY17" s="167">
        <v>4000</v>
      </c>
      <c r="AZ17" s="167">
        <v>4000</v>
      </c>
      <c r="BA17" s="167">
        <v>4000</v>
      </c>
      <c r="BB17" s="167">
        <v>4000</v>
      </c>
      <c r="BC17" s="167">
        <v>4000</v>
      </c>
      <c r="BD17" s="167">
        <v>4000</v>
      </c>
      <c r="BE17" s="167">
        <v>4000</v>
      </c>
      <c r="BF17" s="167">
        <v>4000</v>
      </c>
      <c r="BG17" s="167">
        <v>4000</v>
      </c>
      <c r="BH17" s="167">
        <v>4000</v>
      </c>
      <c r="BI17" s="167">
        <v>4000</v>
      </c>
      <c r="BJ17" s="167">
        <v>3903.8578941580927</v>
      </c>
      <c r="BK17" s="167">
        <v>3688.713187913042</v>
      </c>
      <c r="BL17" s="167">
        <v>3477.7596547518983</v>
      </c>
      <c r="BM17" s="167">
        <v>3272.3102855989314</v>
      </c>
      <c r="BN17" s="167">
        <v>3073.8389029954837</v>
      </c>
      <c r="BO17" s="167">
        <v>2883.9683455875452</v>
      </c>
      <c r="BP17" s="167">
        <v>2704.4781606410506</v>
      </c>
      <c r="BQ17" s="167">
        <v>2537.3175735750956</v>
      </c>
      <c r="BR17" s="167">
        <v>2384.6183483319192</v>
      </c>
      <c r="BS17" s="167">
        <v>2248.70286350794</v>
      </c>
      <c r="BT17" s="167">
        <v>2132.0810805418796</v>
      </c>
      <c r="BU17" s="167">
        <v>2037.4289242171681</v>
      </c>
      <c r="BV17" s="167">
        <v>1967.5431413220599</v>
      </c>
      <c r="BW17" s="167">
        <v>1925.2566050616765</v>
      </c>
      <c r="BX17" s="167">
        <v>1913.3086398794305</v>
      </c>
      <c r="BY17" s="167">
        <v>1934.1483754324897</v>
      </c>
      <c r="BZ17" s="167">
        <v>1989.7121959572992</v>
      </c>
      <c r="CA17" s="167">
        <v>2081.2254391961465</v>
      </c>
      <c r="CB17" s="167">
        <v>2209.0870235914044</v>
      </c>
      <c r="CC17" s="167">
        <v>2372.8759531023261</v>
      </c>
      <c r="CD17" s="167">
        <v>2571.4771361891562</v>
      </c>
      <c r="CE17" s="167">
        <v>2803.2837143959505</v>
      </c>
      <c r="CF17" s="167">
        <v>3066.4111424420698</v>
      </c>
      <c r="CG17" s="167">
        <v>3358.8856561860143</v>
      </c>
      <c r="CH17" s="167">
        <v>3678.7728523459155</v>
      </c>
      <c r="CI17" s="167">
        <v>4000</v>
      </c>
      <c r="CJ17" s="167">
        <v>4000</v>
      </c>
      <c r="CK17" s="167">
        <v>4000</v>
      </c>
      <c r="CL17" s="167">
        <v>4000</v>
      </c>
      <c r="CM17" s="167">
        <v>4000</v>
      </c>
      <c r="CN17" s="167">
        <v>4000</v>
      </c>
      <c r="CO17" s="167">
        <v>4000</v>
      </c>
      <c r="CP17" s="167">
        <v>4000</v>
      </c>
      <c r="CQ17" s="167">
        <v>4000</v>
      </c>
      <c r="CR17" s="167">
        <v>4000</v>
      </c>
      <c r="CS17" s="167">
        <v>4000</v>
      </c>
      <c r="CT17" s="167">
        <v>4000</v>
      </c>
      <c r="CU17" s="167">
        <v>4000</v>
      </c>
      <c r="CV17" s="167">
        <v>4000</v>
      </c>
      <c r="CW17" s="167">
        <v>4000</v>
      </c>
      <c r="CX17" s="167">
        <v>4000</v>
      </c>
      <c r="CY17" s="167">
        <v>4000</v>
      </c>
      <c r="CZ17" s="167">
        <v>4000</v>
      </c>
      <c r="DA17" s="167">
        <v>4000</v>
      </c>
      <c r="DB17" s="167">
        <v>4000</v>
      </c>
      <c r="DC17" s="167">
        <v>4000</v>
      </c>
      <c r="DD17" s="167">
        <v>4000</v>
      </c>
      <c r="DE17" s="167">
        <v>4000</v>
      </c>
      <c r="DF17" s="167">
        <v>4000</v>
      </c>
      <c r="DG17" s="167">
        <v>4000</v>
      </c>
      <c r="DH17" s="167">
        <v>4000</v>
      </c>
      <c r="DI17" s="167">
        <v>4000</v>
      </c>
      <c r="DJ17" s="167">
        <v>4000</v>
      </c>
      <c r="DK17" s="167">
        <v>4000</v>
      </c>
      <c r="DL17" s="167">
        <v>4000</v>
      </c>
      <c r="DM17" s="167">
        <v>4000</v>
      </c>
      <c r="DN17" s="167">
        <v>4000</v>
      </c>
      <c r="DO17" s="167">
        <v>4000</v>
      </c>
      <c r="DP17" s="167">
        <v>4000</v>
      </c>
      <c r="DQ17" s="167">
        <v>4000</v>
      </c>
      <c r="DR17" s="167">
        <v>4000</v>
      </c>
      <c r="DS17" s="167">
        <v>4000</v>
      </c>
      <c r="DT17" s="167">
        <v>4000</v>
      </c>
      <c r="DU17" s="167">
        <v>4000</v>
      </c>
      <c r="DV17" s="167">
        <v>4000</v>
      </c>
      <c r="DW17" s="167">
        <v>4000</v>
      </c>
      <c r="DX17" s="167">
        <v>4000</v>
      </c>
      <c r="DY17" s="167">
        <v>4000</v>
      </c>
      <c r="DZ17" s="167">
        <v>4000</v>
      </c>
      <c r="EA17" s="167">
        <v>4000</v>
      </c>
      <c r="EB17" s="167">
        <v>4000</v>
      </c>
      <c r="EC17" s="167">
        <v>4000</v>
      </c>
      <c r="ED17" s="167">
        <v>4000</v>
      </c>
      <c r="EE17" s="167">
        <v>4000</v>
      </c>
      <c r="EF17" s="167">
        <v>4000</v>
      </c>
      <c r="EG17" s="167">
        <v>4000</v>
      </c>
      <c r="EH17" s="167">
        <v>4000</v>
      </c>
      <c r="EI17" s="167">
        <v>4000</v>
      </c>
      <c r="EJ17" s="167">
        <v>4000</v>
      </c>
      <c r="EK17" s="167">
        <v>4000</v>
      </c>
      <c r="EL17" s="167">
        <v>4000</v>
      </c>
      <c r="EM17" s="167">
        <v>4000</v>
      </c>
      <c r="EN17" s="167">
        <v>4000</v>
      </c>
      <c r="EO17" s="167">
        <v>4000</v>
      </c>
      <c r="EP17" t="str">
        <f t="shared" si="0"/>
        <v>0y 202d</v>
      </c>
    </row>
    <row r="18" spans="2:154" x14ac:dyDescent="0.25">
      <c r="B18" s="9">
        <v>15</v>
      </c>
      <c r="D18">
        <v>1288496.2436104303</v>
      </c>
      <c r="E18" s="12">
        <v>-8685542623.6317406</v>
      </c>
      <c r="F18" s="12">
        <v>-10465037234.610989</v>
      </c>
      <c r="G18" s="12">
        <v>0</v>
      </c>
      <c r="H18" s="12">
        <v>2646249.8409605776</v>
      </c>
      <c r="I18" s="12">
        <v>21258046266.381985</v>
      </c>
      <c r="J18" s="12">
        <v>2165866548.1285849</v>
      </c>
      <c r="K18" s="12">
        <v>-17220925.877898701</v>
      </c>
      <c r="L18" s="12">
        <v>577978.65549364546</v>
      </c>
      <c r="M18" s="12">
        <v>11436155113.640463</v>
      </c>
      <c r="N18" s="12">
        <v>7589275996.4977961</v>
      </c>
      <c r="O18" s="12"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G18" s="9" t="s">
        <v>22</v>
      </c>
      <c r="AH18" s="9" t="s">
        <v>23</v>
      </c>
      <c r="AI18" s="9" t="s">
        <v>26</v>
      </c>
      <c r="AK18" s="6" t="s">
        <v>14</v>
      </c>
      <c r="AL18" s="19">
        <v>240.26408768688665</v>
      </c>
      <c r="AM18" s="19">
        <v>206.23695774268973</v>
      </c>
      <c r="AS18" s="6">
        <v>4547032.1983061759</v>
      </c>
      <c r="AT18" s="167">
        <v>4000</v>
      </c>
      <c r="AU18" s="167">
        <v>4000</v>
      </c>
      <c r="AV18" s="167">
        <v>4000</v>
      </c>
      <c r="AW18" s="167">
        <v>4000</v>
      </c>
      <c r="AX18" s="167">
        <v>4000</v>
      </c>
      <c r="AY18" s="167">
        <v>4000</v>
      </c>
      <c r="AZ18" s="167">
        <v>4000</v>
      </c>
      <c r="BA18" s="167">
        <v>4000</v>
      </c>
      <c r="BB18" s="167">
        <v>4000</v>
      </c>
      <c r="BC18" s="167">
        <v>4000</v>
      </c>
      <c r="BD18" s="167">
        <v>4000</v>
      </c>
      <c r="BE18" s="167">
        <v>4000</v>
      </c>
      <c r="BF18" s="167">
        <v>4000</v>
      </c>
      <c r="BG18" s="167">
        <v>4000</v>
      </c>
      <c r="BH18" s="167">
        <v>3999.0969373834932</v>
      </c>
      <c r="BI18" s="167">
        <v>3798.2540715836835</v>
      </c>
      <c r="BJ18" s="167">
        <v>3600.5622072792285</v>
      </c>
      <c r="BK18" s="167">
        <v>3404.3376128221216</v>
      </c>
      <c r="BL18" s="167">
        <v>3212.9055979428076</v>
      </c>
      <c r="BM18" s="167">
        <v>3027.2678828566313</v>
      </c>
      <c r="BN18" s="167">
        <v>2848.7500003081195</v>
      </c>
      <c r="BO18" s="167">
        <v>2678.8550720490598</v>
      </c>
      <c r="BP18" s="167">
        <v>2519.2449750118781</v>
      </c>
      <c r="BQ18" s="167">
        <v>2371.7448736175679</v>
      </c>
      <c r="BR18" s="167">
        <v>2238.3504593938137</v>
      </c>
      <c r="BS18" s="167">
        <v>2121.2289653992007</v>
      </c>
      <c r="BT18" s="167">
        <v>2022.7063324337655</v>
      </c>
      <c r="BU18" s="167">
        <v>1945.2359333052757</v>
      </c>
      <c r="BV18" s="167">
        <v>1891.3400979091575</v>
      </c>
      <c r="BW18" s="167">
        <v>1863.5285330788415</v>
      </c>
      <c r="BX18" s="167">
        <v>1864.1617915128231</v>
      </c>
      <c r="BY18" s="167">
        <v>1895.27796513066</v>
      </c>
      <c r="BZ18" s="167">
        <v>1958.418053226741</v>
      </c>
      <c r="CA18" s="167">
        <v>2054.4955826519845</v>
      </c>
      <c r="CB18" s="167">
        <v>2183.7450993406419</v>
      </c>
      <c r="CC18" s="167">
        <v>2345.7629371156359</v>
      </c>
      <c r="CD18" s="167">
        <v>2539.6250081038352</v>
      </c>
      <c r="CE18" s="167">
        <v>2764.0460808675934</v>
      </c>
      <c r="CF18" s="167">
        <v>3017.5348982247128</v>
      </c>
      <c r="CG18" s="167">
        <v>3298.5292179018206</v>
      </c>
      <c r="CH18" s="167">
        <v>3605.4850137753283</v>
      </c>
      <c r="CI18" s="167">
        <v>3936.9310921683236</v>
      </c>
      <c r="CJ18" s="167">
        <v>4000</v>
      </c>
      <c r="CK18" s="167">
        <v>4000</v>
      </c>
      <c r="CL18" s="167">
        <v>4000</v>
      </c>
      <c r="CM18" s="167">
        <v>4000</v>
      </c>
      <c r="CN18" s="167">
        <v>4000</v>
      </c>
      <c r="CO18" s="167">
        <v>4000</v>
      </c>
      <c r="CP18" s="167">
        <v>4000</v>
      </c>
      <c r="CQ18" s="167">
        <v>4000</v>
      </c>
      <c r="CR18" s="167">
        <v>4000</v>
      </c>
      <c r="CS18" s="167">
        <v>4000</v>
      </c>
      <c r="CT18" s="167">
        <v>4000</v>
      </c>
      <c r="CU18" s="167">
        <v>4000</v>
      </c>
      <c r="CV18" s="167">
        <v>4000</v>
      </c>
      <c r="CW18" s="167">
        <v>4000</v>
      </c>
      <c r="CX18" s="167">
        <v>4000</v>
      </c>
      <c r="CY18" s="167">
        <v>4000</v>
      </c>
      <c r="CZ18" s="167">
        <v>4000</v>
      </c>
      <c r="DA18" s="167">
        <v>4000</v>
      </c>
      <c r="DB18" s="167">
        <v>4000</v>
      </c>
      <c r="DC18" s="167">
        <v>4000</v>
      </c>
      <c r="DD18" s="167">
        <v>4000</v>
      </c>
      <c r="DE18" s="167">
        <v>4000</v>
      </c>
      <c r="DF18" s="167">
        <v>4000</v>
      </c>
      <c r="DG18" s="167">
        <v>4000</v>
      </c>
      <c r="DH18" s="167">
        <v>4000</v>
      </c>
      <c r="DI18" s="167">
        <v>4000</v>
      </c>
      <c r="DJ18" s="167">
        <v>4000</v>
      </c>
      <c r="DK18" s="167">
        <v>4000</v>
      </c>
      <c r="DL18" s="167">
        <v>4000</v>
      </c>
      <c r="DM18" s="167">
        <v>4000</v>
      </c>
      <c r="DN18" s="167">
        <v>4000</v>
      </c>
      <c r="DO18" s="167">
        <v>4000</v>
      </c>
      <c r="DP18" s="167">
        <v>4000</v>
      </c>
      <c r="DQ18" s="167">
        <v>4000</v>
      </c>
      <c r="DR18" s="167">
        <v>4000</v>
      </c>
      <c r="DS18" s="167">
        <v>4000</v>
      </c>
      <c r="DT18" s="167">
        <v>4000</v>
      </c>
      <c r="DU18" s="167">
        <v>4000</v>
      </c>
      <c r="DV18" s="167">
        <v>4000</v>
      </c>
      <c r="DW18" s="167">
        <v>4000</v>
      </c>
      <c r="DX18" s="167">
        <v>4000</v>
      </c>
      <c r="DY18" s="167">
        <v>4000</v>
      </c>
      <c r="DZ18" s="167">
        <v>4000</v>
      </c>
      <c r="EA18" s="167">
        <v>4000</v>
      </c>
      <c r="EB18" s="167">
        <v>4000</v>
      </c>
      <c r="EC18" s="167">
        <v>4000</v>
      </c>
      <c r="ED18" s="167">
        <v>4000</v>
      </c>
      <c r="EE18" s="167">
        <v>4000</v>
      </c>
      <c r="EF18" s="167">
        <v>4000</v>
      </c>
      <c r="EG18" s="167">
        <v>4000</v>
      </c>
      <c r="EH18" s="167">
        <v>4000</v>
      </c>
      <c r="EI18" s="167">
        <v>4000</v>
      </c>
      <c r="EJ18" s="167">
        <v>4000</v>
      </c>
      <c r="EK18" s="167">
        <v>4000</v>
      </c>
      <c r="EL18" s="167">
        <v>4000</v>
      </c>
      <c r="EM18" s="167">
        <v>4000</v>
      </c>
      <c r="EN18" s="167">
        <v>4000</v>
      </c>
      <c r="EO18" s="167">
        <v>4000</v>
      </c>
      <c r="EP18" t="str">
        <f t="shared" si="0"/>
        <v>0y 211d</v>
      </c>
    </row>
    <row r="19" spans="2:154" x14ac:dyDescent="0.25">
      <c r="B19" s="9">
        <v>16</v>
      </c>
      <c r="D19">
        <v>1380531.6895826028</v>
      </c>
      <c r="E19" s="12">
        <v>-8011298564.4326744</v>
      </c>
      <c r="F19" s="12">
        <v>-10989756607.870674</v>
      </c>
      <c r="G19" s="12">
        <v>0</v>
      </c>
      <c r="H19" s="12">
        <v>2830059.3692614222</v>
      </c>
      <c r="I19" s="12">
        <v>21025144830.261505</v>
      </c>
      <c r="J19" s="12">
        <v>3487281249.1075225</v>
      </c>
      <c r="K19" s="12">
        <v>-18036962.046237104</v>
      </c>
      <c r="L19" s="12">
        <v>619921.25572315382</v>
      </c>
      <c r="M19" s="12">
        <v>11218209752.587954</v>
      </c>
      <c r="N19" s="12">
        <v>7950095811.6626081</v>
      </c>
      <c r="O19" s="12"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G19" s="8">
        <v>0</v>
      </c>
      <c r="AH19" s="8">
        <v>0</v>
      </c>
      <c r="AI19" s="8">
        <v>0</v>
      </c>
      <c r="AK19" s="6" t="s">
        <v>15</v>
      </c>
      <c r="AL19" s="19">
        <v>32.006752667852275</v>
      </c>
      <c r="AM19" s="19">
        <v>253.40857647048645</v>
      </c>
      <c r="AS19" s="6">
        <v>4725900.9597302284</v>
      </c>
      <c r="AT19" s="167">
        <v>4000</v>
      </c>
      <c r="AU19" s="167">
        <v>4000</v>
      </c>
      <c r="AV19" s="167">
        <v>4000</v>
      </c>
      <c r="AW19" s="167">
        <v>4000</v>
      </c>
      <c r="AX19" s="167">
        <v>4000</v>
      </c>
      <c r="AY19" s="167">
        <v>4000</v>
      </c>
      <c r="AZ19" s="167">
        <v>4000</v>
      </c>
      <c r="BA19" s="167">
        <v>4000</v>
      </c>
      <c r="BB19" s="167">
        <v>4000</v>
      </c>
      <c r="BC19" s="167">
        <v>4000</v>
      </c>
      <c r="BD19" s="167">
        <v>4000</v>
      </c>
      <c r="BE19" s="167">
        <v>4000</v>
      </c>
      <c r="BF19" s="167">
        <v>4000</v>
      </c>
      <c r="BG19" s="167">
        <v>3883.8130713790433</v>
      </c>
      <c r="BH19" s="167">
        <v>3696.5926768575791</v>
      </c>
      <c r="BI19" s="167">
        <v>3512.8258401750154</v>
      </c>
      <c r="BJ19" s="167">
        <v>3331.5484904910199</v>
      </c>
      <c r="BK19" s="167">
        <v>3154.7063212049361</v>
      </c>
      <c r="BL19" s="167">
        <v>2980.9302418006782</v>
      </c>
      <c r="BM19" s="167">
        <v>2813.4636043128248</v>
      </c>
      <c r="BN19" s="167">
        <v>2653.2766953609726</v>
      </c>
      <c r="BO19" s="167">
        <v>2501.7261869838158</v>
      </c>
      <c r="BP19" s="167">
        <v>2360.355230860675</v>
      </c>
      <c r="BQ19" s="167">
        <v>2230.866264326678</v>
      </c>
      <c r="BR19" s="167">
        <v>2115.1163891364504</v>
      </c>
      <c r="BS19" s="167">
        <v>2015.1086107783115</v>
      </c>
      <c r="BT19" s="167">
        <v>1932.9701640610888</v>
      </c>
      <c r="BU19" s="167">
        <v>1870.9092885842342</v>
      </c>
      <c r="BV19" s="167">
        <v>1831.1637982147204</v>
      </c>
      <c r="BW19" s="167">
        <v>1815.9152356520892</v>
      </c>
      <c r="BX19" s="167">
        <v>1827.1661180573446</v>
      </c>
      <c r="BY19" s="167">
        <v>1866.5950191324384</v>
      </c>
      <c r="BZ19" s="167">
        <v>1935.4306225511327</v>
      </c>
      <c r="CA19" s="167">
        <v>2034.3754527335177</v>
      </c>
      <c r="CB19" s="167">
        <v>2163.5941112017063</v>
      </c>
      <c r="CC19" s="167">
        <v>2322.7649424786459</v>
      </c>
      <c r="CD19" s="167">
        <v>2511.1778694657114</v>
      </c>
      <c r="CE19" s="167">
        <v>2727.85311343169</v>
      </c>
      <c r="CF19" s="167">
        <v>2971.649710843064</v>
      </c>
      <c r="CG19" s="167">
        <v>3241.3613101341671</v>
      </c>
      <c r="CH19" s="167">
        <v>3535.7775635915677</v>
      </c>
      <c r="CI19" s="167">
        <v>3853.7236306378481</v>
      </c>
      <c r="CJ19" s="167">
        <v>4000</v>
      </c>
      <c r="CK19" s="167">
        <v>4000</v>
      </c>
      <c r="CL19" s="167">
        <v>4000</v>
      </c>
      <c r="CM19" s="167">
        <v>4000</v>
      </c>
      <c r="CN19" s="167">
        <v>4000</v>
      </c>
      <c r="CO19" s="167">
        <v>4000</v>
      </c>
      <c r="CP19" s="167">
        <v>4000</v>
      </c>
      <c r="CQ19" s="167">
        <v>4000</v>
      </c>
      <c r="CR19" s="167">
        <v>4000</v>
      </c>
      <c r="CS19" s="167">
        <v>4000</v>
      </c>
      <c r="CT19" s="167">
        <v>4000</v>
      </c>
      <c r="CU19" s="167">
        <v>4000</v>
      </c>
      <c r="CV19" s="167">
        <v>4000</v>
      </c>
      <c r="CW19" s="167">
        <v>4000</v>
      </c>
      <c r="CX19" s="167">
        <v>4000</v>
      </c>
      <c r="CY19" s="167">
        <v>4000</v>
      </c>
      <c r="CZ19" s="167">
        <v>4000</v>
      </c>
      <c r="DA19" s="167">
        <v>4000</v>
      </c>
      <c r="DB19" s="167">
        <v>4000</v>
      </c>
      <c r="DC19" s="167">
        <v>4000</v>
      </c>
      <c r="DD19" s="167">
        <v>4000</v>
      </c>
      <c r="DE19" s="167">
        <v>4000</v>
      </c>
      <c r="DF19" s="167">
        <v>4000</v>
      </c>
      <c r="DG19" s="167">
        <v>4000</v>
      </c>
      <c r="DH19" s="167">
        <v>4000</v>
      </c>
      <c r="DI19" s="167">
        <v>4000</v>
      </c>
      <c r="DJ19" s="167">
        <v>4000</v>
      </c>
      <c r="DK19" s="167">
        <v>4000</v>
      </c>
      <c r="DL19" s="167">
        <v>4000</v>
      </c>
      <c r="DM19" s="167">
        <v>4000</v>
      </c>
      <c r="DN19" s="167">
        <v>4000</v>
      </c>
      <c r="DO19" s="167">
        <v>4000</v>
      </c>
      <c r="DP19" s="167">
        <v>4000</v>
      </c>
      <c r="DQ19" s="167">
        <v>4000</v>
      </c>
      <c r="DR19" s="167">
        <v>4000</v>
      </c>
      <c r="DS19" s="167">
        <v>4000</v>
      </c>
      <c r="DT19" s="167">
        <v>4000</v>
      </c>
      <c r="DU19" s="167">
        <v>4000</v>
      </c>
      <c r="DV19" s="167">
        <v>4000</v>
      </c>
      <c r="DW19" s="167">
        <v>4000</v>
      </c>
      <c r="DX19" s="167">
        <v>4000</v>
      </c>
      <c r="DY19" s="167">
        <v>4000</v>
      </c>
      <c r="DZ19" s="167">
        <v>4000</v>
      </c>
      <c r="EA19" s="167">
        <v>4000</v>
      </c>
      <c r="EB19" s="167">
        <v>4000</v>
      </c>
      <c r="EC19" s="167">
        <v>4000</v>
      </c>
      <c r="ED19" s="167">
        <v>4000</v>
      </c>
      <c r="EE19" s="167">
        <v>4000</v>
      </c>
      <c r="EF19" s="167">
        <v>4000</v>
      </c>
      <c r="EG19" s="167">
        <v>4000</v>
      </c>
      <c r="EH19" s="167">
        <v>4000</v>
      </c>
      <c r="EI19" s="167">
        <v>4000</v>
      </c>
      <c r="EJ19" s="167">
        <v>4000</v>
      </c>
      <c r="EK19" s="167">
        <v>4000</v>
      </c>
      <c r="EL19" s="167">
        <v>4000</v>
      </c>
      <c r="EM19" s="167">
        <v>4000</v>
      </c>
      <c r="EN19" s="167">
        <v>4000</v>
      </c>
      <c r="EO19" s="167">
        <v>4000</v>
      </c>
      <c r="EP19" t="str">
        <f t="shared" si="0"/>
        <v>0y 219d</v>
      </c>
    </row>
    <row r="20" spans="2:154" x14ac:dyDescent="0.25">
      <c r="B20" s="9">
        <v>17</v>
      </c>
      <c r="D20">
        <v>1472567.1355547754</v>
      </c>
      <c r="E20" s="12">
        <v>-7305437569.8139505</v>
      </c>
      <c r="F20" s="12">
        <v>-11471104432.541315</v>
      </c>
      <c r="G20" s="12">
        <v>0</v>
      </c>
      <c r="H20" s="12">
        <v>3012890.3708193293</v>
      </c>
      <c r="I20" s="12">
        <v>20708169547.279129</v>
      </c>
      <c r="J20" s="12">
        <v>4787513388.8200598</v>
      </c>
      <c r="K20" s="12">
        <v>-18775467.230079688</v>
      </c>
      <c r="L20" s="12">
        <v>662019.05865152343</v>
      </c>
      <c r="M20" s="12">
        <v>10990508990.786161</v>
      </c>
      <c r="N20" s="12">
        <v>8305908759.2445412</v>
      </c>
      <c r="O20" s="12"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G20" s="8"/>
      <c r="AH20" s="8"/>
      <c r="AI20" s="8"/>
      <c r="AS20" s="6">
        <v>4904769.7211542809</v>
      </c>
      <c r="AT20" s="167">
        <v>4000</v>
      </c>
      <c r="AU20" s="167">
        <v>4000</v>
      </c>
      <c r="AV20" s="167">
        <v>4000</v>
      </c>
      <c r="AW20" s="167">
        <v>4000</v>
      </c>
      <c r="AX20" s="167">
        <v>4000</v>
      </c>
      <c r="AY20" s="167">
        <v>4000</v>
      </c>
      <c r="AZ20" s="167">
        <v>4000</v>
      </c>
      <c r="BA20" s="167">
        <v>4000</v>
      </c>
      <c r="BB20" s="167">
        <v>4000</v>
      </c>
      <c r="BC20" s="167">
        <v>4000</v>
      </c>
      <c r="BD20" s="167">
        <v>4000</v>
      </c>
      <c r="BE20" s="167">
        <v>3941.7401115772977</v>
      </c>
      <c r="BF20" s="167">
        <v>3770.5013580826453</v>
      </c>
      <c r="BG20" s="167">
        <v>3599.6835352582466</v>
      </c>
      <c r="BH20" s="167">
        <v>3430.2189750005109</v>
      </c>
      <c r="BI20" s="167">
        <v>3261.1671608924498</v>
      </c>
      <c r="BJ20" s="167">
        <v>3096.0590319538715</v>
      </c>
      <c r="BK20" s="167">
        <v>2934.7653265124309</v>
      </c>
      <c r="BL20" s="167">
        <v>2778.3295476037028</v>
      </c>
      <c r="BM20" s="167">
        <v>2627.9384069701782</v>
      </c>
      <c r="BN20" s="167">
        <v>2484.6502222646859</v>
      </c>
      <c r="BO20" s="167">
        <v>2349.9984730776141</v>
      </c>
      <c r="BP20" s="167">
        <v>2225.3932736470992</v>
      </c>
      <c r="BQ20" s="167">
        <v>2112.4108709638867</v>
      </c>
      <c r="BR20" s="167">
        <v>2012.7630089359041</v>
      </c>
      <c r="BS20" s="167">
        <v>1928.2749356160296</v>
      </c>
      <c r="BT20" s="167">
        <v>1860.8580687624683</v>
      </c>
      <c r="BU20" s="167">
        <v>1812.4681978330445</v>
      </c>
      <c r="BV20" s="167">
        <v>1785.0562885663237</v>
      </c>
      <c r="BW20" s="167">
        <v>1780.4948816799103</v>
      </c>
      <c r="BX20" s="167">
        <v>1800.4705340747823</v>
      </c>
      <c r="BY20" s="167">
        <v>1846.3694255826244</v>
      </c>
      <c r="BZ20" s="167">
        <v>1919.1929347228577</v>
      </c>
      <c r="CA20" s="167">
        <v>2019.5192564763461</v>
      </c>
      <c r="CB20" s="167">
        <v>2147.5121156894143</v>
      </c>
      <c r="CC20" s="167">
        <v>2302.9694153670807</v>
      </c>
      <c r="CD20" s="167">
        <v>2485.3982959177674</v>
      </c>
      <c r="CE20" s="167">
        <v>2694.096278495027</v>
      </c>
      <c r="CF20" s="167">
        <v>2928.2308248387408</v>
      </c>
      <c r="CG20" s="167">
        <v>3186.9002326438049</v>
      </c>
      <c r="CH20" s="167">
        <v>3469.1786110813537</v>
      </c>
      <c r="CI20" s="167">
        <v>3774.1441264769746</v>
      </c>
      <c r="CJ20" s="167">
        <v>4000</v>
      </c>
      <c r="CK20" s="167">
        <v>4000</v>
      </c>
      <c r="CL20" s="167">
        <v>4000</v>
      </c>
      <c r="CM20" s="167">
        <v>4000</v>
      </c>
      <c r="CN20" s="167">
        <v>4000</v>
      </c>
      <c r="CO20" s="167">
        <v>4000</v>
      </c>
      <c r="CP20" s="167">
        <v>4000</v>
      </c>
      <c r="CQ20" s="167">
        <v>4000</v>
      </c>
      <c r="CR20" s="167">
        <v>4000</v>
      </c>
      <c r="CS20" s="167">
        <v>4000</v>
      </c>
      <c r="CT20" s="167">
        <v>4000</v>
      </c>
      <c r="CU20" s="167">
        <v>4000</v>
      </c>
      <c r="CV20" s="167">
        <v>4000</v>
      </c>
      <c r="CW20" s="167">
        <v>4000</v>
      </c>
      <c r="CX20" s="167">
        <v>4000</v>
      </c>
      <c r="CY20" s="167">
        <v>4000</v>
      </c>
      <c r="CZ20" s="167">
        <v>4000</v>
      </c>
      <c r="DA20" s="167">
        <v>4000</v>
      </c>
      <c r="DB20" s="167">
        <v>4000</v>
      </c>
      <c r="DC20" s="167">
        <v>4000</v>
      </c>
      <c r="DD20" s="167">
        <v>4000</v>
      </c>
      <c r="DE20" s="167">
        <v>4000</v>
      </c>
      <c r="DF20" s="167">
        <v>4000</v>
      </c>
      <c r="DG20" s="167">
        <v>4000</v>
      </c>
      <c r="DH20" s="167">
        <v>4000</v>
      </c>
      <c r="DI20" s="167">
        <v>4000</v>
      </c>
      <c r="DJ20" s="167">
        <v>4000</v>
      </c>
      <c r="DK20" s="167">
        <v>4000</v>
      </c>
      <c r="DL20" s="167">
        <v>4000</v>
      </c>
      <c r="DM20" s="167">
        <v>4000</v>
      </c>
      <c r="DN20" s="167">
        <v>4000</v>
      </c>
      <c r="DO20" s="167">
        <v>4000</v>
      </c>
      <c r="DP20" s="167">
        <v>4000</v>
      </c>
      <c r="DQ20" s="167">
        <v>4000</v>
      </c>
      <c r="DR20" s="167">
        <v>4000</v>
      </c>
      <c r="DS20" s="167">
        <v>4000</v>
      </c>
      <c r="DT20" s="167">
        <v>4000</v>
      </c>
      <c r="DU20" s="167">
        <v>4000</v>
      </c>
      <c r="DV20" s="167">
        <v>4000</v>
      </c>
      <c r="DW20" s="167">
        <v>4000</v>
      </c>
      <c r="DX20" s="167">
        <v>4000</v>
      </c>
      <c r="DY20" s="167">
        <v>4000</v>
      </c>
      <c r="DZ20" s="167">
        <v>4000</v>
      </c>
      <c r="EA20" s="167">
        <v>4000</v>
      </c>
      <c r="EB20" s="167">
        <v>4000</v>
      </c>
      <c r="EC20" s="167">
        <v>4000</v>
      </c>
      <c r="ED20" s="167">
        <v>4000</v>
      </c>
      <c r="EE20" s="167">
        <v>4000</v>
      </c>
      <c r="EF20" s="167">
        <v>4000</v>
      </c>
      <c r="EG20" s="167">
        <v>4000</v>
      </c>
      <c r="EH20" s="167">
        <v>4000</v>
      </c>
      <c r="EI20" s="167">
        <v>4000</v>
      </c>
      <c r="EJ20" s="167">
        <v>4000</v>
      </c>
      <c r="EK20" s="167">
        <v>4000</v>
      </c>
      <c r="EL20" s="167">
        <v>4000</v>
      </c>
      <c r="EM20" s="167">
        <v>4000</v>
      </c>
      <c r="EN20" s="167">
        <v>4000</v>
      </c>
      <c r="EO20" s="167">
        <v>4000</v>
      </c>
      <c r="EP20" t="str">
        <f t="shared" si="0"/>
        <v>0y 227d</v>
      </c>
    </row>
    <row r="21" spans="2:154" x14ac:dyDescent="0.25">
      <c r="B21" s="9">
        <v>18</v>
      </c>
      <c r="D21">
        <v>1564602.5815269479</v>
      </c>
      <c r="E21" s="12">
        <v>-6570745350.6441259</v>
      </c>
      <c r="F21" s="12">
        <v>-11907181048.665833</v>
      </c>
      <c r="G21" s="12">
        <v>0</v>
      </c>
      <c r="H21" s="12">
        <v>3194708.3091572872</v>
      </c>
      <c r="I21" s="12">
        <v>20309160284.610287</v>
      </c>
      <c r="J21" s="12">
        <v>6061172079.8567152</v>
      </c>
      <c r="K21" s="12">
        <v>-19433912.141613241</v>
      </c>
      <c r="L21" s="12">
        <v>704284.90882765048</v>
      </c>
      <c r="M21" s="12">
        <v>10753113894.182434</v>
      </c>
      <c r="N21" s="12">
        <v>8656502485.4996376</v>
      </c>
      <c r="O21" s="12"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G21" s="8"/>
      <c r="AH21" s="8"/>
      <c r="AI21" s="8"/>
      <c r="AS21" s="6">
        <v>5083638.4825783335</v>
      </c>
      <c r="AT21" s="167">
        <v>4000</v>
      </c>
      <c r="AU21" s="167">
        <v>4000</v>
      </c>
      <c r="AV21" s="167">
        <v>4000</v>
      </c>
      <c r="AW21" s="167">
        <v>4000</v>
      </c>
      <c r="AX21" s="167">
        <v>4000</v>
      </c>
      <c r="AY21" s="167">
        <v>4000</v>
      </c>
      <c r="AZ21" s="167">
        <v>4000</v>
      </c>
      <c r="BA21" s="167">
        <v>4000</v>
      </c>
      <c r="BB21" s="167">
        <v>4000</v>
      </c>
      <c r="BC21" s="167">
        <v>3980.0894274379307</v>
      </c>
      <c r="BD21" s="167">
        <v>3822.5393639451777</v>
      </c>
      <c r="BE21" s="167">
        <v>3664.4795327909383</v>
      </c>
      <c r="BF21" s="167">
        <v>3506.5546387619506</v>
      </c>
      <c r="BG21" s="167">
        <v>3349.456013324565</v>
      </c>
      <c r="BH21" s="167">
        <v>3193.9283025298073</v>
      </c>
      <c r="BI21" s="167">
        <v>3040.7865465226187</v>
      </c>
      <c r="BJ21" s="167">
        <v>2890.9911299365604</v>
      </c>
      <c r="BK21" s="167">
        <v>2744.1066742818048</v>
      </c>
      <c r="BL21" s="167">
        <v>2603.1081070675145</v>
      </c>
      <c r="BM21" s="167">
        <v>2468.2102399503465</v>
      </c>
      <c r="BN21" s="167">
        <v>2340.6243446049248</v>
      </c>
      <c r="BO21" s="167">
        <v>2221.5784051016672</v>
      </c>
      <c r="BP21" s="167">
        <v>2112.3746770675543</v>
      </c>
      <c r="BQ21" s="167">
        <v>2014.4747132916048</v>
      </c>
      <c r="BR21" s="167">
        <v>1929.4381132552571</v>
      </c>
      <c r="BS21" s="167">
        <v>1858.9038508453962</v>
      </c>
      <c r="BT21" s="167">
        <v>1804.5592869440516</v>
      </c>
      <c r="BU21" s="167">
        <v>1768.1079845560355</v>
      </c>
      <c r="BV21" s="167">
        <v>1751.2328451603832</v>
      </c>
      <c r="BW21" s="167">
        <v>1755.5345566911078</v>
      </c>
      <c r="BX21" s="167">
        <v>1782.4398382296033</v>
      </c>
      <c r="BY21" s="167">
        <v>1833.1136000185604</v>
      </c>
      <c r="BZ21" s="167">
        <v>1908.4059925729518</v>
      </c>
      <c r="CA21" s="167">
        <v>2008.8377926160733</v>
      </c>
      <c r="CB21" s="167">
        <v>2134.6167872626966</v>
      </c>
      <c r="CC21" s="167">
        <v>2285.67689327978</v>
      </c>
      <c r="CD21" s="167">
        <v>2461.7310843655951</v>
      </c>
      <c r="CE21" s="167">
        <v>2662.3252667962915</v>
      </c>
      <c r="CF21" s="167">
        <v>2886.8916027987698</v>
      </c>
      <c r="CG21" s="167">
        <v>3134.7887784418645</v>
      </c>
      <c r="CH21" s="167">
        <v>3405.3330497011011</v>
      </c>
      <c r="CI21" s="167">
        <v>3697.8188138885907</v>
      </c>
      <c r="CJ21" s="167">
        <v>4000</v>
      </c>
      <c r="CK21" s="167">
        <v>4000</v>
      </c>
      <c r="CL21" s="167">
        <v>4000</v>
      </c>
      <c r="CM21" s="167">
        <v>4000</v>
      </c>
      <c r="CN21" s="167">
        <v>4000</v>
      </c>
      <c r="CO21" s="167">
        <v>4000</v>
      </c>
      <c r="CP21" s="167">
        <v>4000</v>
      </c>
      <c r="CQ21" s="167">
        <v>4000</v>
      </c>
      <c r="CR21" s="167">
        <v>4000</v>
      </c>
      <c r="CS21" s="167">
        <v>4000</v>
      </c>
      <c r="CT21" s="167">
        <v>4000</v>
      </c>
      <c r="CU21" s="167">
        <v>4000</v>
      </c>
      <c r="CV21" s="167">
        <v>4000</v>
      </c>
      <c r="CW21" s="167">
        <v>4000</v>
      </c>
      <c r="CX21" s="167">
        <v>4000</v>
      </c>
      <c r="CY21" s="167">
        <v>4000</v>
      </c>
      <c r="CZ21" s="167">
        <v>4000</v>
      </c>
      <c r="DA21" s="167">
        <v>4000</v>
      </c>
      <c r="DB21" s="167">
        <v>4000</v>
      </c>
      <c r="DC21" s="167">
        <v>4000</v>
      </c>
      <c r="DD21" s="167">
        <v>4000</v>
      </c>
      <c r="DE21" s="167">
        <v>4000</v>
      </c>
      <c r="DF21" s="167">
        <v>4000</v>
      </c>
      <c r="DG21" s="167">
        <v>4000</v>
      </c>
      <c r="DH21" s="167">
        <v>4000</v>
      </c>
      <c r="DI21" s="167">
        <v>4000</v>
      </c>
      <c r="DJ21" s="167">
        <v>4000</v>
      </c>
      <c r="DK21" s="167">
        <v>4000</v>
      </c>
      <c r="DL21" s="167">
        <v>4000</v>
      </c>
      <c r="DM21" s="167">
        <v>4000</v>
      </c>
      <c r="DN21" s="167">
        <v>4000</v>
      </c>
      <c r="DO21" s="167">
        <v>4000</v>
      </c>
      <c r="DP21" s="167">
        <v>4000</v>
      </c>
      <c r="DQ21" s="167">
        <v>4000</v>
      </c>
      <c r="DR21" s="167">
        <v>4000</v>
      </c>
      <c r="DS21" s="167">
        <v>4000</v>
      </c>
      <c r="DT21" s="167">
        <v>4000</v>
      </c>
      <c r="DU21" s="167">
        <v>4000</v>
      </c>
      <c r="DV21" s="167">
        <v>4000</v>
      </c>
      <c r="DW21" s="167">
        <v>4000</v>
      </c>
      <c r="DX21" s="167">
        <v>4000</v>
      </c>
      <c r="DY21" s="167">
        <v>4000</v>
      </c>
      <c r="DZ21" s="167">
        <v>4000</v>
      </c>
      <c r="EA21" s="167">
        <v>4000</v>
      </c>
      <c r="EB21" s="167">
        <v>4000</v>
      </c>
      <c r="EC21" s="167">
        <v>4000</v>
      </c>
      <c r="ED21" s="167">
        <v>4000</v>
      </c>
      <c r="EE21" s="167">
        <v>4000</v>
      </c>
      <c r="EF21" s="167">
        <v>4000</v>
      </c>
      <c r="EG21" s="167">
        <v>4000</v>
      </c>
      <c r="EH21" s="167">
        <v>4000</v>
      </c>
      <c r="EI21" s="167">
        <v>4000</v>
      </c>
      <c r="EJ21" s="167">
        <v>4000</v>
      </c>
      <c r="EK21" s="167">
        <v>4000</v>
      </c>
      <c r="EL21" s="167">
        <v>4000</v>
      </c>
      <c r="EM21" s="167">
        <v>4000</v>
      </c>
      <c r="EN21" s="167">
        <v>4000</v>
      </c>
      <c r="EO21" s="167">
        <v>4000</v>
      </c>
      <c r="EP21" t="str">
        <f t="shared" si="0"/>
        <v>0y 235d</v>
      </c>
    </row>
    <row r="22" spans="2:154" x14ac:dyDescent="0.25">
      <c r="B22" s="9">
        <v>19</v>
      </c>
      <c r="D22">
        <v>1656638.0274991207</v>
      </c>
      <c r="E22" s="12">
        <v>-5810121401.463315</v>
      </c>
      <c r="F22" s="12">
        <v>-12296265461.06484</v>
      </c>
      <c r="G22" s="12">
        <v>0</v>
      </c>
      <c r="H22" s="12">
        <v>3375483.5632904228</v>
      </c>
      <c r="I22" s="12">
        <v>19830502847.792122</v>
      </c>
      <c r="J22" s="12">
        <v>7303075788.3796959</v>
      </c>
      <c r="K22" s="12">
        <v>-20010177.777773138</v>
      </c>
      <c r="L22" s="12">
        <v>746731.71386998298</v>
      </c>
      <c r="M22" s="12">
        <v>10506087808.902443</v>
      </c>
      <c r="N22" s="12">
        <v>9001662107.2166996</v>
      </c>
      <c r="O22" s="12"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S22" s="6">
        <v>5262507.244002386</v>
      </c>
      <c r="AT22" s="167">
        <v>4000</v>
      </c>
      <c r="AU22" s="167">
        <v>4000</v>
      </c>
      <c r="AV22" s="167">
        <v>4000</v>
      </c>
      <c r="AW22" s="167">
        <v>4000</v>
      </c>
      <c r="AX22" s="167">
        <v>4000</v>
      </c>
      <c r="AY22" s="167">
        <v>4000</v>
      </c>
      <c r="AZ22" s="167">
        <v>4000</v>
      </c>
      <c r="BA22" s="167">
        <v>4000</v>
      </c>
      <c r="BB22" s="167">
        <v>3857.126172320548</v>
      </c>
      <c r="BC22" s="167">
        <v>3711.5876846622918</v>
      </c>
      <c r="BD22" s="167">
        <v>3565.4989568280403</v>
      </c>
      <c r="BE22" s="167">
        <v>3419.419905396162</v>
      </c>
      <c r="BF22" s="167">
        <v>3273.9497691252591</v>
      </c>
      <c r="BG22" s="167">
        <v>3129.7279106493588</v>
      </c>
      <c r="BH22" s="167">
        <v>2987.4376302644696</v>
      </c>
      <c r="BI22" s="167">
        <v>2847.8068403830034</v>
      </c>
      <c r="BJ22" s="167">
        <v>2711.6122224441478</v>
      </c>
      <c r="BK22" s="167">
        <v>2579.6787719145077</v>
      </c>
      <c r="BL22" s="167">
        <v>2452.8432765549578</v>
      </c>
      <c r="BM22" s="167">
        <v>2332.310997049186</v>
      </c>
      <c r="BN22" s="167">
        <v>2219.0099427948198</v>
      </c>
      <c r="BO22" s="167">
        <v>2115.3758304184312</v>
      </c>
      <c r="BP22" s="167">
        <v>2019.9645914498867</v>
      </c>
      <c r="BQ22" s="167">
        <v>1935.6116631560578</v>
      </c>
      <c r="BR22" s="167">
        <v>1863.6279225449591</v>
      </c>
      <c r="BS22" s="167">
        <v>1805.4285995188211</v>
      </c>
      <c r="BT22" s="167">
        <v>1762.4671192404544</v>
      </c>
      <c r="BU22" s="167">
        <v>1736.2060916161474</v>
      </c>
      <c r="BV22" s="167">
        <v>1728.0916767482965</v>
      </c>
      <c r="BW22" s="167">
        <v>1739.5004349212968</v>
      </c>
      <c r="BX22" s="167">
        <v>1771.6586658652805</v>
      </c>
      <c r="BY22" s="167">
        <v>1825.5744950806127</v>
      </c>
      <c r="BZ22" s="167">
        <v>1902.0070307063195</v>
      </c>
      <c r="CA22" s="167">
        <v>2001.4655138383232</v>
      </c>
      <c r="CB22" s="167">
        <v>2124.2262934918672</v>
      </c>
      <c r="CC22" s="167">
        <v>2270.360857308483</v>
      </c>
      <c r="CD22" s="167">
        <v>2439.7687022194627</v>
      </c>
      <c r="CE22" s="167">
        <v>2632.2130059986166</v>
      </c>
      <c r="CF22" s="167">
        <v>2847.3519035655745</v>
      </c>
      <c r="CG22" s="167">
        <v>3084.7652685719513</v>
      </c>
      <c r="CH22" s="167">
        <v>3343.9753301620513</v>
      </c>
      <c r="CI22" s="167">
        <v>3624.4615204561978</v>
      </c>
      <c r="CJ22" s="167">
        <v>3925.6703968804486</v>
      </c>
      <c r="CK22" s="167">
        <v>4000</v>
      </c>
      <c r="CL22" s="167">
        <v>4000</v>
      </c>
      <c r="CM22" s="167">
        <v>4000</v>
      </c>
      <c r="CN22" s="167">
        <v>4000</v>
      </c>
      <c r="CO22" s="167">
        <v>4000</v>
      </c>
      <c r="CP22" s="167">
        <v>4000</v>
      </c>
      <c r="CQ22" s="167">
        <v>4000</v>
      </c>
      <c r="CR22" s="167">
        <v>4000</v>
      </c>
      <c r="CS22" s="167">
        <v>4000</v>
      </c>
      <c r="CT22" s="167">
        <v>4000</v>
      </c>
      <c r="CU22" s="167">
        <v>4000</v>
      </c>
      <c r="CV22" s="167">
        <v>4000</v>
      </c>
      <c r="CW22" s="167">
        <v>4000</v>
      </c>
      <c r="CX22" s="167">
        <v>4000</v>
      </c>
      <c r="CY22" s="167">
        <v>4000</v>
      </c>
      <c r="CZ22" s="167">
        <v>4000</v>
      </c>
      <c r="DA22" s="167">
        <v>4000</v>
      </c>
      <c r="DB22" s="167">
        <v>4000</v>
      </c>
      <c r="DC22" s="167">
        <v>4000</v>
      </c>
      <c r="DD22" s="167">
        <v>4000</v>
      </c>
      <c r="DE22" s="167">
        <v>4000</v>
      </c>
      <c r="DF22" s="167">
        <v>4000</v>
      </c>
      <c r="DG22" s="167">
        <v>4000</v>
      </c>
      <c r="DH22" s="167">
        <v>4000</v>
      </c>
      <c r="DI22" s="167">
        <v>4000</v>
      </c>
      <c r="DJ22" s="167">
        <v>4000</v>
      </c>
      <c r="DK22" s="167">
        <v>4000</v>
      </c>
      <c r="DL22" s="167">
        <v>4000</v>
      </c>
      <c r="DM22" s="167">
        <v>4000</v>
      </c>
      <c r="DN22" s="167">
        <v>4000</v>
      </c>
      <c r="DO22" s="167">
        <v>4000</v>
      </c>
      <c r="DP22" s="167">
        <v>4000</v>
      </c>
      <c r="DQ22" s="167">
        <v>4000</v>
      </c>
      <c r="DR22" s="167">
        <v>4000</v>
      </c>
      <c r="DS22" s="167">
        <v>4000</v>
      </c>
      <c r="DT22" s="167">
        <v>4000</v>
      </c>
      <c r="DU22" s="167">
        <v>4000</v>
      </c>
      <c r="DV22" s="167">
        <v>4000</v>
      </c>
      <c r="DW22" s="167">
        <v>4000</v>
      </c>
      <c r="DX22" s="167">
        <v>4000</v>
      </c>
      <c r="DY22" s="167">
        <v>4000</v>
      </c>
      <c r="DZ22" s="167">
        <v>4000</v>
      </c>
      <c r="EA22" s="167">
        <v>4000</v>
      </c>
      <c r="EB22" s="167">
        <v>4000</v>
      </c>
      <c r="EC22" s="167">
        <v>4000</v>
      </c>
      <c r="ED22" s="167">
        <v>4000</v>
      </c>
      <c r="EE22" s="167">
        <v>4000</v>
      </c>
      <c r="EF22" s="167">
        <v>4000</v>
      </c>
      <c r="EG22" s="167">
        <v>4000</v>
      </c>
      <c r="EH22" s="167">
        <v>4000</v>
      </c>
      <c r="EI22" s="167">
        <v>4000</v>
      </c>
      <c r="EJ22" s="167">
        <v>4000</v>
      </c>
      <c r="EK22" s="167">
        <v>4000</v>
      </c>
      <c r="EL22" s="167">
        <v>4000</v>
      </c>
      <c r="EM22" s="167">
        <v>4000</v>
      </c>
      <c r="EN22" s="167">
        <v>4000</v>
      </c>
      <c r="EO22" s="167">
        <v>4000</v>
      </c>
      <c r="EP22" t="str">
        <f t="shared" si="0"/>
        <v>0y 244d</v>
      </c>
    </row>
    <row r="23" spans="2:154" x14ac:dyDescent="0.25">
      <c r="B23" s="9">
        <v>20</v>
      </c>
      <c r="D23">
        <v>1748673.4734712932</v>
      </c>
      <c r="E23" s="12">
        <v>-5026567557.5028963</v>
      </c>
      <c r="F23" s="12">
        <v>-12636822131.318359</v>
      </c>
      <c r="G23" s="12">
        <v>0</v>
      </c>
      <c r="H23" s="12">
        <v>3555191.4573271992</v>
      </c>
      <c r="I23" s="12">
        <v>19274905709.055374</v>
      </c>
      <c r="J23" s="12">
        <v>8508273910.3070478</v>
      </c>
      <c r="K23" s="12">
        <v>-20502554.454617117</v>
      </c>
      <c r="L23" s="12">
        <v>789372.44791763683</v>
      </c>
      <c r="M23" s="12">
        <v>10249496608.584282</v>
      </c>
      <c r="N23" s="12">
        <v>9341170066.1604004</v>
      </c>
      <c r="O23" s="12"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S23" s="6">
        <v>5441376.0054264385</v>
      </c>
      <c r="AT23" s="167">
        <v>4000</v>
      </c>
      <c r="AU23" s="167">
        <v>4000</v>
      </c>
      <c r="AV23" s="167">
        <v>4000</v>
      </c>
      <c r="AW23" s="167">
        <v>4000</v>
      </c>
      <c r="AX23" s="167">
        <v>4000</v>
      </c>
      <c r="AY23" s="167">
        <v>4000</v>
      </c>
      <c r="AZ23" s="167">
        <v>3878.5835358234117</v>
      </c>
      <c r="BA23" s="167">
        <v>3744.674065216017</v>
      </c>
      <c r="BB23" s="167">
        <v>3609.8166267115457</v>
      </c>
      <c r="BC23" s="167">
        <v>3474.4553666991924</v>
      </c>
      <c r="BD23" s="167">
        <v>3339.072293458793</v>
      </c>
      <c r="BE23" s="167">
        <v>3204.1857903677601</v>
      </c>
      <c r="BF23" s="167">
        <v>3070.3523322789656</v>
      </c>
      <c r="BG23" s="167">
        <v>2938.1649178446314</v>
      </c>
      <c r="BH23" s="167">
        <v>2808.256517685274</v>
      </c>
      <c r="BI23" s="167">
        <v>2681.3027860609836</v>
      </c>
      <c r="BJ23" s="167">
        <v>2558.0268601959588</v>
      </c>
      <c r="BK23" s="167">
        <v>2439.2093250788939</v>
      </c>
      <c r="BL23" s="167">
        <v>2325.7272828722362</v>
      </c>
      <c r="BM23" s="167">
        <v>2218.4206898100492</v>
      </c>
      <c r="BN23" s="167">
        <v>2118.2907091920051</v>
      </c>
      <c r="BO23" s="167">
        <v>2026.360658565118</v>
      </c>
      <c r="BP23" s="167">
        <v>1943.7396306633957</v>
      </c>
      <c r="BQ23" s="167">
        <v>1875.8535266797471</v>
      </c>
      <c r="BR23" s="167">
        <v>1814.5742204747587</v>
      </c>
      <c r="BS23" s="167">
        <v>1766.7337370668786</v>
      </c>
      <c r="BT23" s="167">
        <v>1733.2819268918097</v>
      </c>
      <c r="BU23" s="167">
        <v>1715.3814557783749</v>
      </c>
      <c r="BV23" s="167">
        <v>1714.2505988659443</v>
      </c>
      <c r="BW23" s="167">
        <v>1731.0778483859758</v>
      </c>
      <c r="BX23" s="167">
        <v>1766.935585191248</v>
      </c>
      <c r="BY23" s="167">
        <v>1822.7222480957701</v>
      </c>
      <c r="BZ23" s="167">
        <v>1899.1454836709147</v>
      </c>
      <c r="CA23" s="167">
        <v>1996.7285330233353</v>
      </c>
      <c r="CB23" s="167">
        <v>2115.8243493799555</v>
      </c>
      <c r="CC23" s="167">
        <v>2256.632561175481</v>
      </c>
      <c r="CD23" s="167">
        <v>2419.217598379606</v>
      </c>
      <c r="CE23" s="167">
        <v>2603.5278933344853</v>
      </c>
      <c r="CF23" s="167">
        <v>2809.4133624128463</v>
      </c>
      <c r="CG23" s="167">
        <v>3036.6411072274709</v>
      </c>
      <c r="CH23" s="167">
        <v>3284.9084582960209</v>
      </c>
      <c r="CI23" s="167">
        <v>3553.8533694582256</v>
      </c>
      <c r="CJ23" s="167">
        <v>3843.0623826266483</v>
      </c>
      <c r="CK23" s="167">
        <v>4000</v>
      </c>
      <c r="CL23" s="167">
        <v>4000</v>
      </c>
      <c r="CM23" s="167">
        <v>4000</v>
      </c>
      <c r="CN23" s="167">
        <v>4000</v>
      </c>
      <c r="CO23" s="167">
        <v>4000</v>
      </c>
      <c r="CP23" s="167">
        <v>4000</v>
      </c>
      <c r="CQ23" s="167">
        <v>4000</v>
      </c>
      <c r="CR23" s="167">
        <v>4000</v>
      </c>
      <c r="CS23" s="167">
        <v>4000</v>
      </c>
      <c r="CT23" s="167">
        <v>4000</v>
      </c>
      <c r="CU23" s="167">
        <v>4000</v>
      </c>
      <c r="CV23" s="167">
        <v>4000</v>
      </c>
      <c r="CW23" s="167">
        <v>4000</v>
      </c>
      <c r="CX23" s="167">
        <v>4000</v>
      </c>
      <c r="CY23" s="167">
        <v>4000</v>
      </c>
      <c r="CZ23" s="167">
        <v>4000</v>
      </c>
      <c r="DA23" s="167">
        <v>4000</v>
      </c>
      <c r="DB23" s="167">
        <v>4000</v>
      </c>
      <c r="DC23" s="167">
        <v>4000</v>
      </c>
      <c r="DD23" s="167">
        <v>4000</v>
      </c>
      <c r="DE23" s="167">
        <v>4000</v>
      </c>
      <c r="DF23" s="167">
        <v>4000</v>
      </c>
      <c r="DG23" s="167">
        <v>4000</v>
      </c>
      <c r="DH23" s="167">
        <v>4000</v>
      </c>
      <c r="DI23" s="167">
        <v>4000</v>
      </c>
      <c r="DJ23" s="167">
        <v>4000</v>
      </c>
      <c r="DK23" s="167">
        <v>4000</v>
      </c>
      <c r="DL23" s="167">
        <v>4000</v>
      </c>
      <c r="DM23" s="167">
        <v>4000</v>
      </c>
      <c r="DN23" s="167">
        <v>4000</v>
      </c>
      <c r="DO23" s="167">
        <v>4000</v>
      </c>
      <c r="DP23" s="167">
        <v>4000</v>
      </c>
      <c r="DQ23" s="167">
        <v>4000</v>
      </c>
      <c r="DR23" s="167">
        <v>4000</v>
      </c>
      <c r="DS23" s="167">
        <v>4000</v>
      </c>
      <c r="DT23" s="167">
        <v>4000</v>
      </c>
      <c r="DU23" s="167">
        <v>4000</v>
      </c>
      <c r="DV23" s="167">
        <v>4000</v>
      </c>
      <c r="DW23" s="167">
        <v>4000</v>
      </c>
      <c r="DX23" s="167">
        <v>4000</v>
      </c>
      <c r="DY23" s="167">
        <v>4000</v>
      </c>
      <c r="DZ23" s="167">
        <v>4000</v>
      </c>
      <c r="EA23" s="167">
        <v>4000</v>
      </c>
      <c r="EB23" s="167">
        <v>4000</v>
      </c>
      <c r="EC23" s="167">
        <v>4000</v>
      </c>
      <c r="ED23" s="167">
        <v>4000</v>
      </c>
      <c r="EE23" s="167">
        <v>4000</v>
      </c>
      <c r="EF23" s="167">
        <v>4000</v>
      </c>
      <c r="EG23" s="167">
        <v>4000</v>
      </c>
      <c r="EH23" s="167">
        <v>4000</v>
      </c>
      <c r="EI23" s="167">
        <v>4000</v>
      </c>
      <c r="EJ23" s="167">
        <v>4000</v>
      </c>
      <c r="EK23" s="167">
        <v>4000</v>
      </c>
      <c r="EL23" s="167">
        <v>4000</v>
      </c>
      <c r="EM23" s="167">
        <v>4000</v>
      </c>
      <c r="EN23" s="167">
        <v>4000</v>
      </c>
      <c r="EO23" s="167">
        <v>4000</v>
      </c>
      <c r="EP23" t="str">
        <f t="shared" si="0"/>
        <v>0y 252d</v>
      </c>
    </row>
    <row r="24" spans="2:154" x14ac:dyDescent="0.25">
      <c r="B24" s="9">
        <v>21</v>
      </c>
      <c r="D24">
        <v>1840708.9194434658</v>
      </c>
      <c r="E24" s="12">
        <v>-4223176147.8133025</v>
      </c>
      <c r="F24" s="12">
        <v>-12927507037.834438</v>
      </c>
      <c r="G24" s="12">
        <v>0</v>
      </c>
      <c r="H24" s="12">
        <v>3733812.258121457</v>
      </c>
      <c r="I24" s="12">
        <v>18645375610.247646</v>
      </c>
      <c r="J24" s="12">
        <v>9672065603.3908138</v>
      </c>
      <c r="K24" s="12">
        <v>-20909737.966047361</v>
      </c>
      <c r="L24" s="12">
        <v>832220.15478498372</v>
      </c>
      <c r="M24" s="12">
        <v>9983408956.2008266</v>
      </c>
      <c r="N24" s="12">
        <v>9674805993.2773342</v>
      </c>
      <c r="O24" s="12"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S24" s="6">
        <v>5620244.7668504911</v>
      </c>
      <c r="AT24" s="167">
        <v>4000</v>
      </c>
      <c r="AU24" s="167">
        <v>4000</v>
      </c>
      <c r="AV24" s="167">
        <v>4000</v>
      </c>
      <c r="AW24" s="167">
        <v>4000</v>
      </c>
      <c r="AX24" s="167">
        <v>3892.6147331057628</v>
      </c>
      <c r="AY24" s="167">
        <v>3768.8551561655568</v>
      </c>
      <c r="AZ24" s="167">
        <v>3644.0423367660187</v>
      </c>
      <c r="BA24" s="167">
        <v>3518.4986553750405</v>
      </c>
      <c r="BB24" s="167">
        <v>3392.5889358335944</v>
      </c>
      <c r="BC24" s="167">
        <v>3266.7166039585586</v>
      </c>
      <c r="BD24" s="167">
        <v>3141.3231336459435</v>
      </c>
      <c r="BE24" s="167">
        <v>3016.8839886299993</v>
      </c>
      <c r="BF24" s="167">
        <v>2893.9096927417831</v>
      </c>
      <c r="BG24" s="167">
        <v>2772.9459309131475</v>
      </c>
      <c r="BH24" s="167">
        <v>2654.5751006162209</v>
      </c>
      <c r="BI24" s="167">
        <v>2539.4191558645648</v>
      </c>
      <c r="BJ24" s="167">
        <v>2428.144471378444</v>
      </c>
      <c r="BK24" s="167">
        <v>2321.4714724191035</v>
      </c>
      <c r="BL24" s="167">
        <v>2220.2007386119876</v>
      </c>
      <c r="BM24" s="167">
        <v>2125.3169431675606</v>
      </c>
      <c r="BN24" s="167">
        <v>2038.6362367111531</v>
      </c>
      <c r="BO24" s="167">
        <v>1956.690299510173</v>
      </c>
      <c r="BP24" s="167">
        <v>1885.4503776893484</v>
      </c>
      <c r="BQ24" s="167">
        <v>1824.1781451865738</v>
      </c>
      <c r="BR24" s="167">
        <v>1785.4278923867041</v>
      </c>
      <c r="BS24" s="167">
        <v>1743.1993063242692</v>
      </c>
      <c r="BT24" s="167">
        <v>1716.4336214562709</v>
      </c>
      <c r="BU24" s="167">
        <v>1704.6852575593384</v>
      </c>
      <c r="BV24" s="167">
        <v>1708.6369969039758</v>
      </c>
      <c r="BW24" s="167">
        <v>1729.210051410199</v>
      </c>
      <c r="BX24" s="167">
        <v>1767.311377018508</v>
      </c>
      <c r="BY24" s="167">
        <v>1823.7387892776053</v>
      </c>
      <c r="BZ24" s="167">
        <v>1899.1596460538681</v>
      </c>
      <c r="CA24" s="167">
        <v>1994.115622996738</v>
      </c>
      <c r="CB24" s="167">
        <v>2109.0301832988048</v>
      </c>
      <c r="CC24" s="167">
        <v>2244.2146956639344</v>
      </c>
      <c r="CD24" s="167">
        <v>2399.8738248570744</v>
      </c>
      <c r="CE24" s="167">
        <v>2576.1119640096763</v>
      </c>
      <c r="CF24" s="167">
        <v>2772.9401773058344</v>
      </c>
      <c r="CG24" s="167">
        <v>2990.2834491598119</v>
      </c>
      <c r="CH24" s="167">
        <v>3227.987825076887</v>
      </c>
      <c r="CI24" s="167">
        <v>3485.8271621275726</v>
      </c>
      <c r="CJ24" s="167">
        <v>3763.5093020700424</v>
      </c>
      <c r="CK24" s="167">
        <v>4000</v>
      </c>
      <c r="CL24" s="167">
        <v>4000</v>
      </c>
      <c r="CM24" s="167">
        <v>4000</v>
      </c>
      <c r="CN24" s="167">
        <v>4000</v>
      </c>
      <c r="CO24" s="167">
        <v>4000</v>
      </c>
      <c r="CP24" s="167">
        <v>4000</v>
      </c>
      <c r="CQ24" s="167">
        <v>4000</v>
      </c>
      <c r="CR24" s="167">
        <v>4000</v>
      </c>
      <c r="CS24" s="167">
        <v>4000</v>
      </c>
      <c r="CT24" s="167">
        <v>4000</v>
      </c>
      <c r="CU24" s="167">
        <v>4000</v>
      </c>
      <c r="CV24" s="167">
        <v>4000</v>
      </c>
      <c r="CW24" s="167">
        <v>4000</v>
      </c>
      <c r="CX24" s="167">
        <v>4000</v>
      </c>
      <c r="CY24" s="167">
        <v>4000</v>
      </c>
      <c r="CZ24" s="167">
        <v>4000</v>
      </c>
      <c r="DA24" s="167">
        <v>4000</v>
      </c>
      <c r="DB24" s="167">
        <v>4000</v>
      </c>
      <c r="DC24" s="167">
        <v>4000</v>
      </c>
      <c r="DD24" s="167">
        <v>4000</v>
      </c>
      <c r="DE24" s="167">
        <v>4000</v>
      </c>
      <c r="DF24" s="167">
        <v>4000</v>
      </c>
      <c r="DG24" s="167">
        <v>4000</v>
      </c>
      <c r="DH24" s="167">
        <v>4000</v>
      </c>
      <c r="DI24" s="167">
        <v>4000</v>
      </c>
      <c r="DJ24" s="167">
        <v>4000</v>
      </c>
      <c r="DK24" s="167">
        <v>4000</v>
      </c>
      <c r="DL24" s="167">
        <v>4000</v>
      </c>
      <c r="DM24" s="167">
        <v>4000</v>
      </c>
      <c r="DN24" s="167">
        <v>4000</v>
      </c>
      <c r="DO24" s="167">
        <v>4000</v>
      </c>
      <c r="DP24" s="167">
        <v>4000</v>
      </c>
      <c r="DQ24" s="167">
        <v>4000</v>
      </c>
      <c r="DR24" s="167">
        <v>4000</v>
      </c>
      <c r="DS24" s="167">
        <v>4000</v>
      </c>
      <c r="DT24" s="167">
        <v>4000</v>
      </c>
      <c r="DU24" s="167">
        <v>4000</v>
      </c>
      <c r="DV24" s="167">
        <v>4000</v>
      </c>
      <c r="DW24" s="167">
        <v>4000</v>
      </c>
      <c r="DX24" s="167">
        <v>4000</v>
      </c>
      <c r="DY24" s="167">
        <v>4000</v>
      </c>
      <c r="DZ24" s="167">
        <v>4000</v>
      </c>
      <c r="EA24" s="167">
        <v>4000</v>
      </c>
      <c r="EB24" s="167">
        <v>4000</v>
      </c>
      <c r="EC24" s="167">
        <v>4000</v>
      </c>
      <c r="ED24" s="167">
        <v>4000</v>
      </c>
      <c r="EE24" s="167">
        <v>4000</v>
      </c>
      <c r="EF24" s="167">
        <v>4000</v>
      </c>
      <c r="EG24" s="167">
        <v>4000</v>
      </c>
      <c r="EH24" s="167">
        <v>4000</v>
      </c>
      <c r="EI24" s="167">
        <v>4000</v>
      </c>
      <c r="EJ24" s="167">
        <v>4000</v>
      </c>
      <c r="EK24" s="167">
        <v>4000</v>
      </c>
      <c r="EL24" s="167">
        <v>4000</v>
      </c>
      <c r="EM24" s="167">
        <v>4000</v>
      </c>
      <c r="EN24" s="167">
        <v>4000</v>
      </c>
      <c r="EO24" s="167">
        <v>4000</v>
      </c>
      <c r="EP24" t="str">
        <f t="shared" si="0"/>
        <v>0y 260d</v>
      </c>
    </row>
    <row r="25" spans="2:154" x14ac:dyDescent="0.25">
      <c r="B25" s="9">
        <v>22</v>
      </c>
      <c r="D25">
        <v>1932744.3654156385</v>
      </c>
      <c r="E25" s="12">
        <v>-3403117791.2539582</v>
      </c>
      <c r="F25" s="12">
        <v>-13167172980.088358</v>
      </c>
      <c r="G25" s="12">
        <v>0</v>
      </c>
      <c r="H25" s="12">
        <v>3911331.1430813093</v>
      </c>
      <c r="I25" s="12">
        <v>17945192376.250698</v>
      </c>
      <c r="J25" s="12">
        <v>10790015870.264505</v>
      </c>
      <c r="K25" s="12">
        <v>-21230823.109751876</v>
      </c>
      <c r="L25" s="12">
        <v>875287.95079165453</v>
      </c>
      <c r="M25" s="12">
        <v>9707896580.4660778</v>
      </c>
      <c r="N25" s="12">
        <v>10002346583.393488</v>
      </c>
      <c r="O25" s="12"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S25" s="6">
        <v>5799113.5282745436</v>
      </c>
      <c r="AT25" s="167">
        <v>4000</v>
      </c>
      <c r="AU25" s="167">
        <v>4000</v>
      </c>
      <c r="AV25" s="167">
        <v>3906.8341254968591</v>
      </c>
      <c r="AW25" s="167">
        <v>3790.967625318377</v>
      </c>
      <c r="AX25" s="167">
        <v>3674.3009863572597</v>
      </c>
      <c r="AY25" s="167">
        <v>3557.0080350943799</v>
      </c>
      <c r="AZ25" s="167">
        <v>3439.3173404235654</v>
      </c>
      <c r="BA25" s="167">
        <v>3321.5053968502252</v>
      </c>
      <c r="BB25" s="167">
        <v>3203.8932224843184</v>
      </c>
      <c r="BC25" s="167">
        <v>3086.8397485597006</v>
      </c>
      <c r="BD25" s="167">
        <v>2970.7402291083408</v>
      </c>
      <c r="BE25" s="167">
        <v>2856.0237406414712</v>
      </c>
      <c r="BF25" s="167">
        <v>2743.1520158577996</v>
      </c>
      <c r="BG25" s="167">
        <v>2632.6192634804033</v>
      </c>
      <c r="BH25" s="167">
        <v>2524.9530224097725</v>
      </c>
      <c r="BI25" s="167">
        <v>2420.7162081256174</v>
      </c>
      <c r="BJ25" s="167">
        <v>2320.5108506515944</v>
      </c>
      <c r="BK25" s="167">
        <v>2224.9851189850333</v>
      </c>
      <c r="BL25" s="167">
        <v>2134.8490032423865</v>
      </c>
      <c r="BM25" s="167">
        <v>2050.9188273495101</v>
      </c>
      <c r="BN25" s="167">
        <v>1974.2818847498354</v>
      </c>
      <c r="BO25" s="167">
        <v>1907.145555785931</v>
      </c>
      <c r="BP25" s="167">
        <v>1842.4447752178967</v>
      </c>
      <c r="BQ25" s="167">
        <v>1790.6325653246854</v>
      </c>
      <c r="BR25" s="167">
        <v>1749.1273911922688</v>
      </c>
      <c r="BS25" s="167">
        <v>1744.9589387356384</v>
      </c>
      <c r="BT25" s="167">
        <v>1714.1862940188601</v>
      </c>
      <c r="BU25" s="167">
        <v>1704.3001529300711</v>
      </c>
      <c r="BV25" s="167">
        <v>1710.7491983788973</v>
      </c>
      <c r="BW25" s="167">
        <v>1733.1962034556141</v>
      </c>
      <c r="BX25" s="167">
        <v>1772.0874648010704</v>
      </c>
      <c r="BY25" s="167">
        <v>1828.0140467151377</v>
      </c>
      <c r="BZ25" s="167">
        <v>1901.5580927218482</v>
      </c>
      <c r="CA25" s="167">
        <v>1993.2541325496391</v>
      </c>
      <c r="CB25" s="167">
        <v>2103.5740903198302</v>
      </c>
      <c r="CC25" s="167">
        <v>2232.9176772606907</v>
      </c>
      <c r="CD25" s="167">
        <v>2381.6033399125859</v>
      </c>
      <c r="CE25" s="167">
        <v>2549.8638892562553</v>
      </c>
      <c r="CF25" s="167">
        <v>2737.8442632411188</v>
      </c>
      <c r="CG25" s="167">
        <v>2945.6018652562834</v>
      </c>
      <c r="CH25" s="167">
        <v>3173.1087858643546</v>
      </c>
      <c r="CI25" s="167">
        <v>3420.2553754807359</v>
      </c>
      <c r="CJ25" s="167">
        <v>3686.8546792116604</v>
      </c>
      <c r="CK25" s="167">
        <v>3972.6472985275068</v>
      </c>
      <c r="CL25" s="167">
        <v>4000</v>
      </c>
      <c r="CM25" s="167">
        <v>4000</v>
      </c>
      <c r="CN25" s="167">
        <v>4000</v>
      </c>
      <c r="CO25" s="167">
        <v>4000</v>
      </c>
      <c r="CP25" s="167">
        <v>4000</v>
      </c>
      <c r="CQ25" s="167">
        <v>4000</v>
      </c>
      <c r="CR25" s="167">
        <v>4000</v>
      </c>
      <c r="CS25" s="167">
        <v>4000</v>
      </c>
      <c r="CT25" s="167">
        <v>4000</v>
      </c>
      <c r="CU25" s="167">
        <v>4000</v>
      </c>
      <c r="CV25" s="167">
        <v>4000</v>
      </c>
      <c r="CW25" s="167">
        <v>4000</v>
      </c>
      <c r="CX25" s="167">
        <v>4000</v>
      </c>
      <c r="CY25" s="167">
        <v>4000</v>
      </c>
      <c r="CZ25" s="167">
        <v>4000</v>
      </c>
      <c r="DA25" s="167">
        <v>4000</v>
      </c>
      <c r="DB25" s="167">
        <v>4000</v>
      </c>
      <c r="DC25" s="167">
        <v>4000</v>
      </c>
      <c r="DD25" s="167">
        <v>4000</v>
      </c>
      <c r="DE25" s="167">
        <v>4000</v>
      </c>
      <c r="DF25" s="167">
        <v>4000</v>
      </c>
      <c r="DG25" s="167">
        <v>4000</v>
      </c>
      <c r="DH25" s="167">
        <v>4000</v>
      </c>
      <c r="DI25" s="167">
        <v>4000</v>
      </c>
      <c r="DJ25" s="167">
        <v>4000</v>
      </c>
      <c r="DK25" s="167">
        <v>4000</v>
      </c>
      <c r="DL25" s="167">
        <v>4000</v>
      </c>
      <c r="DM25" s="167">
        <v>4000</v>
      </c>
      <c r="DN25" s="167">
        <v>4000</v>
      </c>
      <c r="DO25" s="167">
        <v>4000</v>
      </c>
      <c r="DP25" s="167">
        <v>4000</v>
      </c>
      <c r="DQ25" s="167">
        <v>4000</v>
      </c>
      <c r="DR25" s="167">
        <v>4000</v>
      </c>
      <c r="DS25" s="167">
        <v>4000</v>
      </c>
      <c r="DT25" s="167">
        <v>4000</v>
      </c>
      <c r="DU25" s="167">
        <v>4000</v>
      </c>
      <c r="DV25" s="167">
        <v>4000</v>
      </c>
      <c r="DW25" s="167">
        <v>4000</v>
      </c>
      <c r="DX25" s="167">
        <v>4000</v>
      </c>
      <c r="DY25" s="167">
        <v>4000</v>
      </c>
      <c r="DZ25" s="167">
        <v>4000</v>
      </c>
      <c r="EA25" s="167">
        <v>4000</v>
      </c>
      <c r="EB25" s="167">
        <v>4000</v>
      </c>
      <c r="EC25" s="167">
        <v>4000</v>
      </c>
      <c r="ED25" s="167">
        <v>4000</v>
      </c>
      <c r="EE25" s="167">
        <v>4000</v>
      </c>
      <c r="EF25" s="167">
        <v>4000</v>
      </c>
      <c r="EG25" s="167">
        <v>4000</v>
      </c>
      <c r="EH25" s="167">
        <v>4000</v>
      </c>
      <c r="EI25" s="167">
        <v>4000</v>
      </c>
      <c r="EJ25" s="167">
        <v>4000</v>
      </c>
      <c r="EK25" s="167">
        <v>4000</v>
      </c>
      <c r="EL25" s="167">
        <v>4000</v>
      </c>
      <c r="EM25" s="167">
        <v>4000</v>
      </c>
      <c r="EN25" s="167">
        <v>4000</v>
      </c>
      <c r="EO25" s="167">
        <v>4000</v>
      </c>
      <c r="EP25" t="str">
        <f t="shared" si="0"/>
        <v>0y 268d</v>
      </c>
    </row>
    <row r="26" spans="2:154" x14ac:dyDescent="0.25">
      <c r="B26" s="9">
        <v>23</v>
      </c>
      <c r="D26">
        <v>2024779.8113878111</v>
      </c>
      <c r="E26" s="12">
        <v>-2569628883.509141</v>
      </c>
      <c r="F26" s="12">
        <v>-13354874106.099005</v>
      </c>
      <c r="G26" s="12">
        <v>0</v>
      </c>
      <c r="H26" s="12">
        <v>4087738.1404646374</v>
      </c>
      <c r="I26" s="12">
        <v>17177883259.836905</v>
      </c>
      <c r="J26" s="12">
        <v>11857968928.709629</v>
      </c>
      <c r="K26" s="12">
        <v>-21465294.843011424</v>
      </c>
      <c r="L26" s="12">
        <v>918589.02723849204</v>
      </c>
      <c r="M26" s="12">
        <v>9423034566.9035378</v>
      </c>
      <c r="N26" s="12">
        <v>10323565481.189058</v>
      </c>
      <c r="O26" s="12"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G26" s="254" t="s">
        <v>61</v>
      </c>
      <c r="AH26" s="254"/>
      <c r="AI26" s="254"/>
      <c r="AJ26" s="254"/>
      <c r="AK26" s="254"/>
      <c r="AL26" s="254"/>
      <c r="AS26" s="6">
        <v>5977982.2896985961</v>
      </c>
      <c r="AT26" s="167">
        <v>3931.9361441481278</v>
      </c>
      <c r="AU26" s="167">
        <v>3820.5187952399156</v>
      </c>
      <c r="AV26" s="167">
        <v>3709.0605028629079</v>
      </c>
      <c r="AW26" s="167">
        <v>3597.528671646829</v>
      </c>
      <c r="AX26" s="167">
        <v>3485.9696342919742</v>
      </c>
      <c r="AY26" s="167">
        <v>3374.4972930377726</v>
      </c>
      <c r="AZ26" s="167">
        <v>3263.2854691191751</v>
      </c>
      <c r="BA26" s="167">
        <v>3152.5581009743855</v>
      </c>
      <c r="BB26" s="167">
        <v>3042.5842130796136</v>
      </c>
      <c r="BC26" s="167">
        <v>2933.6724722689769</v>
      </c>
      <c r="BD26" s="167">
        <v>2826.1671611043989</v>
      </c>
      <c r="BE26" s="167">
        <v>2720.4451970896635</v>
      </c>
      <c r="BF26" s="167">
        <v>2616.9141532720173</v>
      </c>
      <c r="BG26" s="167">
        <v>2516.0112562192944</v>
      </c>
      <c r="BH26" s="167">
        <v>2418.2033702990966</v>
      </c>
      <c r="BI26" s="167">
        <v>2323.9880554139518</v>
      </c>
      <c r="BJ26" s="167">
        <v>2233.8959945764377</v>
      </c>
      <c r="BK26" s="167">
        <v>2148.4956679625566</v>
      </c>
      <c r="BL26" s="167">
        <v>2068.4028361543706</v>
      </c>
      <c r="BM26" s="167">
        <v>1994.3027114561869</v>
      </c>
      <c r="BN26" s="167">
        <v>1927.0117223599311</v>
      </c>
      <c r="BO26" s="167">
        <v>1867.6878564196534</v>
      </c>
      <c r="BP26" s="167">
        <v>1818.7681413524608</v>
      </c>
      <c r="BQ26" s="167">
        <v>1769.5782126415893</v>
      </c>
      <c r="BR26" s="167">
        <v>1735.3593623923746</v>
      </c>
      <c r="BS26" s="167">
        <v>1711.4968697317843</v>
      </c>
      <c r="BT26" s="167">
        <v>1698.8259559375429</v>
      </c>
      <c r="BU26" s="167">
        <v>1719.2551919690109</v>
      </c>
      <c r="BV26" s="167">
        <v>1721.6679282801833</v>
      </c>
      <c r="BW26" s="167">
        <v>1743.0092149881687</v>
      </c>
      <c r="BX26" s="167">
        <v>1780.92542086872</v>
      </c>
      <c r="BY26" s="167">
        <v>1835.1679171404764</v>
      </c>
      <c r="BZ26" s="167">
        <v>1906.0128534499543</v>
      </c>
      <c r="CA26" s="167">
        <v>1993.8930423028771</v>
      </c>
      <c r="CB26" s="167">
        <v>2099.2789563521619</v>
      </c>
      <c r="CC26" s="167">
        <v>2222.6225836632038</v>
      </c>
      <c r="CD26" s="167">
        <v>2364.3268024128729</v>
      </c>
      <c r="CE26" s="167">
        <v>2524.725894325702</v>
      </c>
      <c r="CF26" s="167">
        <v>2704.0738656005296</v>
      </c>
      <c r="CG26" s="167">
        <v>2902.5381324676164</v>
      </c>
      <c r="CH26" s="167">
        <v>3120.1971492301491</v>
      </c>
      <c r="CI26" s="167">
        <v>3357.0409564932061</v>
      </c>
      <c r="CJ26" s="167">
        <v>3612.973824663688</v>
      </c>
      <c r="CK26" s="167">
        <v>3887.8182867440746</v>
      </c>
      <c r="CL26" s="167">
        <v>4000</v>
      </c>
      <c r="CM26" s="167">
        <v>4000</v>
      </c>
      <c r="CN26" s="167">
        <v>4000</v>
      </c>
      <c r="CO26" s="167">
        <v>4000</v>
      </c>
      <c r="CP26" s="167">
        <v>4000</v>
      </c>
      <c r="CQ26" s="167">
        <v>4000</v>
      </c>
      <c r="CR26" s="167">
        <v>4000</v>
      </c>
      <c r="CS26" s="167">
        <v>4000</v>
      </c>
      <c r="CT26" s="167">
        <v>4000</v>
      </c>
      <c r="CU26" s="167">
        <v>4000</v>
      </c>
      <c r="CV26" s="167">
        <v>4000</v>
      </c>
      <c r="CW26" s="167">
        <v>4000</v>
      </c>
      <c r="CX26" s="167">
        <v>4000</v>
      </c>
      <c r="CY26" s="167">
        <v>4000</v>
      </c>
      <c r="CZ26" s="167">
        <v>4000</v>
      </c>
      <c r="DA26" s="167">
        <v>4000</v>
      </c>
      <c r="DB26" s="167">
        <v>4000</v>
      </c>
      <c r="DC26" s="167">
        <v>4000</v>
      </c>
      <c r="DD26" s="167">
        <v>4000</v>
      </c>
      <c r="DE26" s="167">
        <v>4000</v>
      </c>
      <c r="DF26" s="167">
        <v>4000</v>
      </c>
      <c r="DG26" s="167">
        <v>4000</v>
      </c>
      <c r="DH26" s="167">
        <v>4000</v>
      </c>
      <c r="DI26" s="167">
        <v>4000</v>
      </c>
      <c r="DJ26" s="167">
        <v>4000</v>
      </c>
      <c r="DK26" s="167">
        <v>4000</v>
      </c>
      <c r="DL26" s="167">
        <v>4000</v>
      </c>
      <c r="DM26" s="167">
        <v>4000</v>
      </c>
      <c r="DN26" s="167">
        <v>4000</v>
      </c>
      <c r="DO26" s="167">
        <v>4000</v>
      </c>
      <c r="DP26" s="167">
        <v>4000</v>
      </c>
      <c r="DQ26" s="167">
        <v>4000</v>
      </c>
      <c r="DR26" s="167">
        <v>4000</v>
      </c>
      <c r="DS26" s="167">
        <v>4000</v>
      </c>
      <c r="DT26" s="167">
        <v>4000</v>
      </c>
      <c r="DU26" s="167">
        <v>4000</v>
      </c>
      <c r="DV26" s="167">
        <v>4000</v>
      </c>
      <c r="DW26" s="167">
        <v>4000</v>
      </c>
      <c r="DX26" s="167">
        <v>4000</v>
      </c>
      <c r="DY26" s="167">
        <v>4000</v>
      </c>
      <c r="DZ26" s="167">
        <v>4000</v>
      </c>
      <c r="EA26" s="167">
        <v>4000</v>
      </c>
      <c r="EB26" s="167">
        <v>4000</v>
      </c>
      <c r="EC26" s="167">
        <v>4000</v>
      </c>
      <c r="ED26" s="167">
        <v>4000</v>
      </c>
      <c r="EE26" s="167">
        <v>4000</v>
      </c>
      <c r="EF26" s="167">
        <v>4000</v>
      </c>
      <c r="EG26" s="167">
        <v>4000</v>
      </c>
      <c r="EH26" s="167">
        <v>4000</v>
      </c>
      <c r="EI26" s="167">
        <v>4000</v>
      </c>
      <c r="EJ26" s="167">
        <v>4000</v>
      </c>
      <c r="EK26" s="167">
        <v>4000</v>
      </c>
      <c r="EL26" s="167">
        <v>4000</v>
      </c>
      <c r="EM26" s="167">
        <v>4000</v>
      </c>
      <c r="EN26" s="167">
        <v>4000</v>
      </c>
      <c r="EO26" s="167">
        <v>4000</v>
      </c>
      <c r="EP26" t="str">
        <f t="shared" si="0"/>
        <v>0y 277d</v>
      </c>
    </row>
    <row r="27" spans="2:154" ht="15.75" thickBot="1" x14ac:dyDescent="0.3">
      <c r="B27" s="9">
        <v>24</v>
      </c>
      <c r="D27">
        <v>2116815.2573599839</v>
      </c>
      <c r="E27" s="12">
        <v>-1725998824.5129058</v>
      </c>
      <c r="F27" s="12">
        <v>-13489869645.274494</v>
      </c>
      <c r="G27" s="12">
        <v>0</v>
      </c>
      <c r="H27" s="12">
        <v>4263028.0446545258</v>
      </c>
      <c r="I27" s="12">
        <v>16347197119.183153</v>
      </c>
      <c r="J27" s="12">
        <v>12872058942.446911</v>
      </c>
      <c r="K27" s="12">
        <v>-21613017.344216447</v>
      </c>
      <c r="L27" s="12">
        <v>962136.65249836794</v>
      </c>
      <c r="M27" s="12">
        <v>9128901663.6383572</v>
      </c>
      <c r="N27" s="12">
        <v>10638233179.287609</v>
      </c>
      <c r="O27" s="12"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S27" s="6">
        <v>6156851.0511226486</v>
      </c>
      <c r="AT27" s="167">
        <v>3760.5452630926848</v>
      </c>
      <c r="AU27" s="167">
        <v>3650.857948101946</v>
      </c>
      <c r="AV27" s="167">
        <v>3542.1010886398572</v>
      </c>
      <c r="AW27" s="167">
        <v>3434.1536955353768</v>
      </c>
      <c r="AX27" s="167">
        <v>3326.9841315539616</v>
      </c>
      <c r="AY27" s="167">
        <v>3220.6353885041462</v>
      </c>
      <c r="AZ27" s="167">
        <v>3115.2149030740484</v>
      </c>
      <c r="BA27" s="167">
        <v>3010.8850357653446</v>
      </c>
      <c r="BB27" s="167">
        <v>2907.8553297929375</v>
      </c>
      <c r="BC27" s="167">
        <v>2806.3761549228329</v>
      </c>
      <c r="BD27" s="167">
        <v>2706.7335982706745</v>
      </c>
      <c r="BE27" s="167">
        <v>2609.2454983666285</v>
      </c>
      <c r="BF27" s="167">
        <v>2514.2585463550295</v>
      </c>
      <c r="BG27" s="167">
        <v>2422.1464035429935</v>
      </c>
      <c r="BH27" s="167">
        <v>2333.3088167313367</v>
      </c>
      <c r="BI27" s="167">
        <v>2248.17177158512</v>
      </c>
      <c r="BJ27" s="167">
        <v>2167.1888553485496</v>
      </c>
      <c r="BK27" s="167">
        <v>2090.844316066994</v>
      </c>
      <c r="BL27" s="167">
        <v>2019.659105298957</v>
      </c>
      <c r="BM27" s="167">
        <v>1954.2033437915095</v>
      </c>
      <c r="BN27" s="167">
        <v>1895.1249708129169</v>
      </c>
      <c r="BO27" s="167">
        <v>1843.2253355695541</v>
      </c>
      <c r="BP27" s="167">
        <v>1799.6954371543111</v>
      </c>
      <c r="BQ27" s="167">
        <v>1767.0481211768922</v>
      </c>
      <c r="BR27" s="167">
        <v>1754.4814635390194</v>
      </c>
      <c r="BS27" s="167">
        <v>1712.5293982530281</v>
      </c>
      <c r="BT27" s="167">
        <v>1703.8923380137899</v>
      </c>
      <c r="BU27" s="167">
        <v>1706.231560854462</v>
      </c>
      <c r="BV27" s="167">
        <v>1749.9559320896117</v>
      </c>
      <c r="BW27" s="167">
        <v>1760.6305175874888</v>
      </c>
      <c r="BX27" s="167">
        <v>1794.2113670843057</v>
      </c>
      <c r="BY27" s="167">
        <v>1845.1526285949735</v>
      </c>
      <c r="BZ27" s="167">
        <v>1912.3812455812549</v>
      </c>
      <c r="CA27" s="167">
        <v>1995.9000561659841</v>
      </c>
      <c r="CB27" s="167">
        <v>2096.0488051961665</v>
      </c>
      <c r="CC27" s="167">
        <v>2213.2688489977386</v>
      </c>
      <c r="CD27" s="167">
        <v>2348.0082871676373</v>
      </c>
      <c r="CE27" s="167">
        <v>2500.673893694986</v>
      </c>
      <c r="CF27" s="167">
        <v>2671.6049243419793</v>
      </c>
      <c r="CG27" s="167">
        <v>2861.0584695690486</v>
      </c>
      <c r="CH27" s="167">
        <v>3069.2019264429582</v>
      </c>
      <c r="CI27" s="167">
        <v>3296.1102819759435</v>
      </c>
      <c r="CJ27" s="167">
        <v>3541.7667658275977</v>
      </c>
      <c r="CK27" s="167">
        <v>3806.0658181458075</v>
      </c>
      <c r="CL27" s="167">
        <v>4000</v>
      </c>
      <c r="CM27" s="167">
        <v>4000</v>
      </c>
      <c r="CN27" s="167">
        <v>4000</v>
      </c>
      <c r="CO27" s="167">
        <v>4000</v>
      </c>
      <c r="CP27" s="167">
        <v>4000</v>
      </c>
      <c r="CQ27" s="167">
        <v>4000</v>
      </c>
      <c r="CR27" s="167">
        <v>4000</v>
      </c>
      <c r="CS27" s="167">
        <v>4000</v>
      </c>
      <c r="CT27" s="167">
        <v>4000</v>
      </c>
      <c r="CU27" s="167">
        <v>4000</v>
      </c>
      <c r="CV27" s="167">
        <v>4000</v>
      </c>
      <c r="CW27" s="167">
        <v>4000</v>
      </c>
      <c r="CX27" s="167">
        <v>4000</v>
      </c>
      <c r="CY27" s="167">
        <v>4000</v>
      </c>
      <c r="CZ27" s="167">
        <v>4000</v>
      </c>
      <c r="DA27" s="167">
        <v>4000</v>
      </c>
      <c r="DB27" s="167">
        <v>4000</v>
      </c>
      <c r="DC27" s="167">
        <v>4000</v>
      </c>
      <c r="DD27" s="167">
        <v>4000</v>
      </c>
      <c r="DE27" s="167">
        <v>4000</v>
      </c>
      <c r="DF27" s="167">
        <v>4000</v>
      </c>
      <c r="DG27" s="167">
        <v>4000</v>
      </c>
      <c r="DH27" s="167">
        <v>4000</v>
      </c>
      <c r="DI27" s="167">
        <v>4000</v>
      </c>
      <c r="DJ27" s="167">
        <v>4000</v>
      </c>
      <c r="DK27" s="167">
        <v>4000</v>
      </c>
      <c r="DL27" s="167">
        <v>4000</v>
      </c>
      <c r="DM27" s="167">
        <v>4000</v>
      </c>
      <c r="DN27" s="167">
        <v>4000</v>
      </c>
      <c r="DO27" s="167">
        <v>4000</v>
      </c>
      <c r="DP27" s="167">
        <v>4000</v>
      </c>
      <c r="DQ27" s="167">
        <v>4000</v>
      </c>
      <c r="DR27" s="167">
        <v>4000</v>
      </c>
      <c r="DS27" s="167">
        <v>4000</v>
      </c>
      <c r="DT27" s="167">
        <v>4000</v>
      </c>
      <c r="DU27" s="167">
        <v>4000</v>
      </c>
      <c r="DV27" s="167">
        <v>4000</v>
      </c>
      <c r="DW27" s="167">
        <v>4000</v>
      </c>
      <c r="DX27" s="167">
        <v>4000</v>
      </c>
      <c r="DY27" s="167">
        <v>4000</v>
      </c>
      <c r="DZ27" s="167">
        <v>4000</v>
      </c>
      <c r="EA27" s="167">
        <v>4000</v>
      </c>
      <c r="EB27" s="167">
        <v>4000</v>
      </c>
      <c r="EC27" s="167">
        <v>4000</v>
      </c>
      <c r="ED27" s="167">
        <v>4000</v>
      </c>
      <c r="EE27" s="167">
        <v>4000</v>
      </c>
      <c r="EF27" s="167">
        <v>4000</v>
      </c>
      <c r="EG27" s="167">
        <v>4000</v>
      </c>
      <c r="EH27" s="167">
        <v>4000</v>
      </c>
      <c r="EI27" s="167">
        <v>4000</v>
      </c>
      <c r="EJ27" s="167">
        <v>4000</v>
      </c>
      <c r="EK27" s="167">
        <v>4000</v>
      </c>
      <c r="EL27" s="167">
        <v>4000</v>
      </c>
      <c r="EM27" s="167">
        <v>4000</v>
      </c>
      <c r="EN27" s="167">
        <v>4000</v>
      </c>
      <c r="EO27" s="167">
        <v>4000</v>
      </c>
      <c r="EP27" t="str">
        <f t="shared" si="0"/>
        <v>0y 285d</v>
      </c>
    </row>
    <row r="28" spans="2:154" x14ac:dyDescent="0.25">
      <c r="B28" s="9">
        <v>25</v>
      </c>
      <c r="D28">
        <v>2208850.7033321564</v>
      </c>
      <c r="E28" s="12">
        <v>-875557036.69015062</v>
      </c>
      <c r="F28" s="12">
        <v>-13571626831.895302</v>
      </c>
      <c r="G28" s="12">
        <v>0</v>
      </c>
      <c r="H28" s="12">
        <v>4437200.3090144591</v>
      </c>
      <c r="I28" s="12">
        <v>15457078705.643864</v>
      </c>
      <c r="J28" s="12">
        <v>13828718218.248867</v>
      </c>
      <c r="K28" s="12">
        <v>-21674221.262872137</v>
      </c>
      <c r="L28" s="12">
        <v>1005944.1736892899</v>
      </c>
      <c r="M28" s="12">
        <v>8825580601.9494209</v>
      </c>
      <c r="N28" s="12">
        <v>10946116929.354753</v>
      </c>
      <c r="O28" s="12"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G28" s="254" t="s">
        <v>63</v>
      </c>
      <c r="AH28" s="254"/>
      <c r="AI28" s="254"/>
      <c r="AJ28" s="254" t="s">
        <v>70</v>
      </c>
      <c r="AK28" s="254"/>
      <c r="AL28" s="254"/>
      <c r="AQ28" s="1"/>
      <c r="AS28" s="6">
        <v>6335719.8125467012</v>
      </c>
      <c r="AT28" s="167">
        <v>3621.7926547339066</v>
      </c>
      <c r="AU28" s="167">
        <v>3512.8500660846648</v>
      </c>
      <c r="AV28" s="167">
        <v>3405.8861677287523</v>
      </c>
      <c r="AW28" s="167">
        <v>3300.6745651337069</v>
      </c>
      <c r="AX28" s="167">
        <v>3197.0887638155377</v>
      </c>
      <c r="AY28" s="167">
        <v>3095.0869764188465</v>
      </c>
      <c r="AZ28" s="167">
        <v>2994.6986074223823</v>
      </c>
      <c r="BA28" s="167">
        <v>2896.0130269083484</v>
      </c>
      <c r="BB28" s="167">
        <v>2799.1701889795218</v>
      </c>
      <c r="BC28" s="167">
        <v>2704.3528640860159</v>
      </c>
      <c r="BD28" s="167">
        <v>2611.7803062056037</v>
      </c>
      <c r="BE28" s="167">
        <v>2521.7032186405713</v>
      </c>
      <c r="BF28" s="167">
        <v>2434.3999179880839</v>
      </c>
      <c r="BG28" s="167">
        <v>2350.1736278494759</v>
      </c>
      <c r="BH28" s="167">
        <v>2269.3508679436072</v>
      </c>
      <c r="BI28" s="167">
        <v>2192.2809519337529</v>
      </c>
      <c r="BJ28" s="167">
        <v>2119.3366924334559</v>
      </c>
      <c r="BK28" s="167">
        <v>2050.9165878124068</v>
      </c>
      <c r="BL28" s="167">
        <v>1987.4491598367686</v>
      </c>
      <c r="BM28" s="167">
        <v>1929.4010485821748</v>
      </c>
      <c r="BN28" s="167">
        <v>1877.2928522583197</v>
      </c>
      <c r="BO28" s="167">
        <v>1831.7332981413724</v>
      </c>
      <c r="BP28" s="167">
        <v>1793.5029147674056</v>
      </c>
      <c r="BQ28" s="167">
        <v>1763.7940172894225</v>
      </c>
      <c r="BR28" s="167">
        <v>1745.0645734068671</v>
      </c>
      <c r="BS28" s="167">
        <v>1745.2787038113895</v>
      </c>
      <c r="BT28" s="167">
        <v>1715.0994862652542</v>
      </c>
      <c r="BU28" s="167">
        <v>1719.287906455397</v>
      </c>
      <c r="BV28" s="167">
        <v>1734.2201950936906</v>
      </c>
      <c r="BW28" s="167">
        <v>1798.5741983228818</v>
      </c>
      <c r="BX28" s="167">
        <v>1814.6817557160055</v>
      </c>
      <c r="BY28" s="167">
        <v>1858.648404645968</v>
      </c>
      <c r="BZ28" s="167">
        <v>1920.8094890494876</v>
      </c>
      <c r="CA28" s="167">
        <v>1999.2839861907207</v>
      </c>
      <c r="CB28" s="167">
        <v>2093.8688764779554</v>
      </c>
      <c r="CC28" s="167">
        <v>2204.8478233966257</v>
      </c>
      <c r="CD28" s="167">
        <v>2332.6477338329155</v>
      </c>
      <c r="CE28" s="167">
        <v>2477.7103735836049</v>
      </c>
      <c r="CF28" s="167">
        <v>2640.4346623437159</v>
      </c>
      <c r="CG28" s="167">
        <v>2821.1477003310929</v>
      </c>
      <c r="CH28" s="167">
        <v>3020.0898425486585</v>
      </c>
      <c r="CI28" s="167">
        <v>3237.407798845752</v>
      </c>
      <c r="CJ28" s="167">
        <v>3473.1528345053866</v>
      </c>
      <c r="CK28" s="167">
        <v>3727.282357739904</v>
      </c>
      <c r="CL28" s="167">
        <v>3999.6637144092711</v>
      </c>
      <c r="CM28" s="167">
        <v>4000</v>
      </c>
      <c r="CN28" s="167">
        <v>4000</v>
      </c>
      <c r="CO28" s="167">
        <v>4000</v>
      </c>
      <c r="CP28" s="167">
        <v>4000</v>
      </c>
      <c r="CQ28" s="167">
        <v>4000</v>
      </c>
      <c r="CR28" s="167">
        <v>4000</v>
      </c>
      <c r="CS28" s="167">
        <v>4000</v>
      </c>
      <c r="CT28" s="167">
        <v>4000</v>
      </c>
      <c r="CU28" s="167">
        <v>4000</v>
      </c>
      <c r="CV28" s="167">
        <v>4000</v>
      </c>
      <c r="CW28" s="167">
        <v>4000</v>
      </c>
      <c r="CX28" s="167">
        <v>4000</v>
      </c>
      <c r="CY28" s="167">
        <v>4000</v>
      </c>
      <c r="CZ28" s="167">
        <v>4000</v>
      </c>
      <c r="DA28" s="167">
        <v>4000</v>
      </c>
      <c r="DB28" s="167">
        <v>4000</v>
      </c>
      <c r="DC28" s="167">
        <v>4000</v>
      </c>
      <c r="DD28" s="167">
        <v>4000</v>
      </c>
      <c r="DE28" s="167">
        <v>4000</v>
      </c>
      <c r="DF28" s="167">
        <v>4000</v>
      </c>
      <c r="DG28" s="167">
        <v>4000</v>
      </c>
      <c r="DH28" s="167">
        <v>4000</v>
      </c>
      <c r="DI28" s="167">
        <v>4000</v>
      </c>
      <c r="DJ28" s="167">
        <v>4000</v>
      </c>
      <c r="DK28" s="167">
        <v>4000</v>
      </c>
      <c r="DL28" s="167">
        <v>4000</v>
      </c>
      <c r="DM28" s="167">
        <v>4000</v>
      </c>
      <c r="DN28" s="167">
        <v>4000</v>
      </c>
      <c r="DO28" s="167">
        <v>4000</v>
      </c>
      <c r="DP28" s="167">
        <v>4000</v>
      </c>
      <c r="DQ28" s="167">
        <v>4000</v>
      </c>
      <c r="DR28" s="167">
        <v>4000</v>
      </c>
      <c r="DS28" s="167">
        <v>4000</v>
      </c>
      <c r="DT28" s="167">
        <v>4000</v>
      </c>
      <c r="DU28" s="167">
        <v>4000</v>
      </c>
      <c r="DV28" s="167">
        <v>4000</v>
      </c>
      <c r="DW28" s="167">
        <v>4000</v>
      </c>
      <c r="DX28" s="167">
        <v>4000</v>
      </c>
      <c r="DY28" s="167">
        <v>4000</v>
      </c>
      <c r="DZ28" s="167">
        <v>4000</v>
      </c>
      <c r="EA28" s="167">
        <v>4000</v>
      </c>
      <c r="EB28" s="167">
        <v>4000</v>
      </c>
      <c r="EC28" s="167">
        <v>4000</v>
      </c>
      <c r="ED28" s="167">
        <v>4000</v>
      </c>
      <c r="EE28" s="167">
        <v>4000</v>
      </c>
      <c r="EF28" s="167">
        <v>4000</v>
      </c>
      <c r="EG28" s="167">
        <v>4000</v>
      </c>
      <c r="EH28" s="167">
        <v>4000</v>
      </c>
      <c r="EI28" s="167">
        <v>4000</v>
      </c>
      <c r="EJ28" s="167">
        <v>4000</v>
      </c>
      <c r="EK28" s="167">
        <v>4000</v>
      </c>
      <c r="EL28" s="167">
        <v>4000</v>
      </c>
      <c r="EM28" s="167">
        <v>4000</v>
      </c>
      <c r="EN28" s="167">
        <v>4000</v>
      </c>
      <c r="EO28" s="167">
        <v>4000</v>
      </c>
      <c r="EP28" t="str">
        <f t="shared" si="0"/>
        <v>0y 293d</v>
      </c>
      <c r="ES28" s="296" t="s">
        <v>89</v>
      </c>
      <c r="ET28" s="297"/>
      <c r="EU28" s="298"/>
      <c r="EV28" s="299" t="s">
        <v>90</v>
      </c>
      <c r="EW28" s="300"/>
      <c r="EX28" s="301"/>
    </row>
    <row r="29" spans="2:154" x14ac:dyDescent="0.25">
      <c r="B29" s="9">
        <v>26</v>
      </c>
      <c r="D29">
        <v>2300886.149304329</v>
      </c>
      <c r="E29" s="12">
        <v>-21659825.247552719</v>
      </c>
      <c r="F29" s="12">
        <v>-13599823007.697136</v>
      </c>
      <c r="G29" s="12">
        <v>0</v>
      </c>
      <c r="H29" s="12">
        <v>4610258.9189746445</v>
      </c>
      <c r="I29" s="12">
        <v>14511643312.778542</v>
      </c>
      <c r="J29" s="12">
        <v>14724683002.804916</v>
      </c>
      <c r="K29" s="12">
        <v>-21649489.441981576</v>
      </c>
      <c r="L29" s="12">
        <v>1050025.0178954366</v>
      </c>
      <c r="M29" s="12">
        <v>8513158431.5885649</v>
      </c>
      <c r="N29" s="12">
        <v>11246980667.159164</v>
      </c>
      <c r="O29" s="12"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G29" s="21" t="s">
        <v>22</v>
      </c>
      <c r="AH29" s="21" t="s">
        <v>23</v>
      </c>
      <c r="AI29" s="21" t="s">
        <v>26</v>
      </c>
      <c r="AJ29" s="21" t="s">
        <v>22</v>
      </c>
      <c r="AK29" s="21" t="s">
        <v>23</v>
      </c>
      <c r="AL29" s="21" t="s">
        <v>26</v>
      </c>
      <c r="AS29" s="6">
        <v>6514588.5739707537</v>
      </c>
      <c r="AT29" s="167">
        <v>3516.2747180969773</v>
      </c>
      <c r="AU29" s="167">
        <v>3406.93377492737</v>
      </c>
      <c r="AV29" s="167">
        <v>3300.7136808711302</v>
      </c>
      <c r="AW29" s="167">
        <v>3197.260917738382</v>
      </c>
      <c r="AX29" s="167">
        <v>3096.3366685162464</v>
      </c>
      <c r="AY29" s="167">
        <v>2997.797944218737</v>
      </c>
      <c r="AZ29" s="167">
        <v>2901.5816495333465</v>
      </c>
      <c r="BA29" s="167">
        <v>2807.6911704564891</v>
      </c>
      <c r="BB29" s="167">
        <v>2716.1851414380844</v>
      </c>
      <c r="BC29" s="167">
        <v>2627.1681172549934</v>
      </c>
      <c r="BD29" s="167">
        <v>2540.7829342706755</v>
      </c>
      <c r="BE29" s="167">
        <v>2457.2045966593705</v>
      </c>
      <c r="BF29" s="167">
        <v>2376.6355663478862</v>
      </c>
      <c r="BG29" s="167">
        <v>2299.3023726714941</v>
      </c>
      <c r="BH29" s="167">
        <v>2225.4534924111085</v>
      </c>
      <c r="BI29" s="167">
        <v>2155.3584892423769</v>
      </c>
      <c r="BJ29" s="167">
        <v>2089.3084560426141</v>
      </c>
      <c r="BK29" s="167">
        <v>2027.6178996081976</v>
      </c>
      <c r="BL29" s="167">
        <v>1970.6284010496252</v>
      </c>
      <c r="BM29" s="167">
        <v>1918.7148048772885</v>
      </c>
      <c r="BN29" s="167">
        <v>1872.2956494626408</v>
      </c>
      <c r="BO29" s="167">
        <v>1831.8518821181528</v>
      </c>
      <c r="BP29" s="167">
        <v>1797.9640463018347</v>
      </c>
      <c r="BQ29" s="167">
        <v>1771.3963206397354</v>
      </c>
      <c r="BR29" s="167">
        <v>1753.3191140733297</v>
      </c>
      <c r="BS29" s="167">
        <v>1746.0373396094924</v>
      </c>
      <c r="BT29" s="167">
        <v>1756.2420981201155</v>
      </c>
      <c r="BU29" s="167">
        <v>1736.685015780618</v>
      </c>
      <c r="BV29" s="167">
        <v>1751.5702073592979</v>
      </c>
      <c r="BW29" s="167">
        <v>1777.0481134118479</v>
      </c>
      <c r="BX29" s="167">
        <v>1858.6828072341464</v>
      </c>
      <c r="BY29" s="167">
        <v>1878.8942714278667</v>
      </c>
      <c r="BZ29" s="167">
        <v>1932.1375386098821</v>
      </c>
      <c r="CA29" s="167">
        <v>2004.2961024130886</v>
      </c>
      <c r="CB29" s="167">
        <v>2092.8294818482727</v>
      </c>
      <c r="CC29" s="167">
        <v>2197.4053457351706</v>
      </c>
      <c r="CD29" s="167">
        <v>2318.2777019706664</v>
      </c>
      <c r="CE29" s="167">
        <v>2455.8598689677547</v>
      </c>
      <c r="CF29" s="167">
        <v>2610.5770534668504</v>
      </c>
      <c r="CG29" s="167">
        <v>2782.804962207445</v>
      </c>
      <c r="CH29" s="167">
        <v>2972.841229226769</v>
      </c>
      <c r="CI29" s="167">
        <v>3180.8919720266749</v>
      </c>
      <c r="CJ29" s="167">
        <v>3407.0665417562927</v>
      </c>
      <c r="CK29" s="167">
        <v>3651.3772245783975</v>
      </c>
      <c r="CL29" s="167">
        <v>3913.7420637205169</v>
      </c>
      <c r="CM29" s="167">
        <v>4000</v>
      </c>
      <c r="CN29" s="167">
        <v>4000</v>
      </c>
      <c r="CO29" s="167">
        <v>4000</v>
      </c>
      <c r="CP29" s="167">
        <v>4000</v>
      </c>
      <c r="CQ29" s="167">
        <v>4000</v>
      </c>
      <c r="CR29" s="167">
        <v>4000</v>
      </c>
      <c r="CS29" s="167">
        <v>4000</v>
      </c>
      <c r="CT29" s="167">
        <v>4000</v>
      </c>
      <c r="CU29" s="167">
        <v>4000</v>
      </c>
      <c r="CV29" s="167">
        <v>4000</v>
      </c>
      <c r="CW29" s="167">
        <v>4000</v>
      </c>
      <c r="CX29" s="167">
        <v>4000</v>
      </c>
      <c r="CY29" s="167">
        <v>4000</v>
      </c>
      <c r="CZ29" s="167">
        <v>4000</v>
      </c>
      <c r="DA29" s="167">
        <v>4000</v>
      </c>
      <c r="DB29" s="167">
        <v>4000</v>
      </c>
      <c r="DC29" s="167">
        <v>4000</v>
      </c>
      <c r="DD29" s="167">
        <v>4000</v>
      </c>
      <c r="DE29" s="167">
        <v>4000</v>
      </c>
      <c r="DF29" s="167">
        <v>4000</v>
      </c>
      <c r="DG29" s="167">
        <v>4000</v>
      </c>
      <c r="DH29" s="167">
        <v>4000</v>
      </c>
      <c r="DI29" s="167">
        <v>4000</v>
      </c>
      <c r="DJ29" s="167">
        <v>4000</v>
      </c>
      <c r="DK29" s="167">
        <v>4000</v>
      </c>
      <c r="DL29" s="167">
        <v>4000</v>
      </c>
      <c r="DM29" s="167">
        <v>4000</v>
      </c>
      <c r="DN29" s="167">
        <v>4000</v>
      </c>
      <c r="DO29" s="167">
        <v>4000</v>
      </c>
      <c r="DP29" s="167">
        <v>4000</v>
      </c>
      <c r="DQ29" s="167">
        <v>4000</v>
      </c>
      <c r="DR29" s="167">
        <v>4000</v>
      </c>
      <c r="DS29" s="167">
        <v>4000</v>
      </c>
      <c r="DT29" s="167">
        <v>4000</v>
      </c>
      <c r="DU29" s="167">
        <v>4000</v>
      </c>
      <c r="DV29" s="167">
        <v>4000</v>
      </c>
      <c r="DW29" s="167">
        <v>4000</v>
      </c>
      <c r="DX29" s="167">
        <v>4000</v>
      </c>
      <c r="DY29" s="167">
        <v>4000</v>
      </c>
      <c r="DZ29" s="167">
        <v>4000</v>
      </c>
      <c r="EA29" s="167">
        <v>4000</v>
      </c>
      <c r="EB29" s="167">
        <v>4000</v>
      </c>
      <c r="EC29" s="167">
        <v>4000</v>
      </c>
      <c r="ED29" s="167">
        <v>4000</v>
      </c>
      <c r="EE29" s="167">
        <v>4000</v>
      </c>
      <c r="EF29" s="167">
        <v>4000</v>
      </c>
      <c r="EG29" s="167">
        <v>4000</v>
      </c>
      <c r="EH29" s="167">
        <v>4000</v>
      </c>
      <c r="EI29" s="167">
        <v>4000</v>
      </c>
      <c r="EJ29" s="167">
        <v>4000</v>
      </c>
      <c r="EK29" s="167">
        <v>4000</v>
      </c>
      <c r="EL29" s="167">
        <v>4000</v>
      </c>
      <c r="EM29" s="167">
        <v>4000</v>
      </c>
      <c r="EN29" s="167">
        <v>4000</v>
      </c>
      <c r="EO29" s="167">
        <v>4000</v>
      </c>
      <c r="EP29" t="str">
        <f t="shared" si="0"/>
        <v>0y 302d</v>
      </c>
      <c r="ES29" s="278"/>
      <c r="ET29" s="279"/>
      <c r="EU29" s="280"/>
      <c r="EV29" s="302"/>
      <c r="EW29" s="303"/>
      <c r="EX29" s="304"/>
    </row>
    <row r="30" spans="2:154" x14ac:dyDescent="0.25">
      <c r="B30" s="9">
        <v>27</v>
      </c>
      <c r="D30">
        <v>2392921.5952765015</v>
      </c>
      <c r="E30" s="12">
        <v>832322867.62986445</v>
      </c>
      <c r="F30" s="12">
        <v>-13574346895.255716</v>
      </c>
      <c r="G30" s="12">
        <v>0</v>
      </c>
      <c r="H30" s="12">
        <v>4782212.2480027601</v>
      </c>
      <c r="I30" s="12">
        <v>13515152008.903227</v>
      </c>
      <c r="J30" s="12">
        <v>15556997035.433195</v>
      </c>
      <c r="K30" s="12">
        <v>-21539741.392539609</v>
      </c>
      <c r="L30" s="12">
        <v>1094392.6929001093</v>
      </c>
      <c r="M30" s="12">
        <v>8191726870.8373461</v>
      </c>
      <c r="N30" s="12">
        <v>11540584952.609343</v>
      </c>
      <c r="O30" s="12"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G30" s="20">
        <v>0</v>
      </c>
      <c r="AH30" s="20">
        <v>0</v>
      </c>
      <c r="AI30" s="20">
        <v>0</v>
      </c>
      <c r="AJ30" s="20">
        <v>0</v>
      </c>
      <c r="AK30" s="10">
        <v>0</v>
      </c>
      <c r="AL30" s="10">
        <v>0</v>
      </c>
      <c r="AS30" s="6">
        <v>6693457.3353948062</v>
      </c>
      <c r="AT30" s="167">
        <v>3444.9309020851829</v>
      </c>
      <c r="AU30" s="167">
        <v>3333.8627245863936</v>
      </c>
      <c r="AV30" s="167">
        <v>3227.1667902642148</v>
      </c>
      <c r="AW30" s="167">
        <v>3124.3395665861635</v>
      </c>
      <c r="AX30" s="167">
        <v>3025.0091001487799</v>
      </c>
      <c r="AY30" s="167">
        <v>2928.9128253895219</v>
      </c>
      <c r="AZ30" s="167">
        <v>2835.8787880800473</v>
      </c>
      <c r="BA30" s="167">
        <v>2745.8098266465026</v>
      </c>
      <c r="BB30" s="167">
        <v>2658.6703277114739</v>
      </c>
      <c r="BC30" s="167">
        <v>2574.4752427050917</v>
      </c>
      <c r="BD30" s="167">
        <v>2493.2811164034674</v>
      </c>
      <c r="BE30" s="167">
        <v>2415.1789340023306</v>
      </c>
      <c r="BF30" s="167">
        <v>2340.2886402430386</v>
      </c>
      <c r="BG30" s="167">
        <v>2268.7552226555126</v>
      </c>
      <c r="BH30" s="167">
        <v>2200.7462827978115</v>
      </c>
      <c r="BI30" s="167">
        <v>2136.4510478630409</v>
      </c>
      <c r="BJ30" s="167">
        <v>2076.0808068151964</v>
      </c>
      <c r="BK30" s="167">
        <v>2019.8708032260918</v>
      </c>
      <c r="BL30" s="167">
        <v>1968.0837070447672</v>
      </c>
      <c r="BM30" s="167">
        <v>1921.0149731270758</v>
      </c>
      <c r="BN30" s="167">
        <v>1879.0007915423212</v>
      </c>
      <c r="BO30" s="167">
        <v>1842.4302119763827</v>
      </c>
      <c r="BP30" s="167">
        <v>1811.7650612619725</v>
      </c>
      <c r="BQ30" s="167">
        <v>1787.576408814235</v>
      </c>
      <c r="BR30" s="167">
        <v>1770.6210167380734</v>
      </c>
      <c r="BS30" s="167">
        <v>1762.0309925682029</v>
      </c>
      <c r="BT30" s="167">
        <v>1763.8993211486186</v>
      </c>
      <c r="BU30" s="167">
        <v>1781.7218713122472</v>
      </c>
      <c r="BV30" s="167">
        <v>1771.9458426862946</v>
      </c>
      <c r="BW30" s="167">
        <v>1795.8124019839547</v>
      </c>
      <c r="BX30" s="167">
        <v>1830.2528204506496</v>
      </c>
      <c r="BY30" s="167">
        <v>1925.3011527431067</v>
      </c>
      <c r="BZ30" s="167">
        <v>1949.8029072275067</v>
      </c>
      <c r="CA30" s="167">
        <v>2011.8130899013579</v>
      </c>
      <c r="CB30" s="167">
        <v>2093.2169342907405</v>
      </c>
      <c r="CC30" s="167">
        <v>2191.0635299262476</v>
      </c>
      <c r="CD30" s="167">
        <v>2304.96685191285</v>
      </c>
      <c r="CE30" s="167">
        <v>2435.167452686278</v>
      </c>
      <c r="CF30" s="167">
        <v>2582.0600546353626</v>
      </c>
      <c r="CG30" s="167">
        <v>2746.0407082245383</v>
      </c>
      <c r="CH30" s="167">
        <v>2927.4470180066173</v>
      </c>
      <c r="CI30" s="167">
        <v>3126.5322553322562</v>
      </c>
      <c r="CJ30" s="167">
        <v>3343.4544549899019</v>
      </c>
      <c r="CK30" s="167">
        <v>3578.2732998192041</v>
      </c>
      <c r="CL30" s="167">
        <v>3830.9515031456658</v>
      </c>
      <c r="CM30" s="167">
        <v>4000</v>
      </c>
      <c r="CN30" s="167">
        <v>4000</v>
      </c>
      <c r="CO30" s="167">
        <v>4000</v>
      </c>
      <c r="CP30" s="167">
        <v>4000</v>
      </c>
      <c r="CQ30" s="167">
        <v>4000</v>
      </c>
      <c r="CR30" s="167">
        <v>4000</v>
      </c>
      <c r="CS30" s="167">
        <v>4000</v>
      </c>
      <c r="CT30" s="167">
        <v>4000</v>
      </c>
      <c r="CU30" s="167">
        <v>4000</v>
      </c>
      <c r="CV30" s="167">
        <v>4000</v>
      </c>
      <c r="CW30" s="167">
        <v>4000</v>
      </c>
      <c r="CX30" s="167">
        <v>4000</v>
      </c>
      <c r="CY30" s="167">
        <v>4000</v>
      </c>
      <c r="CZ30" s="167">
        <v>4000</v>
      </c>
      <c r="DA30" s="167">
        <v>4000</v>
      </c>
      <c r="DB30" s="167">
        <v>4000</v>
      </c>
      <c r="DC30" s="167">
        <v>4000</v>
      </c>
      <c r="DD30" s="167">
        <v>4000</v>
      </c>
      <c r="DE30" s="167">
        <v>4000</v>
      </c>
      <c r="DF30" s="167">
        <v>4000</v>
      </c>
      <c r="DG30" s="167">
        <v>4000</v>
      </c>
      <c r="DH30" s="167">
        <v>4000</v>
      </c>
      <c r="DI30" s="167">
        <v>4000</v>
      </c>
      <c r="DJ30" s="167">
        <v>4000</v>
      </c>
      <c r="DK30" s="167">
        <v>4000</v>
      </c>
      <c r="DL30" s="167">
        <v>4000</v>
      </c>
      <c r="DM30" s="167">
        <v>4000</v>
      </c>
      <c r="DN30" s="167">
        <v>4000</v>
      </c>
      <c r="DO30" s="167">
        <v>4000</v>
      </c>
      <c r="DP30" s="167">
        <v>4000</v>
      </c>
      <c r="DQ30" s="167">
        <v>4000</v>
      </c>
      <c r="DR30" s="167">
        <v>4000</v>
      </c>
      <c r="DS30" s="167">
        <v>4000</v>
      </c>
      <c r="DT30" s="167">
        <v>4000</v>
      </c>
      <c r="DU30" s="167">
        <v>4000</v>
      </c>
      <c r="DV30" s="167">
        <v>4000</v>
      </c>
      <c r="DW30" s="167">
        <v>4000</v>
      </c>
      <c r="DX30" s="167">
        <v>4000</v>
      </c>
      <c r="DY30" s="167">
        <v>4000</v>
      </c>
      <c r="DZ30" s="167">
        <v>4000</v>
      </c>
      <c r="EA30" s="167">
        <v>4000</v>
      </c>
      <c r="EB30" s="167">
        <v>4000</v>
      </c>
      <c r="EC30" s="167">
        <v>4000</v>
      </c>
      <c r="ED30" s="167">
        <v>4000</v>
      </c>
      <c r="EE30" s="167">
        <v>4000</v>
      </c>
      <c r="EF30" s="167">
        <v>4000</v>
      </c>
      <c r="EG30" s="167">
        <v>4000</v>
      </c>
      <c r="EH30" s="167">
        <v>4000</v>
      </c>
      <c r="EI30" s="167">
        <v>4000</v>
      </c>
      <c r="EJ30" s="167">
        <v>4000</v>
      </c>
      <c r="EK30" s="167">
        <v>4000</v>
      </c>
      <c r="EL30" s="167">
        <v>4000</v>
      </c>
      <c r="EM30" s="167">
        <v>4000</v>
      </c>
      <c r="EN30" s="167">
        <v>4000</v>
      </c>
      <c r="EO30" s="167">
        <v>4000</v>
      </c>
      <c r="EP30" t="str">
        <f t="shared" si="0"/>
        <v>0y 310d</v>
      </c>
      <c r="ES30" s="278"/>
      <c r="ET30" s="279"/>
      <c r="EU30" s="280"/>
      <c r="EV30" s="302"/>
      <c r="EW30" s="303"/>
      <c r="EX30" s="304"/>
    </row>
    <row r="31" spans="2:154" x14ac:dyDescent="0.25">
      <c r="B31" s="9">
        <v>28</v>
      </c>
      <c r="D31">
        <v>2484957.041248674</v>
      </c>
      <c r="E31" s="12">
        <v>1683020762.4008946</v>
      </c>
      <c r="F31" s="12">
        <v>-13495299037.147924</v>
      </c>
      <c r="G31" s="12">
        <v>0</v>
      </c>
      <c r="H31" s="12">
        <v>4953072.8990688147</v>
      </c>
      <c r="I31" s="12">
        <v>12471987645.427891</v>
      </c>
      <c r="J31" s="12">
        <v>16323013030.437532</v>
      </c>
      <c r="K31" s="12">
        <v>-21346216.791068576</v>
      </c>
      <c r="L31" s="12">
        <v>1139060.7873927758</v>
      </c>
      <c r="M31" s="12">
        <v>7861382671.2293987</v>
      </c>
      <c r="N31" s="12">
        <v>11826686925.840769</v>
      </c>
      <c r="O31" s="12"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G31" s="20">
        <v>10575425089.701818</v>
      </c>
      <c r="AH31" s="20">
        <v>-8550791727.1340122</v>
      </c>
      <c r="AI31" s="20">
        <v>0</v>
      </c>
      <c r="AJ31">
        <v>11024240166.2528</v>
      </c>
      <c r="AK31" s="10">
        <v>7963779488.7538528</v>
      </c>
      <c r="AL31" s="10">
        <v>0</v>
      </c>
      <c r="AS31" s="6">
        <v>6872326.0968188588</v>
      </c>
      <c r="AT31" s="167">
        <v>3408.9524165379999</v>
      </c>
      <c r="AU31" s="167">
        <v>3294.6145052055745</v>
      </c>
      <c r="AV31" s="167">
        <v>3186.0254890562828</v>
      </c>
      <c r="AW31" s="167">
        <v>3082.5062068632542</v>
      </c>
      <c r="AX31" s="167">
        <v>2983.5287887028171</v>
      </c>
      <c r="AY31" s="167">
        <v>2888.690894545236</v>
      </c>
      <c r="AZ31" s="167">
        <v>2797.6938796628465</v>
      </c>
      <c r="BA31" s="167">
        <v>2710.3244015352902</v>
      </c>
      <c r="BB31" s="167">
        <v>2626.4390506463842</v>
      </c>
      <c r="BC31" s="167">
        <v>2545.9516558540336</v>
      </c>
      <c r="BD31" s="167">
        <v>2468.8229786592256</v>
      </c>
      <c r="BE31" s="167">
        <v>2395.0525664143001</v>
      </c>
      <c r="BF31" s="167">
        <v>2324.6725805719225</v>
      </c>
      <c r="BG31" s="167">
        <v>2257.7434520650158</v>
      </c>
      <c r="BH31" s="167">
        <v>2194.3512426489178</v>
      </c>
      <c r="BI31" s="167">
        <v>2134.606610769094</v>
      </c>
      <c r="BJ31" s="167">
        <v>2078.6452974727626</v>
      </c>
      <c r="BK31" s="167">
        <v>2026.6300694584604</v>
      </c>
      <c r="BL31" s="167">
        <v>1978.7540955650175</v>
      </c>
      <c r="BM31" s="167">
        <v>1935.245813414436</v>
      </c>
      <c r="BN31" s="167">
        <v>1896.3755092182694</v>
      </c>
      <c r="BO31" s="167">
        <v>1862.464175818872</v>
      </c>
      <c r="BP31" s="167">
        <v>1833.8959288016263</v>
      </c>
      <c r="BQ31" s="167">
        <v>1811.1368374480849</v>
      </c>
      <c r="BR31" s="167">
        <v>1794.7668974151068</v>
      </c>
      <c r="BS31" s="167">
        <v>1785.5429818791461</v>
      </c>
      <c r="BT31" s="167">
        <v>1784.5488319312874</v>
      </c>
      <c r="BU31" s="167">
        <v>1793.6474904654726</v>
      </c>
      <c r="BV31" s="167">
        <v>1817.3056545264428</v>
      </c>
      <c r="BW31" s="167">
        <v>1873.9407228092011</v>
      </c>
      <c r="BX31" s="167">
        <v>1848.2985062726814</v>
      </c>
      <c r="BY31" s="167">
        <v>1890.5811663166717</v>
      </c>
      <c r="BZ31" s="167">
        <v>1944.3906139529226</v>
      </c>
      <c r="CA31" s="167">
        <v>2025.171321128591</v>
      </c>
      <c r="CB31" s="167">
        <v>2095.8525318996858</v>
      </c>
      <c r="CC31" s="167">
        <v>2186.0971340337746</v>
      </c>
      <c r="CD31" s="167">
        <v>2292.837988865137</v>
      </c>
      <c r="CE31" s="167">
        <v>2415.7019913307413</v>
      </c>
      <c r="CF31" s="167">
        <v>2554.9248781124033</v>
      </c>
      <c r="CG31" s="167">
        <v>2710.8749031752664</v>
      </c>
      <c r="CH31" s="167">
        <v>2883.9066414689632</v>
      </c>
      <c r="CI31" s="167">
        <v>3074.3068715573895</v>
      </c>
      <c r="CJ31" s="167">
        <v>3282.27285832497</v>
      </c>
      <c r="CK31" s="167">
        <v>3507.9045260043622</v>
      </c>
      <c r="CL31" s="167">
        <v>3751.2042748508638</v>
      </c>
      <c r="CM31" s="167">
        <v>4000</v>
      </c>
      <c r="CN31" s="167">
        <v>4000</v>
      </c>
      <c r="CO31" s="167">
        <v>4000</v>
      </c>
      <c r="CP31" s="167">
        <v>4000</v>
      </c>
      <c r="CQ31" s="167">
        <v>4000</v>
      </c>
      <c r="CR31" s="167">
        <v>4000</v>
      </c>
      <c r="CS31" s="167">
        <v>4000</v>
      </c>
      <c r="CT31" s="167">
        <v>4000</v>
      </c>
      <c r="CU31" s="167">
        <v>4000</v>
      </c>
      <c r="CV31" s="167">
        <v>4000</v>
      </c>
      <c r="CW31" s="167">
        <v>4000</v>
      </c>
      <c r="CX31" s="167">
        <v>4000</v>
      </c>
      <c r="CY31" s="167">
        <v>4000</v>
      </c>
      <c r="CZ31" s="167">
        <v>4000</v>
      </c>
      <c r="DA31" s="167">
        <v>4000</v>
      </c>
      <c r="DB31" s="167">
        <v>4000</v>
      </c>
      <c r="DC31" s="167">
        <v>4000</v>
      </c>
      <c r="DD31" s="167">
        <v>4000</v>
      </c>
      <c r="DE31" s="167">
        <v>4000</v>
      </c>
      <c r="DF31" s="167">
        <v>4000</v>
      </c>
      <c r="DG31" s="167">
        <v>4000</v>
      </c>
      <c r="DH31" s="167">
        <v>4000</v>
      </c>
      <c r="DI31" s="167">
        <v>4000</v>
      </c>
      <c r="DJ31" s="167">
        <v>4000</v>
      </c>
      <c r="DK31" s="167">
        <v>4000</v>
      </c>
      <c r="DL31" s="167">
        <v>4000</v>
      </c>
      <c r="DM31" s="167">
        <v>4000</v>
      </c>
      <c r="DN31" s="167">
        <v>4000</v>
      </c>
      <c r="DO31" s="167">
        <v>4000</v>
      </c>
      <c r="DP31" s="167">
        <v>4000</v>
      </c>
      <c r="DQ31" s="167">
        <v>4000</v>
      </c>
      <c r="DR31" s="167">
        <v>4000</v>
      </c>
      <c r="DS31" s="167">
        <v>4000</v>
      </c>
      <c r="DT31" s="167">
        <v>4000</v>
      </c>
      <c r="DU31" s="167">
        <v>4000</v>
      </c>
      <c r="DV31" s="167">
        <v>4000</v>
      </c>
      <c r="DW31" s="167">
        <v>4000</v>
      </c>
      <c r="DX31" s="167">
        <v>4000</v>
      </c>
      <c r="DY31" s="167">
        <v>4000</v>
      </c>
      <c r="DZ31" s="167">
        <v>4000</v>
      </c>
      <c r="EA31" s="167">
        <v>4000</v>
      </c>
      <c r="EB31" s="167">
        <v>4000</v>
      </c>
      <c r="EC31" s="167">
        <v>4000</v>
      </c>
      <c r="ED31" s="167">
        <v>4000</v>
      </c>
      <c r="EE31" s="167">
        <v>4000</v>
      </c>
      <c r="EF31" s="167">
        <v>4000</v>
      </c>
      <c r="EG31" s="167">
        <v>4000</v>
      </c>
      <c r="EH31" s="167">
        <v>4000</v>
      </c>
      <c r="EI31" s="167">
        <v>4000</v>
      </c>
      <c r="EJ31" s="167">
        <v>4000</v>
      </c>
      <c r="EK31" s="167">
        <v>4000</v>
      </c>
      <c r="EL31" s="167">
        <v>4000</v>
      </c>
      <c r="EM31" s="167">
        <v>4000</v>
      </c>
      <c r="EN31" s="167">
        <v>4000</v>
      </c>
      <c r="EO31" s="167">
        <v>4000</v>
      </c>
      <c r="EP31" t="str">
        <f t="shared" si="0"/>
        <v>0y 318d</v>
      </c>
      <c r="ES31" s="278">
        <f>MIN(AT3:EO102) - 0.1</f>
        <v>1698.7259559375429</v>
      </c>
      <c r="ET31" s="279"/>
      <c r="EU31" s="280"/>
      <c r="EV31" s="284">
        <v>0.05</v>
      </c>
      <c r="EW31" s="285"/>
      <c r="EX31" s="286"/>
    </row>
    <row r="32" spans="2:154" x14ac:dyDescent="0.25">
      <c r="B32" s="9">
        <v>29</v>
      </c>
      <c r="D32">
        <v>2576992.4872208466</v>
      </c>
      <c r="E32" s="12">
        <v>2527076543.1217761</v>
      </c>
      <c r="F32" s="12">
        <v>-13362991399.156172</v>
      </c>
      <c r="G32" s="12">
        <v>0</v>
      </c>
      <c r="H32" s="12">
        <v>5122857.5341308508</v>
      </c>
      <c r="I32" s="12">
        <v>11386631802.715376</v>
      </c>
      <c r="J32" s="12">
        <v>17020392275.804256</v>
      </c>
      <c r="K32" s="12">
        <v>-21070458.258353278</v>
      </c>
      <c r="L32" s="12">
        <v>1184042.9706105797</v>
      </c>
      <c r="M32" s="12">
        <v>7522227996.816349</v>
      </c>
      <c r="N32" s="12">
        <v>12105040280.490631</v>
      </c>
      <c r="O32" s="12"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G32" s="254" t="s">
        <v>62</v>
      </c>
      <c r="AH32" s="254"/>
      <c r="AI32" s="254"/>
      <c r="AJ32" s="254" t="s">
        <v>71</v>
      </c>
      <c r="AK32" s="254"/>
      <c r="AL32" s="254"/>
      <c r="AS32" s="6">
        <v>7051194.8582429113</v>
      </c>
      <c r="AT32" s="167">
        <v>3409.7028968740506</v>
      </c>
      <c r="AU32" s="167">
        <v>3290.3108846739133</v>
      </c>
      <c r="AV32" s="167">
        <v>3178.1868022860058</v>
      </c>
      <c r="AW32" s="167">
        <v>3072.447915419134</v>
      </c>
      <c r="AX32" s="167">
        <v>2972.3857440792694</v>
      </c>
      <c r="AY32" s="167">
        <v>2877.4364884354318</v>
      </c>
      <c r="AZ32" s="167">
        <v>2787.1559412066363</v>
      </c>
      <c r="BA32" s="167">
        <v>2701.1983730825068</v>
      </c>
      <c r="BB32" s="167">
        <v>2619.298938031744</v>
      </c>
      <c r="BC32" s="167">
        <v>2541.2592079288715</v>
      </c>
      <c r="BD32" s="167">
        <v>2466.9355051008333</v>
      </c>
      <c r="BE32" s="167">
        <v>2396.2297532532284</v>
      </c>
      <c r="BF32" s="167">
        <v>2329.0826095903226</v>
      </c>
      <c r="BG32" s="167">
        <v>2265.4686731295624</v>
      </c>
      <c r="BH32" s="167">
        <v>2205.3935869465431</v>
      </c>
      <c r="BI32" s="167">
        <v>2148.8928673431392</v>
      </c>
      <c r="BJ32" s="167">
        <v>2096.0323039867935</v>
      </c>
      <c r="BK32" s="167">
        <v>2046.9097867531491</v>
      </c>
      <c r="BL32" s="167">
        <v>2001.6584343879902</v>
      </c>
      <c r="BM32" s="167">
        <v>1960.4509379170834</v>
      </c>
      <c r="BN32" s="167">
        <v>1923.5051051871521</v>
      </c>
      <c r="BO32" s="167">
        <v>1891.0907313733437</v>
      </c>
      <c r="BP32" s="167">
        <v>1863.5381783643288</v>
      </c>
      <c r="BQ32" s="167">
        <v>1841.2495422930767</v>
      </c>
      <c r="BR32" s="167">
        <v>1824.7143456871734</v>
      </c>
      <c r="BS32" s="167">
        <v>1814.5343859794498</v>
      </c>
      <c r="BT32" s="167">
        <v>1811.4707423186685</v>
      </c>
      <c r="BU32" s="167">
        <v>1816.5561146567043</v>
      </c>
      <c r="BV32" s="167">
        <v>1831.439599184635</v>
      </c>
      <c r="BW32" s="167">
        <v>1859.762617135259</v>
      </c>
      <c r="BX32" s="167">
        <v>1915.2734327968819</v>
      </c>
      <c r="BY32" s="167">
        <v>1906.3932906923101</v>
      </c>
      <c r="BZ32" s="167">
        <v>1955.8083688663273</v>
      </c>
      <c r="CA32" s="167">
        <v>2017.0283692736937</v>
      </c>
      <c r="CB32" s="167">
        <v>2103.7229467301304</v>
      </c>
      <c r="CC32" s="167">
        <v>2183.2126266888099</v>
      </c>
      <c r="CD32" s="167">
        <v>2282.1276761118747</v>
      </c>
      <c r="CE32" s="167">
        <v>2397.5697878640908</v>
      </c>
      <c r="CF32" s="167">
        <v>2529.2284761950868</v>
      </c>
      <c r="CG32" s="167">
        <v>2677.3365652444991</v>
      </c>
      <c r="CH32" s="167">
        <v>2842.2267482711486</v>
      </c>
      <c r="CI32" s="167">
        <v>3024.2012489429021</v>
      </c>
      <c r="CJ32" s="167">
        <v>3223.4860292453805</v>
      </c>
      <c r="CK32" s="167">
        <v>3440.2140253565167</v>
      </c>
      <c r="CL32" s="167">
        <v>3674.4214190717921</v>
      </c>
      <c r="CM32" s="167">
        <v>3926.0457947709338</v>
      </c>
      <c r="CN32" s="167">
        <v>4000</v>
      </c>
      <c r="CO32" s="167">
        <v>4000</v>
      </c>
      <c r="CP32" s="167">
        <v>4000</v>
      </c>
      <c r="CQ32" s="167">
        <v>4000</v>
      </c>
      <c r="CR32" s="167">
        <v>4000</v>
      </c>
      <c r="CS32" s="167">
        <v>4000</v>
      </c>
      <c r="CT32" s="167">
        <v>4000</v>
      </c>
      <c r="CU32" s="167">
        <v>4000</v>
      </c>
      <c r="CV32" s="167">
        <v>4000</v>
      </c>
      <c r="CW32" s="167">
        <v>4000</v>
      </c>
      <c r="CX32" s="167">
        <v>4000</v>
      </c>
      <c r="CY32" s="167">
        <v>4000</v>
      </c>
      <c r="CZ32" s="167">
        <v>4000</v>
      </c>
      <c r="DA32" s="167">
        <v>4000</v>
      </c>
      <c r="DB32" s="167">
        <v>4000</v>
      </c>
      <c r="DC32" s="167">
        <v>4000</v>
      </c>
      <c r="DD32" s="167">
        <v>4000</v>
      </c>
      <c r="DE32" s="167">
        <v>4000</v>
      </c>
      <c r="DF32" s="167">
        <v>4000</v>
      </c>
      <c r="DG32" s="167">
        <v>4000</v>
      </c>
      <c r="DH32" s="167">
        <v>4000</v>
      </c>
      <c r="DI32" s="167">
        <v>4000</v>
      </c>
      <c r="DJ32" s="167">
        <v>4000</v>
      </c>
      <c r="DK32" s="167">
        <v>4000</v>
      </c>
      <c r="DL32" s="167">
        <v>4000</v>
      </c>
      <c r="DM32" s="167">
        <v>4000</v>
      </c>
      <c r="DN32" s="167">
        <v>4000</v>
      </c>
      <c r="DO32" s="167">
        <v>4000</v>
      </c>
      <c r="DP32" s="167">
        <v>4000</v>
      </c>
      <c r="DQ32" s="167">
        <v>4000</v>
      </c>
      <c r="DR32" s="167">
        <v>4000</v>
      </c>
      <c r="DS32" s="167">
        <v>4000</v>
      </c>
      <c r="DT32" s="167">
        <v>4000</v>
      </c>
      <c r="DU32" s="167">
        <v>4000</v>
      </c>
      <c r="DV32" s="167">
        <v>4000</v>
      </c>
      <c r="DW32" s="167">
        <v>4000</v>
      </c>
      <c r="DX32" s="167">
        <v>4000</v>
      </c>
      <c r="DY32" s="167">
        <v>4000</v>
      </c>
      <c r="DZ32" s="167">
        <v>4000</v>
      </c>
      <c r="EA32" s="167">
        <v>4000</v>
      </c>
      <c r="EB32" s="167">
        <v>4000</v>
      </c>
      <c r="EC32" s="167">
        <v>4000</v>
      </c>
      <c r="ED32" s="167">
        <v>4000</v>
      </c>
      <c r="EE32" s="167">
        <v>4000</v>
      </c>
      <c r="EF32" s="167">
        <v>4000</v>
      </c>
      <c r="EG32" s="167">
        <v>4000</v>
      </c>
      <c r="EH32" s="167">
        <v>4000</v>
      </c>
      <c r="EI32" s="167">
        <v>4000</v>
      </c>
      <c r="EJ32" s="167">
        <v>4000</v>
      </c>
      <c r="EK32" s="167">
        <v>4000</v>
      </c>
      <c r="EL32" s="167">
        <v>4000</v>
      </c>
      <c r="EM32" s="167">
        <v>4000</v>
      </c>
      <c r="EN32" s="167">
        <v>4000</v>
      </c>
      <c r="EO32" s="167">
        <v>4000</v>
      </c>
      <c r="EP32" t="str">
        <f t="shared" si="0"/>
        <v>0y 326d</v>
      </c>
      <c r="ES32" s="278"/>
      <c r="ET32" s="279"/>
      <c r="EU32" s="280"/>
      <c r="EV32" s="284"/>
      <c r="EW32" s="285"/>
      <c r="EX32" s="286"/>
    </row>
    <row r="33" spans="2:154" ht="15.75" thickBot="1" x14ac:dyDescent="0.3">
      <c r="B33" s="9">
        <v>30</v>
      </c>
      <c r="D33">
        <v>2669027.9331930191</v>
      </c>
      <c r="E33" s="12">
        <v>3361159107.2384095</v>
      </c>
      <c r="F33" s="12">
        <v>-13177946139.08201</v>
      </c>
      <c r="G33" s="12">
        <v>0</v>
      </c>
      <c r="H33" s="12">
        <v>5291586.6940517109</v>
      </c>
      <c r="I33" s="12">
        <v>10263642804.83984</v>
      </c>
      <c r="J33" s="12">
        <v>17647102543.269672</v>
      </c>
      <c r="K33" s="12">
        <v>-20714293.661476709</v>
      </c>
      <c r="L33" s="12">
        <v>1229352.9913728014</v>
      </c>
      <c r="M33" s="12">
        <v>7174370817.79813</v>
      </c>
      <c r="N33" s="12">
        <v>12375395255.359886</v>
      </c>
      <c r="O33" s="12"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G33" s="21" t="s">
        <v>22</v>
      </c>
      <c r="AH33" s="21" t="s">
        <v>23</v>
      </c>
      <c r="AI33" s="21" t="s">
        <v>26</v>
      </c>
      <c r="AJ33" s="24" t="s">
        <v>22</v>
      </c>
      <c r="AK33" s="24" t="s">
        <v>23</v>
      </c>
      <c r="AL33" s="24" t="s">
        <v>26</v>
      </c>
      <c r="AS33" s="6">
        <v>7230063.6196669638</v>
      </c>
      <c r="AT33" s="167">
        <v>3448.681746125606</v>
      </c>
      <c r="AU33" s="167">
        <v>3322.1759711059767</v>
      </c>
      <c r="AV33" s="167">
        <v>3204.6211167102674</v>
      </c>
      <c r="AW33" s="167">
        <v>3094.9000421424012</v>
      </c>
      <c r="AX33" s="167">
        <v>2992.0968322987151</v>
      </c>
      <c r="AY33" s="167">
        <v>2895.4630655638139</v>
      </c>
      <c r="AZ33" s="167">
        <v>2804.3892112752401</v>
      </c>
      <c r="BA33" s="167">
        <v>2718.3805936372123</v>
      </c>
      <c r="BB33" s="167">
        <v>2637.0374165639896</v>
      </c>
      <c r="BC33" s="167">
        <v>2560.0384021294244</v>
      </c>
      <c r="BD33" s="167">
        <v>2487.1276499043579</v>
      </c>
      <c r="BE33" s="167">
        <v>2418.104372361061</v>
      </c>
      <c r="BF33" s="167">
        <v>2352.8152009943688</v>
      </c>
      <c r="BG33" s="167">
        <v>2291.1487885331435</v>
      </c>
      <c r="BH33" s="167">
        <v>2233.0324555114162</v>
      </c>
      <c r="BI33" s="167">
        <v>2178.4306464148854</v>
      </c>
      <c r="BJ33" s="167">
        <v>2127.3449742167877</v>
      </c>
      <c r="BK33" s="167">
        <v>2079.8156455346907</v>
      </c>
      <c r="BL33" s="167">
        <v>2035.9240756219285</v>
      </c>
      <c r="BM33" s="167">
        <v>1995.7965275327194</v>
      </c>
      <c r="BN33" s="167">
        <v>1959.6086489921345</v>
      </c>
      <c r="BO33" s="167">
        <v>1927.590841765641</v>
      </c>
      <c r="BP33" s="167">
        <v>1900.0344930902916</v>
      </c>
      <c r="BQ33" s="167">
        <v>1877.2992473497177</v>
      </c>
      <c r="BR33" s="167">
        <v>1859.821757109738</v>
      </c>
      <c r="BS33" s="167">
        <v>1848.1269592001768</v>
      </c>
      <c r="BT33" s="167">
        <v>1842.8448311234074</v>
      </c>
      <c r="BU33" s="167">
        <v>1844.7424440684215</v>
      </c>
      <c r="BV33" s="167">
        <v>1854.8063052326845</v>
      </c>
      <c r="BW33" s="167">
        <v>1874.5079216529127</v>
      </c>
      <c r="BX33" s="167">
        <v>1906.8586492024895</v>
      </c>
      <c r="BY33" s="167">
        <v>1962.399635326798</v>
      </c>
      <c r="BZ33" s="167">
        <v>1968.349002539893</v>
      </c>
      <c r="CA33" s="167">
        <v>2024.5208002814272</v>
      </c>
      <c r="CB33" s="167">
        <v>2092.8710746779761</v>
      </c>
      <c r="CC33" s="167">
        <v>2184.8851759663248</v>
      </c>
      <c r="CD33" s="167">
        <v>2273.3997008250217</v>
      </c>
      <c r="CE33" s="167">
        <v>2380.9577589880309</v>
      </c>
      <c r="CF33" s="167">
        <v>2505.0529606334758</v>
      </c>
      <c r="CG33" s="167">
        <v>2645.4653571373669</v>
      </c>
      <c r="CH33" s="167">
        <v>2802.4207858944619</v>
      </c>
      <c r="CI33" s="167">
        <v>2976.2070222249677</v>
      </c>
      <c r="CJ33" s="167">
        <v>3167.0650070315551</v>
      </c>
      <c r="CK33" s="167">
        <v>3375.1527041450236</v>
      </c>
      <c r="CL33" s="167">
        <v>3600.5346108165122</v>
      </c>
      <c r="CM33" s="167">
        <v>3843.1762258737472</v>
      </c>
      <c r="CN33" s="167">
        <v>4000</v>
      </c>
      <c r="CO33" s="167">
        <v>4000</v>
      </c>
      <c r="CP33" s="167">
        <v>4000</v>
      </c>
      <c r="CQ33" s="167">
        <v>4000</v>
      </c>
      <c r="CR33" s="167">
        <v>4000</v>
      </c>
      <c r="CS33" s="167">
        <v>4000</v>
      </c>
      <c r="CT33" s="167">
        <v>4000</v>
      </c>
      <c r="CU33" s="167">
        <v>4000</v>
      </c>
      <c r="CV33" s="167">
        <v>4000</v>
      </c>
      <c r="CW33" s="167">
        <v>4000</v>
      </c>
      <c r="CX33" s="167">
        <v>4000</v>
      </c>
      <c r="CY33" s="167">
        <v>4000</v>
      </c>
      <c r="CZ33" s="167">
        <v>4000</v>
      </c>
      <c r="DA33" s="167">
        <v>4000</v>
      </c>
      <c r="DB33" s="167">
        <v>4000</v>
      </c>
      <c r="DC33" s="167">
        <v>4000</v>
      </c>
      <c r="DD33" s="167">
        <v>4000</v>
      </c>
      <c r="DE33" s="167">
        <v>4000</v>
      </c>
      <c r="DF33" s="167">
        <v>4000</v>
      </c>
      <c r="DG33" s="167">
        <v>4000</v>
      </c>
      <c r="DH33" s="167">
        <v>4000</v>
      </c>
      <c r="DI33" s="167">
        <v>4000</v>
      </c>
      <c r="DJ33" s="167">
        <v>4000</v>
      </c>
      <c r="DK33" s="167">
        <v>4000</v>
      </c>
      <c r="DL33" s="167">
        <v>4000</v>
      </c>
      <c r="DM33" s="167">
        <v>4000</v>
      </c>
      <c r="DN33" s="167">
        <v>4000</v>
      </c>
      <c r="DO33" s="167">
        <v>4000</v>
      </c>
      <c r="DP33" s="167">
        <v>4000</v>
      </c>
      <c r="DQ33" s="167">
        <v>4000</v>
      </c>
      <c r="DR33" s="167">
        <v>4000</v>
      </c>
      <c r="DS33" s="167">
        <v>4000</v>
      </c>
      <c r="DT33" s="167">
        <v>4000</v>
      </c>
      <c r="DU33" s="167">
        <v>4000</v>
      </c>
      <c r="DV33" s="167">
        <v>4000</v>
      </c>
      <c r="DW33" s="167">
        <v>4000</v>
      </c>
      <c r="DX33" s="167">
        <v>4000</v>
      </c>
      <c r="DY33" s="167">
        <v>4000</v>
      </c>
      <c r="DZ33" s="167">
        <v>4000</v>
      </c>
      <c r="EA33" s="167">
        <v>4000</v>
      </c>
      <c r="EB33" s="167">
        <v>4000</v>
      </c>
      <c r="EC33" s="167">
        <v>4000</v>
      </c>
      <c r="ED33" s="167">
        <v>4000</v>
      </c>
      <c r="EE33" s="167">
        <v>4000</v>
      </c>
      <c r="EF33" s="167">
        <v>4000</v>
      </c>
      <c r="EG33" s="167">
        <v>4000</v>
      </c>
      <c r="EH33" s="167">
        <v>4000</v>
      </c>
      <c r="EI33" s="167">
        <v>4000</v>
      </c>
      <c r="EJ33" s="167">
        <v>4000</v>
      </c>
      <c r="EK33" s="167">
        <v>4000</v>
      </c>
      <c r="EL33" s="167">
        <v>4000</v>
      </c>
      <c r="EM33" s="167">
        <v>4000</v>
      </c>
      <c r="EN33" s="167">
        <v>4000</v>
      </c>
      <c r="EO33" s="167">
        <v>4000</v>
      </c>
      <c r="EP33" t="str">
        <f t="shared" si="0"/>
        <v>0y 335d</v>
      </c>
      <c r="ES33" s="281"/>
      <c r="ET33" s="282"/>
      <c r="EU33" s="283"/>
      <c r="EV33" s="287"/>
      <c r="EW33" s="288"/>
      <c r="EX33" s="289"/>
    </row>
    <row r="34" spans="2:154" x14ac:dyDescent="0.25">
      <c r="B34" s="9">
        <v>31</v>
      </c>
      <c r="D34">
        <v>2761063.3791651921</v>
      </c>
      <c r="E34" s="12">
        <v>4181976711.9263043</v>
      </c>
      <c r="F34" s="12">
        <v>-12940893546.027809</v>
      </c>
      <c r="G34" s="12">
        <v>0</v>
      </c>
      <c r="H34" s="12">
        <v>5459284.6112122331</v>
      </c>
      <c r="I34" s="12">
        <v>9107634905.0339127</v>
      </c>
      <c r="J34" s="12">
        <v>18201414508.89386</v>
      </c>
      <c r="K34" s="12">
        <v>-20279818.16260618</v>
      </c>
      <c r="L34" s="12">
        <v>1275004.6764649602</v>
      </c>
      <c r="M34" s="12">
        <v>6817925318.2725945</v>
      </c>
      <c r="N34" s="12">
        <v>12637498645.725998</v>
      </c>
      <c r="O34" s="12"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G34" s="20">
        <v>0</v>
      </c>
      <c r="AH34" s="20">
        <v>0</v>
      </c>
      <c r="AI34" s="20">
        <v>0</v>
      </c>
      <c r="AJ34" s="23">
        <v>6135696.666666667</v>
      </c>
      <c r="AK34" s="22">
        <v>0</v>
      </c>
      <c r="AL34" s="22">
        <v>0</v>
      </c>
      <c r="AS34" s="6">
        <v>7408932.3810910163</v>
      </c>
      <c r="AT34" s="167">
        <v>3527.5636481545735</v>
      </c>
      <c r="AU34" s="167">
        <v>3391.562734967833</v>
      </c>
      <c r="AV34" s="167">
        <v>3266.390585636218</v>
      </c>
      <c r="AW34" s="167">
        <v>3150.6603759919271</v>
      </c>
      <c r="AX34" s="167">
        <v>3043.2187699103688</v>
      </c>
      <c r="AY34" s="167">
        <v>2943.1074132805479</v>
      </c>
      <c r="AZ34" s="167">
        <v>2849.5303518259952</v>
      </c>
      <c r="BA34" s="167">
        <v>2761.8267101003485</v>
      </c>
      <c r="BB34" s="167">
        <v>2679.4480369694838</v>
      </c>
      <c r="BC34" s="167">
        <v>2601.9397852551565</v>
      </c>
      <c r="BD34" s="167">
        <v>2528.9264493258588</v>
      </c>
      <c r="BE34" s="167">
        <v>2460.0999334234211</v>
      </c>
      <c r="BF34" s="167">
        <v>2395.2107650769231</v>
      </c>
      <c r="BG34" s="167">
        <v>2334.0618025495546</v>
      </c>
      <c r="BH34" s="167">
        <v>2276.5041140712924</v>
      </c>
      <c r="BI34" s="167">
        <v>2222.434731284693</v>
      </c>
      <c r="BJ34" s="167">
        <v>2171.7960017063974</v>
      </c>
      <c r="BK34" s="167">
        <v>2124.5762868655202</v>
      </c>
      <c r="BL34" s="167">
        <v>2080.8117757119971</v>
      </c>
      <c r="BM34" s="167">
        <v>2040.589208270314</v>
      </c>
      <c r="BN34" s="167">
        <v>2004.0493334534142</v>
      </c>
      <c r="BO34" s="167">
        <v>1971.3909579696003</v>
      </c>
      <c r="BP34" s="167">
        <v>1942.8754792475756</v>
      </c>
      <c r="BQ34" s="167">
        <v>1918.8318302596931</v>
      </c>
      <c r="BR34" s="167">
        <v>1899.6617953017462</v>
      </c>
      <c r="BS34" s="167">
        <v>1885.8457197091207</v>
      </c>
      <c r="BT34" s="167">
        <v>1877.9489793905616</v>
      </c>
      <c r="BU34" s="167">
        <v>1876.6312256359392</v>
      </c>
      <c r="BV34" s="167">
        <v>1882.6667828898505</v>
      </c>
      <c r="BW34" s="167">
        <v>1897.0061603070135</v>
      </c>
      <c r="BX34" s="167">
        <v>1920.9850918987477</v>
      </c>
      <c r="BY34" s="167">
        <v>1957.1440688585105</v>
      </c>
      <c r="BZ34" s="167">
        <v>2013.7659297467305</v>
      </c>
      <c r="CA34" s="167">
        <v>2033.106936739325</v>
      </c>
      <c r="CB34" s="167">
        <v>2095.9175429100342</v>
      </c>
      <c r="CC34" s="167">
        <v>2171.3448207812789</v>
      </c>
      <c r="CD34" s="167">
        <v>2268.5548559669278</v>
      </c>
      <c r="CE34" s="167">
        <v>2366.2847070578391</v>
      </c>
      <c r="CF34" s="167">
        <v>2482.5344706324413</v>
      </c>
      <c r="CG34" s="167">
        <v>2615.3174693216438</v>
      </c>
      <c r="CH34" s="167">
        <v>2764.5098142304282</v>
      </c>
      <c r="CI34" s="167">
        <v>2930.3215874281323</v>
      </c>
      <c r="CJ34" s="167">
        <v>3112.9867662997622</v>
      </c>
      <c r="CK34" s="167">
        <v>3312.6790891033324</v>
      </c>
      <c r="CL34" s="167">
        <v>3529.4828917055838</v>
      </c>
      <c r="CM34" s="167">
        <v>3763.3898995343407</v>
      </c>
      <c r="CN34" s="167">
        <v>4000</v>
      </c>
      <c r="CO34" s="167">
        <v>4000</v>
      </c>
      <c r="CP34" s="167">
        <v>4000</v>
      </c>
      <c r="CQ34" s="167">
        <v>4000</v>
      </c>
      <c r="CR34" s="167">
        <v>4000</v>
      </c>
      <c r="CS34" s="167">
        <v>4000</v>
      </c>
      <c r="CT34" s="167">
        <v>4000</v>
      </c>
      <c r="CU34" s="167">
        <v>4000</v>
      </c>
      <c r="CV34" s="167">
        <v>4000</v>
      </c>
      <c r="CW34" s="167">
        <v>4000</v>
      </c>
      <c r="CX34" s="167">
        <v>4000</v>
      </c>
      <c r="CY34" s="167">
        <v>4000</v>
      </c>
      <c r="CZ34" s="167">
        <v>4000</v>
      </c>
      <c r="DA34" s="167">
        <v>4000</v>
      </c>
      <c r="DB34" s="167">
        <v>4000</v>
      </c>
      <c r="DC34" s="167">
        <v>4000</v>
      </c>
      <c r="DD34" s="167">
        <v>4000</v>
      </c>
      <c r="DE34" s="167">
        <v>4000</v>
      </c>
      <c r="DF34" s="167">
        <v>4000</v>
      </c>
      <c r="DG34" s="167">
        <v>4000</v>
      </c>
      <c r="DH34" s="167">
        <v>4000</v>
      </c>
      <c r="DI34" s="167">
        <v>4000</v>
      </c>
      <c r="DJ34" s="167">
        <v>4000</v>
      </c>
      <c r="DK34" s="167">
        <v>4000</v>
      </c>
      <c r="DL34" s="167">
        <v>4000</v>
      </c>
      <c r="DM34" s="167">
        <v>4000</v>
      </c>
      <c r="DN34" s="167">
        <v>4000</v>
      </c>
      <c r="DO34" s="167">
        <v>4000</v>
      </c>
      <c r="DP34" s="167">
        <v>4000</v>
      </c>
      <c r="DQ34" s="167">
        <v>4000</v>
      </c>
      <c r="DR34" s="167">
        <v>4000</v>
      </c>
      <c r="DS34" s="167">
        <v>4000</v>
      </c>
      <c r="DT34" s="167">
        <v>4000</v>
      </c>
      <c r="DU34" s="167">
        <v>4000</v>
      </c>
      <c r="DV34" s="167">
        <v>4000</v>
      </c>
      <c r="DW34" s="167">
        <v>4000</v>
      </c>
      <c r="DX34" s="167">
        <v>4000</v>
      </c>
      <c r="DY34" s="167">
        <v>4000</v>
      </c>
      <c r="DZ34" s="167">
        <v>4000</v>
      </c>
      <c r="EA34" s="167">
        <v>4000</v>
      </c>
      <c r="EB34" s="167">
        <v>4000</v>
      </c>
      <c r="EC34" s="167">
        <v>4000</v>
      </c>
      <c r="ED34" s="167">
        <v>4000</v>
      </c>
      <c r="EE34" s="167">
        <v>4000</v>
      </c>
      <c r="EF34" s="167">
        <v>4000</v>
      </c>
      <c r="EG34" s="167">
        <v>4000</v>
      </c>
      <c r="EH34" s="167">
        <v>4000</v>
      </c>
      <c r="EI34" s="167">
        <v>4000</v>
      </c>
      <c r="EJ34" s="167">
        <v>4000</v>
      </c>
      <c r="EK34" s="167">
        <v>4000</v>
      </c>
      <c r="EL34" s="167">
        <v>4000</v>
      </c>
      <c r="EM34" s="167">
        <v>4000</v>
      </c>
      <c r="EN34" s="167">
        <v>4000</v>
      </c>
      <c r="EO34" s="167">
        <v>4000</v>
      </c>
      <c r="EP34" t="str">
        <f t="shared" si="0"/>
        <v>0y 343d</v>
      </c>
      <c r="ES34" s="290" t="s">
        <v>108</v>
      </c>
      <c r="ET34" s="291"/>
      <c r="EU34" s="291"/>
      <c r="EV34" s="291"/>
      <c r="EW34" s="291"/>
      <c r="EX34" s="292"/>
    </row>
    <row r="35" spans="2:154" x14ac:dyDescent="0.25">
      <c r="B35" s="9">
        <v>32</v>
      </c>
      <c r="D35">
        <v>2853098.8251373647</v>
      </c>
      <c r="E35" s="12">
        <v>4986289965.0956497</v>
      </c>
      <c r="F35" s="12">
        <v>-12652769158.279327</v>
      </c>
      <c r="G35" s="12">
        <v>0</v>
      </c>
      <c r="H35" s="12">
        <v>5625979.0169200329</v>
      </c>
      <c r="I35" s="12">
        <v>7923258715.2884645</v>
      </c>
      <c r="J35" s="12">
        <v>18681896883.547062</v>
      </c>
      <c r="K35" s="12">
        <v>-19769376.217391089</v>
      </c>
      <c r="L35" s="12">
        <v>1321011.9283273253</v>
      </c>
      <c r="M35" s="12">
        <v>6453012317.7856865</v>
      </c>
      <c r="N35" s="12">
        <v>12891093835.631708</v>
      </c>
      <c r="O35" s="12"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G35" s="20">
        <v>4421216844.8280573</v>
      </c>
      <c r="AH35" s="20">
        <v>-3574788162.1737466</v>
      </c>
      <c r="AI35" s="20">
        <v>0</v>
      </c>
      <c r="AJ35">
        <v>11624649282.495951</v>
      </c>
      <c r="AK35" s="10">
        <v>-7058553962.93647</v>
      </c>
      <c r="AL35" s="10">
        <v>0</v>
      </c>
      <c r="AS35" s="6">
        <v>7587801.1425150689</v>
      </c>
      <c r="AT35" s="167">
        <v>3648.335044580137</v>
      </c>
      <c r="AU35" s="167">
        <v>3500.0662030859676</v>
      </c>
      <c r="AV35" s="167">
        <v>3364.745301637744</v>
      </c>
      <c r="AW35" s="167">
        <v>3240.6732888490287</v>
      </c>
      <c r="AX35" s="167">
        <v>3126.4241293283008</v>
      </c>
      <c r="AY35" s="167">
        <v>3020.8004449819387</v>
      </c>
      <c r="AZ35" s="167">
        <v>2922.7961239725137</v>
      </c>
      <c r="BA35" s="167">
        <v>2831.5650576495827</v>
      </c>
      <c r="BB35" s="167">
        <v>2746.395263474169</v>
      </c>
      <c r="BC35" s="167">
        <v>2666.6877339898874</v>
      </c>
      <c r="BD35" s="167">
        <v>2591.9394218582984</v>
      </c>
      <c r="BE35" s="167">
        <v>2521.7298311548102</v>
      </c>
      <c r="BF35" s="167">
        <v>2455.7107372609435</v>
      </c>
      <c r="BG35" s="167">
        <v>2393.5986033753538</v>
      </c>
      <c r="BH35" s="167">
        <v>2335.1693024507249</v>
      </c>
      <c r="BI35" s="167">
        <v>2280.2547906590767</v>
      </c>
      <c r="BJ35" s="167">
        <v>2228.7414134301835</v>
      </c>
      <c r="BK35" s="167">
        <v>2180.5695584185278</v>
      </c>
      <c r="BL35" s="167">
        <v>2135.7344016831266</v>
      </c>
      <c r="BM35" s="167">
        <v>2094.2875236735872</v>
      </c>
      <c r="BN35" s="167">
        <v>2056.3391994748254</v>
      </c>
      <c r="BO35" s="167">
        <v>2022.0611913772191</v>
      </c>
      <c r="BP35" s="167">
        <v>1991.6898873015173</v>
      </c>
      <c r="BQ35" s="167">
        <v>1965.5296279278496</v>
      </c>
      <c r="BR35" s="167">
        <v>1943.9560354349571</v>
      </c>
      <c r="BS35" s="167">
        <v>1927.419090548171</v>
      </c>
      <c r="BT35" s="167">
        <v>1916.4456639694847</v>
      </c>
      <c r="BU35" s="167">
        <v>1911.6415358490385</v>
      </c>
      <c r="BV35" s="167">
        <v>1913.6947672062579</v>
      </c>
      <c r="BW35" s="167">
        <v>1923.3884951937484</v>
      </c>
      <c r="BX35" s="167">
        <v>1941.6490003959602</v>
      </c>
      <c r="BY35" s="167">
        <v>1969.7123212393587</v>
      </c>
      <c r="BZ35" s="167">
        <v>2009.7635717349974</v>
      </c>
      <c r="CA35" s="167">
        <v>2068.4428435458212</v>
      </c>
      <c r="CB35" s="167">
        <v>2100.1212571273863</v>
      </c>
      <c r="CC35" s="167">
        <v>2169.6407685758313</v>
      </c>
      <c r="CD35" s="167">
        <v>2252.2503224852044</v>
      </c>
      <c r="CE35" s="167">
        <v>2354.9017458830349</v>
      </c>
      <c r="CF35" s="167">
        <v>2461.9618910673371</v>
      </c>
      <c r="CG35" s="167">
        <v>2586.9832345383038</v>
      </c>
      <c r="CH35" s="167">
        <v>2728.5257432625008</v>
      </c>
      <c r="CI35" s="167">
        <v>2886.5483515205788</v>
      </c>
      <c r="CJ35" s="167">
        <v>3061.2337500922649</v>
      </c>
      <c r="CK35" s="167">
        <v>3252.7554108593986</v>
      </c>
      <c r="CL35" s="167">
        <v>3461.2123052171546</v>
      </c>
      <c r="CM35" s="167">
        <v>3686.615908480886</v>
      </c>
      <c r="CN35" s="167">
        <v>3928.8850816501181</v>
      </c>
      <c r="CO35" s="167">
        <v>4000</v>
      </c>
      <c r="CP35" s="167">
        <v>4000</v>
      </c>
      <c r="CQ35" s="167">
        <v>4000</v>
      </c>
      <c r="CR35" s="167">
        <v>4000</v>
      </c>
      <c r="CS35" s="167">
        <v>4000</v>
      </c>
      <c r="CT35" s="167">
        <v>4000</v>
      </c>
      <c r="CU35" s="167">
        <v>4000</v>
      </c>
      <c r="CV35" s="167">
        <v>4000</v>
      </c>
      <c r="CW35" s="167">
        <v>4000</v>
      </c>
      <c r="CX35" s="167">
        <v>4000</v>
      </c>
      <c r="CY35" s="167">
        <v>4000</v>
      </c>
      <c r="CZ35" s="167">
        <v>4000</v>
      </c>
      <c r="DA35" s="167">
        <v>4000</v>
      </c>
      <c r="DB35" s="167">
        <v>4000</v>
      </c>
      <c r="DC35" s="167">
        <v>4000</v>
      </c>
      <c r="DD35" s="167">
        <v>4000</v>
      </c>
      <c r="DE35" s="167">
        <v>4000</v>
      </c>
      <c r="DF35" s="167">
        <v>4000</v>
      </c>
      <c r="DG35" s="167">
        <v>4000</v>
      </c>
      <c r="DH35" s="167">
        <v>4000</v>
      </c>
      <c r="DI35" s="167">
        <v>4000</v>
      </c>
      <c r="DJ35" s="167">
        <v>4000</v>
      </c>
      <c r="DK35" s="167">
        <v>4000</v>
      </c>
      <c r="DL35" s="167">
        <v>4000</v>
      </c>
      <c r="DM35" s="167">
        <v>4000</v>
      </c>
      <c r="DN35" s="167">
        <v>4000</v>
      </c>
      <c r="DO35" s="167">
        <v>4000</v>
      </c>
      <c r="DP35" s="167">
        <v>4000</v>
      </c>
      <c r="DQ35" s="167">
        <v>4000</v>
      </c>
      <c r="DR35" s="167">
        <v>4000</v>
      </c>
      <c r="DS35" s="167">
        <v>4000</v>
      </c>
      <c r="DT35" s="167">
        <v>4000</v>
      </c>
      <c r="DU35" s="167">
        <v>4000</v>
      </c>
      <c r="DV35" s="167">
        <v>4000</v>
      </c>
      <c r="DW35" s="167">
        <v>4000</v>
      </c>
      <c r="DX35" s="167">
        <v>4000</v>
      </c>
      <c r="DY35" s="167">
        <v>4000</v>
      </c>
      <c r="DZ35" s="167">
        <v>4000</v>
      </c>
      <c r="EA35" s="167">
        <v>4000</v>
      </c>
      <c r="EB35" s="167">
        <v>4000</v>
      </c>
      <c r="EC35" s="167">
        <v>4000</v>
      </c>
      <c r="ED35" s="167">
        <v>4000</v>
      </c>
      <c r="EE35" s="167">
        <v>4000</v>
      </c>
      <c r="EF35" s="167">
        <v>4000</v>
      </c>
      <c r="EG35" s="167">
        <v>4000</v>
      </c>
      <c r="EH35" s="167">
        <v>4000</v>
      </c>
      <c r="EI35" s="167">
        <v>4000</v>
      </c>
      <c r="EJ35" s="167">
        <v>4000</v>
      </c>
      <c r="EK35" s="167">
        <v>4000</v>
      </c>
      <c r="EL35" s="167">
        <v>4000</v>
      </c>
      <c r="EM35" s="167">
        <v>4000</v>
      </c>
      <c r="EN35" s="167">
        <v>4000</v>
      </c>
      <c r="EO35" s="167">
        <v>4000</v>
      </c>
      <c r="EP35" t="str">
        <f t="shared" si="0"/>
        <v>0y 351d</v>
      </c>
      <c r="ES35" s="293"/>
      <c r="ET35" s="294"/>
      <c r="EU35" s="294"/>
      <c r="EV35" s="294"/>
      <c r="EW35" s="294"/>
      <c r="EX35" s="295"/>
    </row>
    <row r="36" spans="2:154" x14ac:dyDescent="0.25">
      <c r="B36" s="9">
        <v>33</v>
      </c>
      <c r="D36">
        <v>2945134.2711095372</v>
      </c>
      <c r="E36" s="12">
        <v>5770924609.7919588</v>
      </c>
      <c r="F36" s="12">
        <v>-12314710071.163496</v>
      </c>
      <c r="G36" s="12">
        <v>0</v>
      </c>
      <c r="H36" s="12">
        <v>5791700.9455297533</v>
      </c>
      <c r="I36" s="12">
        <v>6715182926.9187508</v>
      </c>
      <c r="J36" s="12">
        <v>19087410449.577103</v>
      </c>
      <c r="K36" s="12">
        <v>-19185543.703928892</v>
      </c>
      <c r="L36" s="12">
        <v>1367388.7220008066</v>
      </c>
      <c r="M36" s="12">
        <v>6079759706.2800703</v>
      </c>
      <c r="N36" s="12">
        <v>13135920852.537008</v>
      </c>
      <c r="O36" s="12"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G36" s="254" t="s">
        <v>64</v>
      </c>
      <c r="AH36" s="254"/>
      <c r="AI36" s="254"/>
      <c r="AJ36" s="254" t="s">
        <v>75</v>
      </c>
      <c r="AK36" s="254"/>
      <c r="AL36" s="254"/>
      <c r="AS36" s="6">
        <v>7766669.9039391214</v>
      </c>
      <c r="AT36" s="167">
        <v>3813.5290194787976</v>
      </c>
      <c r="AU36" s="167">
        <v>3649.7239239180253</v>
      </c>
      <c r="AV36" s="167">
        <v>3501.2965104312243</v>
      </c>
      <c r="AW36" s="167">
        <v>3366.1814918033269</v>
      </c>
      <c r="AX36" s="167">
        <v>3242.6361944916989</v>
      </c>
      <c r="AY36" s="167">
        <v>3129.1886193247742</v>
      </c>
      <c r="AZ36" s="167">
        <v>3024.5938841820298</v>
      </c>
      <c r="BA36" s="167">
        <v>2927.7979337703964</v>
      </c>
      <c r="BB36" s="167">
        <v>2837.9075498568718</v>
      </c>
      <c r="BC36" s="167">
        <v>2754.165816548883</v>
      </c>
      <c r="BD36" s="167">
        <v>2675.9322958108842</v>
      </c>
      <c r="BE36" s="167">
        <v>2602.6672535673606</v>
      </c>
      <c r="BF36" s="167">
        <v>2533.919350432443</v>
      </c>
      <c r="BG36" s="167">
        <v>2469.3162762907145</v>
      </c>
      <c r="BH36" s="167">
        <v>2408.5578667969748</v>
      </c>
      <c r="BI36" s="167">
        <v>2351.4112938148692</v>
      </c>
      <c r="BJ36" s="167">
        <v>2297.7079716758017</v>
      </c>
      <c r="BK36" s="167">
        <v>2247.3418671029167</v>
      </c>
      <c r="BL36" s="167">
        <v>2200.2689423461597</v>
      </c>
      <c r="BM36" s="167">
        <v>2156.5074976799206</v>
      </c>
      <c r="BN36" s="167">
        <v>2116.1392095615743</v>
      </c>
      <c r="BO36" s="167">
        <v>2079.3106823153512</v>
      </c>
      <c r="BP36" s="167">
        <v>2046.235340480865</v>
      </c>
      <c r="BQ36" s="167">
        <v>2017.195479156941</v>
      </c>
      <c r="BR36" s="167">
        <v>1992.5442492885343</v>
      </c>
      <c r="BS36" s="167">
        <v>1972.7072709629078</v>
      </c>
      <c r="BT36" s="167">
        <v>1958.1834518462865</v>
      </c>
      <c r="BU36" s="167">
        <v>1949.5445678705562</v>
      </c>
      <c r="BV36" s="167">
        <v>1947.433699084072</v>
      </c>
      <c r="BW36" s="167">
        <v>1952.5647865838694</v>
      </c>
      <c r="BX36" s="167">
        <v>1965.7312380315002</v>
      </c>
      <c r="BY36" s="167">
        <v>1987.844640619089</v>
      </c>
      <c r="BZ36" s="167">
        <v>2020.0660430738455</v>
      </c>
      <c r="CA36" s="167">
        <v>2064.3016406359429</v>
      </c>
      <c r="CB36" s="167">
        <v>2125.9488911839735</v>
      </c>
      <c r="CC36" s="167">
        <v>2169.2134405225479</v>
      </c>
      <c r="CD36" s="167">
        <v>2245.6399836552546</v>
      </c>
      <c r="CE36" s="167">
        <v>2335.6383645207543</v>
      </c>
      <c r="CF36" s="167">
        <v>2444.2206676107776</v>
      </c>
      <c r="CG36" s="167">
        <v>2560.6457638762886</v>
      </c>
      <c r="CH36" s="167">
        <v>2694.5209150470146</v>
      </c>
      <c r="CI36" s="167">
        <v>2844.8982007611185</v>
      </c>
      <c r="CJ36" s="167">
        <v>3011.7937791747654</v>
      </c>
      <c r="CK36" s="167">
        <v>3195.3517139287537</v>
      </c>
      <c r="CL36" s="167">
        <v>3395.6752908878934</v>
      </c>
      <c r="CM36" s="167">
        <v>3612.7906592658373</v>
      </c>
      <c r="CN36" s="167">
        <v>3846.6341698916149</v>
      </c>
      <c r="CO36" s="167">
        <v>4000</v>
      </c>
      <c r="CP36" s="167">
        <v>4000</v>
      </c>
      <c r="CQ36" s="167">
        <v>4000</v>
      </c>
      <c r="CR36" s="167">
        <v>4000</v>
      </c>
      <c r="CS36" s="167">
        <v>4000</v>
      </c>
      <c r="CT36" s="167">
        <v>4000</v>
      </c>
      <c r="CU36" s="167">
        <v>4000</v>
      </c>
      <c r="CV36" s="167">
        <v>4000</v>
      </c>
      <c r="CW36" s="167">
        <v>4000</v>
      </c>
      <c r="CX36" s="167">
        <v>4000</v>
      </c>
      <c r="CY36" s="167">
        <v>4000</v>
      </c>
      <c r="CZ36" s="167">
        <v>4000</v>
      </c>
      <c r="DA36" s="167">
        <v>4000</v>
      </c>
      <c r="DB36" s="167">
        <v>4000</v>
      </c>
      <c r="DC36" s="167">
        <v>4000</v>
      </c>
      <c r="DD36" s="167">
        <v>4000</v>
      </c>
      <c r="DE36" s="167">
        <v>4000</v>
      </c>
      <c r="DF36" s="167">
        <v>4000</v>
      </c>
      <c r="DG36" s="167">
        <v>4000</v>
      </c>
      <c r="DH36" s="167">
        <v>4000</v>
      </c>
      <c r="DI36" s="167">
        <v>4000</v>
      </c>
      <c r="DJ36" s="167">
        <v>4000</v>
      </c>
      <c r="DK36" s="167">
        <v>4000</v>
      </c>
      <c r="DL36" s="167">
        <v>4000</v>
      </c>
      <c r="DM36" s="167">
        <v>4000</v>
      </c>
      <c r="DN36" s="167">
        <v>4000</v>
      </c>
      <c r="DO36" s="167">
        <v>4000</v>
      </c>
      <c r="DP36" s="167">
        <v>4000</v>
      </c>
      <c r="DQ36" s="167">
        <v>4000</v>
      </c>
      <c r="DR36" s="167">
        <v>4000</v>
      </c>
      <c r="DS36" s="167">
        <v>4000</v>
      </c>
      <c r="DT36" s="167">
        <v>4000</v>
      </c>
      <c r="DU36" s="167">
        <v>4000</v>
      </c>
      <c r="DV36" s="167">
        <v>4000</v>
      </c>
      <c r="DW36" s="167">
        <v>4000</v>
      </c>
      <c r="DX36" s="167">
        <v>4000</v>
      </c>
      <c r="DY36" s="167">
        <v>4000</v>
      </c>
      <c r="DZ36" s="167">
        <v>4000</v>
      </c>
      <c r="EA36" s="167">
        <v>4000</v>
      </c>
      <c r="EB36" s="167">
        <v>4000</v>
      </c>
      <c r="EC36" s="167">
        <v>4000</v>
      </c>
      <c r="ED36" s="167">
        <v>4000</v>
      </c>
      <c r="EE36" s="167">
        <v>4000</v>
      </c>
      <c r="EF36" s="167">
        <v>4000</v>
      </c>
      <c r="EG36" s="167">
        <v>4000</v>
      </c>
      <c r="EH36" s="167">
        <v>4000</v>
      </c>
      <c r="EI36" s="167">
        <v>4000</v>
      </c>
      <c r="EJ36" s="167">
        <v>4000</v>
      </c>
      <c r="EK36" s="167">
        <v>4000</v>
      </c>
      <c r="EL36" s="167">
        <v>4000</v>
      </c>
      <c r="EM36" s="167">
        <v>4000</v>
      </c>
      <c r="EN36" s="167">
        <v>4000</v>
      </c>
      <c r="EO36" s="167">
        <v>4000</v>
      </c>
      <c r="EP36" t="str">
        <f t="shared" si="0"/>
        <v>0y 360d</v>
      </c>
      <c r="ES36" s="293"/>
      <c r="ET36" s="294"/>
      <c r="EU36" s="294"/>
      <c r="EV36" s="294"/>
      <c r="EW36" s="294"/>
      <c r="EX36" s="295"/>
    </row>
    <row r="37" spans="2:154" x14ac:dyDescent="0.25">
      <c r="B37" s="9">
        <v>34</v>
      </c>
      <c r="D37">
        <v>3037169.7170817098</v>
      </c>
      <c r="E37" s="12">
        <v>6532784051.5380888</v>
      </c>
      <c r="F37" s="12">
        <v>-11928050449.452658</v>
      </c>
      <c r="G37" s="12">
        <v>0</v>
      </c>
      <c r="H37" s="12">
        <v>5956484.5369965285</v>
      </c>
      <c r="I37" s="12">
        <v>5488077344.239871</v>
      </c>
      <c r="J37" s="12">
        <v>19417101193.837933</v>
      </c>
      <c r="K37" s="12">
        <v>-18531110.340600263</v>
      </c>
      <c r="L37" s="12">
        <v>1414149.1012813847</v>
      </c>
      <c r="M37" s="12">
        <v>5698302891.9475765</v>
      </c>
      <c r="N37" s="12">
        <v>13371716445.781069</v>
      </c>
      <c r="O37" s="12"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G37" s="21" t="s">
        <v>22</v>
      </c>
      <c r="AH37" s="21" t="s">
        <v>23</v>
      </c>
      <c r="AI37" s="21" t="s">
        <v>26</v>
      </c>
      <c r="AJ37" s="26" t="s">
        <v>22</v>
      </c>
      <c r="AK37" s="26" t="s">
        <v>23</v>
      </c>
      <c r="AL37" s="26" t="s">
        <v>26</v>
      </c>
      <c r="AS37" s="6">
        <v>7945538.6653631739</v>
      </c>
      <c r="AT37" s="167">
        <v>4000</v>
      </c>
      <c r="AU37" s="167">
        <v>3843.2898299679346</v>
      </c>
      <c r="AV37" s="167">
        <v>3678.252850034467</v>
      </c>
      <c r="AW37" s="167">
        <v>3528.9311726482592</v>
      </c>
      <c r="AX37" s="167">
        <v>3393.2082327220205</v>
      </c>
      <c r="AY37" s="167">
        <v>3269.2914506145416</v>
      </c>
      <c r="AZ37" s="167">
        <v>3155.660468195164</v>
      </c>
      <c r="BA37" s="167">
        <v>3051.0241858852132</v>
      </c>
      <c r="BB37" s="167">
        <v>2954.2853179235872</v>
      </c>
      <c r="BC37" s="167">
        <v>2864.511362107356</v>
      </c>
      <c r="BD37" s="167">
        <v>2780.9110296996669</v>
      </c>
      <c r="BE37" s="167">
        <v>2702.8153071035204</v>
      </c>
      <c r="BF37" s="167">
        <v>2629.6624287626391</v>
      </c>
      <c r="BG37" s="167">
        <v>2560.9861348804561</v>
      </c>
      <c r="BH37" s="167">
        <v>2496.406671020517</v>
      </c>
      <c r="BI37" s="167">
        <v>2435.6240614226172</v>
      </c>
      <c r="BJ37" s="167">
        <v>2378.4132549713722</v>
      </c>
      <c r="BK37" s="167">
        <v>2324.6208024711905</v>
      </c>
      <c r="BL37" s="167">
        <v>2274.1627759223384</v>
      </c>
      <c r="BM37" s="167">
        <v>2227.0236841198684</v>
      </c>
      <c r="BN37" s="167">
        <v>2183.2561729699119</v>
      </c>
      <c r="BO37" s="167">
        <v>2142.9813217534675</v>
      </c>
      <c r="BP37" s="167">
        <v>2106.3893554550123</v>
      </c>
      <c r="BQ37" s="167">
        <v>2073.7405834960723</v>
      </c>
      <c r="BR37" s="167">
        <v>2045.3663388334116</v>
      </c>
      <c r="BS37" s="167">
        <v>2021.6696180213696</v>
      </c>
      <c r="BT37" s="167">
        <v>2003.1250109996179</v>
      </c>
      <c r="BU37" s="167">
        <v>1990.2774100512663</v>
      </c>
      <c r="BV37" s="167">
        <v>1983.7391104397111</v>
      </c>
      <c r="BW37" s="167">
        <v>1984.1857678846554</v>
      </c>
      <c r="BX37" s="167">
        <v>1992.3539934987871</v>
      </c>
      <c r="BY37" s="167">
        <v>2009.0476816048811</v>
      </c>
      <c r="BZ37" s="167">
        <v>2035.1683797510723</v>
      </c>
      <c r="CA37" s="167">
        <v>2071.8146554314872</v>
      </c>
      <c r="CB37" s="167">
        <v>2120.6607898615334</v>
      </c>
      <c r="CC37" s="167">
        <v>2186.1228306686894</v>
      </c>
      <c r="CD37" s="167">
        <v>2240.4564541794089</v>
      </c>
      <c r="CE37" s="167">
        <v>2324.0660867956694</v>
      </c>
      <c r="CF37" s="167">
        <v>2421.7142742001352</v>
      </c>
      <c r="CG37" s="167">
        <v>2536.8350498818572</v>
      </c>
      <c r="CH37" s="167">
        <v>2662.5990731385837</v>
      </c>
      <c r="CI37" s="167">
        <v>2805.3939181751698</v>
      </c>
      <c r="CJ37" s="167">
        <v>2964.6604897793864</v>
      </c>
      <c r="CK37" s="167">
        <v>3140.4427250168246</v>
      </c>
      <c r="CL37" s="167">
        <v>3332.8302750596881</v>
      </c>
      <c r="CM37" s="167">
        <v>3541.8573572139471</v>
      </c>
      <c r="CN37" s="167">
        <v>3767.4742579610411</v>
      </c>
      <c r="CO37" s="167">
        <v>4000</v>
      </c>
      <c r="CP37" s="167">
        <v>4000</v>
      </c>
      <c r="CQ37" s="167">
        <v>4000</v>
      </c>
      <c r="CR37" s="167">
        <v>4000</v>
      </c>
      <c r="CS37" s="167">
        <v>4000</v>
      </c>
      <c r="CT37" s="167">
        <v>4000</v>
      </c>
      <c r="CU37" s="167">
        <v>4000</v>
      </c>
      <c r="CV37" s="167">
        <v>4000</v>
      </c>
      <c r="CW37" s="167">
        <v>4000</v>
      </c>
      <c r="CX37" s="167">
        <v>4000</v>
      </c>
      <c r="CY37" s="167">
        <v>4000</v>
      </c>
      <c r="CZ37" s="167">
        <v>4000</v>
      </c>
      <c r="DA37" s="167">
        <v>4000</v>
      </c>
      <c r="DB37" s="167">
        <v>4000</v>
      </c>
      <c r="DC37" s="167">
        <v>4000</v>
      </c>
      <c r="DD37" s="167">
        <v>4000</v>
      </c>
      <c r="DE37" s="167">
        <v>4000</v>
      </c>
      <c r="DF37" s="167">
        <v>4000</v>
      </c>
      <c r="DG37" s="167">
        <v>4000</v>
      </c>
      <c r="DH37" s="167">
        <v>4000</v>
      </c>
      <c r="DI37" s="167">
        <v>4000</v>
      </c>
      <c r="DJ37" s="167">
        <v>4000</v>
      </c>
      <c r="DK37" s="167">
        <v>4000</v>
      </c>
      <c r="DL37" s="167">
        <v>4000</v>
      </c>
      <c r="DM37" s="167">
        <v>4000</v>
      </c>
      <c r="DN37" s="167">
        <v>4000</v>
      </c>
      <c r="DO37" s="167">
        <v>4000</v>
      </c>
      <c r="DP37" s="167">
        <v>4000</v>
      </c>
      <c r="DQ37" s="167">
        <v>4000</v>
      </c>
      <c r="DR37" s="167">
        <v>4000</v>
      </c>
      <c r="DS37" s="167">
        <v>4000</v>
      </c>
      <c r="DT37" s="167">
        <v>4000</v>
      </c>
      <c r="DU37" s="167">
        <v>4000</v>
      </c>
      <c r="DV37" s="167">
        <v>4000</v>
      </c>
      <c r="DW37" s="167">
        <v>4000</v>
      </c>
      <c r="DX37" s="167">
        <v>4000</v>
      </c>
      <c r="DY37" s="167">
        <v>4000</v>
      </c>
      <c r="DZ37" s="167">
        <v>4000</v>
      </c>
      <c r="EA37" s="167">
        <v>4000</v>
      </c>
      <c r="EB37" s="167">
        <v>4000</v>
      </c>
      <c r="EC37" s="167">
        <v>4000</v>
      </c>
      <c r="ED37" s="167">
        <v>4000</v>
      </c>
      <c r="EE37" s="167">
        <v>4000</v>
      </c>
      <c r="EF37" s="167">
        <v>4000</v>
      </c>
      <c r="EG37" s="167">
        <v>4000</v>
      </c>
      <c r="EH37" s="167">
        <v>4000</v>
      </c>
      <c r="EI37" s="167">
        <v>4000</v>
      </c>
      <c r="EJ37" s="167">
        <v>4000</v>
      </c>
      <c r="EK37" s="167">
        <v>4000</v>
      </c>
      <c r="EL37" s="167">
        <v>4000</v>
      </c>
      <c r="EM37" s="167">
        <v>4000</v>
      </c>
      <c r="EN37" s="167">
        <v>4000</v>
      </c>
      <c r="EO37" s="167">
        <v>4000</v>
      </c>
      <c r="EP37" t="str">
        <f t="shared" si="0"/>
        <v>0y 368d</v>
      </c>
      <c r="ES37" s="271">
        <f>ES31</f>
        <v>1698.7259559375429</v>
      </c>
      <c r="ET37" s="272"/>
      <c r="EU37" s="272"/>
      <c r="EV37" s="272">
        <f>(1+EV31)*ES37</f>
        <v>1783.6622537344201</v>
      </c>
      <c r="EW37" s="272"/>
      <c r="EX37" s="275"/>
    </row>
    <row r="38" spans="2:154" x14ac:dyDescent="0.25">
      <c r="B38" s="9">
        <v>35</v>
      </c>
      <c r="D38">
        <v>3129205.1630538823</v>
      </c>
      <c r="E38" s="12">
        <v>7268861579.1779346</v>
      </c>
      <c r="F38" s="12">
        <v>-11494316262.025723</v>
      </c>
      <c r="G38" s="12">
        <v>0</v>
      </c>
      <c r="H38" s="12">
        <v>6120366.8393834271</v>
      </c>
      <c r="I38" s="12">
        <v>4246597231.0276246</v>
      </c>
      <c r="J38" s="12">
        <v>19670392718.675335</v>
      </c>
      <c r="K38" s="12">
        <v>-17809062.528172385</v>
      </c>
      <c r="L38" s="12">
        <v>1461307.1740324514</v>
      </c>
      <c r="M38" s="12">
        <v>5308785261.3885927</v>
      </c>
      <c r="N38" s="12">
        <v>13598214190.357771</v>
      </c>
      <c r="O38" s="12"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G38" s="20">
        <v>0</v>
      </c>
      <c r="AH38" s="20">
        <v>0</v>
      </c>
      <c r="AI38" s="20">
        <v>0</v>
      </c>
      <c r="AJ38" s="25">
        <v>0</v>
      </c>
      <c r="AK38" s="25">
        <v>0</v>
      </c>
      <c r="AL38" s="25">
        <v>0</v>
      </c>
      <c r="AS38" s="6">
        <v>8124407.4267872265</v>
      </c>
      <c r="AT38" s="167">
        <v>4000</v>
      </c>
      <c r="AU38" s="167">
        <v>4000</v>
      </c>
      <c r="AV38" s="167">
        <v>3898.7024490262147</v>
      </c>
      <c r="AW38" s="167">
        <v>3731.4135934567303</v>
      </c>
      <c r="AX38" s="167">
        <v>3580.1308374144246</v>
      </c>
      <c r="AY38" s="167">
        <v>3442.6796392772676</v>
      </c>
      <c r="AZ38" s="167">
        <v>3317.2151411535824</v>
      </c>
      <c r="BA38" s="167">
        <v>3202.1701898228293</v>
      </c>
      <c r="BB38" s="167">
        <v>3096.2125259720665</v>
      </c>
      <c r="BC38" s="167">
        <v>2998.2096940258753</v>
      </c>
      <c r="BD38" s="167">
        <v>2907.2004386764893</v>
      </c>
      <c r="BE38" s="167">
        <v>2822.3715365404605</v>
      </c>
      <c r="BF38" s="167">
        <v>2743.0391669391347</v>
      </c>
      <c r="BG38" s="167">
        <v>2668.6340595218217</v>
      </c>
      <c r="BH38" s="167">
        <v>2598.6897723416596</v>
      </c>
      <c r="BI38" s="167">
        <v>2532.833554930884</v>
      </c>
      <c r="BJ38" s="167">
        <v>2470.7793387455686</v>
      </c>
      <c r="BK38" s="167">
        <v>2412.3224730475872</v>
      </c>
      <c r="BL38" s="167">
        <v>2357.3358882209932</v>
      </c>
      <c r="BM38" s="167">
        <v>2305.7674205690701</v>
      </c>
      <c r="BN38" s="167">
        <v>2257.6380723107468</v>
      </c>
      <c r="BO38" s="167">
        <v>2213.0410068813994</v>
      </c>
      <c r="BP38" s="167">
        <v>2172.1410911342618</v>
      </c>
      <c r="BQ38" s="167">
        <v>2135.1747898003614</v>
      </c>
      <c r="BR38" s="167">
        <v>2102.4501887320562</v>
      </c>
      <c r="BS38" s="167">
        <v>2074.3468652507363</v>
      </c>
      <c r="BT38" s="167">
        <v>2051.3152327924481</v>
      </c>
      <c r="BU38" s="167">
        <v>2033.8748841660017</v>
      </c>
      <c r="BV38" s="167">
        <v>2022.6114450618347</v>
      </c>
      <c r="BW38" s="167">
        <v>2018.171792630518</v>
      </c>
      <c r="BX38" s="167">
        <v>2021.2585938041702</v>
      </c>
      <c r="BY38" s="167">
        <v>2032.6270935508899</v>
      </c>
      <c r="BZ38" s="167">
        <v>2053.0894071348994</v>
      </c>
      <c r="CA38" s="167">
        <v>2083.5358004630161</v>
      </c>
      <c r="CB38" s="167">
        <v>2125.0048264195621</v>
      </c>
      <c r="CC38" s="167">
        <v>2178.9661483530081</v>
      </c>
      <c r="CD38" s="167">
        <v>2249.025755513544</v>
      </c>
      <c r="CE38" s="167">
        <v>2314.0843478958022</v>
      </c>
      <c r="CF38" s="167">
        <v>2405.189873946535</v>
      </c>
      <c r="CG38" s="167">
        <v>2510.7654995983362</v>
      </c>
      <c r="CH38" s="167">
        <v>2633.0438330090374</v>
      </c>
      <c r="CI38" s="167">
        <v>2768.0840169633775</v>
      </c>
      <c r="CJ38" s="167">
        <v>2919.8348465968375</v>
      </c>
      <c r="CK38" s="167">
        <v>3088.0085022473168</v>
      </c>
      <c r="CL38" s="167">
        <v>3272.6414161654648</v>
      </c>
      <c r="CM38" s="167">
        <v>3473.76567043969</v>
      </c>
      <c r="CN38" s="167">
        <v>3691.3413508576405</v>
      </c>
      <c r="CO38" s="167">
        <v>3925.2451078167451</v>
      </c>
      <c r="CP38" s="167">
        <v>4000</v>
      </c>
      <c r="CQ38" s="167">
        <v>4000</v>
      </c>
      <c r="CR38" s="167">
        <v>4000</v>
      </c>
      <c r="CS38" s="167">
        <v>4000</v>
      </c>
      <c r="CT38" s="167">
        <v>4000</v>
      </c>
      <c r="CU38" s="167">
        <v>4000</v>
      </c>
      <c r="CV38" s="167">
        <v>4000</v>
      </c>
      <c r="CW38" s="167">
        <v>4000</v>
      </c>
      <c r="CX38" s="167">
        <v>4000</v>
      </c>
      <c r="CY38" s="167">
        <v>4000</v>
      </c>
      <c r="CZ38" s="167">
        <v>4000</v>
      </c>
      <c r="DA38" s="167">
        <v>4000</v>
      </c>
      <c r="DB38" s="167">
        <v>4000</v>
      </c>
      <c r="DC38" s="167">
        <v>4000</v>
      </c>
      <c r="DD38" s="167">
        <v>4000</v>
      </c>
      <c r="DE38" s="167">
        <v>4000</v>
      </c>
      <c r="DF38" s="167">
        <v>4000</v>
      </c>
      <c r="DG38" s="167">
        <v>4000</v>
      </c>
      <c r="DH38" s="167">
        <v>4000</v>
      </c>
      <c r="DI38" s="167">
        <v>4000</v>
      </c>
      <c r="DJ38" s="167">
        <v>4000</v>
      </c>
      <c r="DK38" s="167">
        <v>4000</v>
      </c>
      <c r="DL38" s="167">
        <v>4000</v>
      </c>
      <c r="DM38" s="167">
        <v>4000</v>
      </c>
      <c r="DN38" s="167">
        <v>4000</v>
      </c>
      <c r="DO38" s="167">
        <v>4000</v>
      </c>
      <c r="DP38" s="167">
        <v>4000</v>
      </c>
      <c r="DQ38" s="167">
        <v>4000</v>
      </c>
      <c r="DR38" s="167">
        <v>4000</v>
      </c>
      <c r="DS38" s="167">
        <v>4000</v>
      </c>
      <c r="DT38" s="167">
        <v>4000</v>
      </c>
      <c r="DU38" s="167">
        <v>4000</v>
      </c>
      <c r="DV38" s="167">
        <v>4000</v>
      </c>
      <c r="DW38" s="167">
        <v>4000</v>
      </c>
      <c r="DX38" s="167">
        <v>4000</v>
      </c>
      <c r="DY38" s="167">
        <v>4000</v>
      </c>
      <c r="DZ38" s="167">
        <v>4000</v>
      </c>
      <c r="EA38" s="167">
        <v>4000</v>
      </c>
      <c r="EB38" s="167">
        <v>4000</v>
      </c>
      <c r="EC38" s="167">
        <v>4000</v>
      </c>
      <c r="ED38" s="167">
        <v>4000</v>
      </c>
      <c r="EE38" s="167">
        <v>4000</v>
      </c>
      <c r="EF38" s="167">
        <v>4000</v>
      </c>
      <c r="EG38" s="167">
        <v>4000</v>
      </c>
      <c r="EH38" s="167">
        <v>4000</v>
      </c>
      <c r="EI38" s="167">
        <v>4000</v>
      </c>
      <c r="EJ38" s="167">
        <v>4000</v>
      </c>
      <c r="EK38" s="167">
        <v>4000</v>
      </c>
      <c r="EL38" s="167">
        <v>4000</v>
      </c>
      <c r="EM38" s="167">
        <v>4000</v>
      </c>
      <c r="EN38" s="167">
        <v>4000</v>
      </c>
      <c r="EO38" s="167">
        <v>4000</v>
      </c>
      <c r="EP38" t="str">
        <f t="shared" si="0"/>
        <v>0y 376d</v>
      </c>
      <c r="ES38" s="271"/>
      <c r="ET38" s="272"/>
      <c r="EU38" s="272"/>
      <c r="EV38" s="272"/>
      <c r="EW38" s="272"/>
      <c r="EX38" s="275"/>
    </row>
    <row r="39" spans="2:154" ht="15.75" thickBot="1" x14ac:dyDescent="0.3">
      <c r="B39" s="9">
        <v>36</v>
      </c>
      <c r="D39">
        <v>3221240.6090260549</v>
      </c>
      <c r="E39" s="12">
        <v>7976252230.9917412</v>
      </c>
      <c r="F39" s="12">
        <v>-11015219259.566168</v>
      </c>
      <c r="G39" s="12">
        <v>0</v>
      </c>
      <c r="H39" s="12">
        <v>6283387.6126404628</v>
      </c>
      <c r="I39" s="12">
        <v>2995368949.3147035</v>
      </c>
      <c r="J39" s="12">
        <v>19846978101.835365</v>
      </c>
      <c r="K39" s="12">
        <v>-17022566.728856862</v>
      </c>
      <c r="L39" s="12">
        <v>1508877.1066028886</v>
      </c>
      <c r="M39" s="12">
        <v>4911358651.3679342</v>
      </c>
      <c r="N39" s="12">
        <v>13815144617.562744</v>
      </c>
      <c r="O39" s="12"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J39">
        <v>13203905006.860924</v>
      </c>
      <c r="AK39">
        <v>15796133180.029444</v>
      </c>
      <c r="AL39">
        <v>-21489903.20640165</v>
      </c>
      <c r="AS39" s="6">
        <v>8303276.188211279</v>
      </c>
      <c r="AT39" s="167">
        <v>4000</v>
      </c>
      <c r="AU39" s="167">
        <v>4000</v>
      </c>
      <c r="AV39" s="167">
        <v>4000</v>
      </c>
      <c r="AW39" s="167">
        <v>3977.1327114667656</v>
      </c>
      <c r="AX39" s="167">
        <v>3806.2570527343678</v>
      </c>
      <c r="AY39" s="167">
        <v>3651.6641812756588</v>
      </c>
      <c r="AZ39" s="167">
        <v>3511.1179945723297</v>
      </c>
      <c r="BA39" s="167">
        <v>3382.7218815626807</v>
      </c>
      <c r="BB39" s="167">
        <v>3264.8659262614301</v>
      </c>
      <c r="BC39" s="167">
        <v>3156.1836194847706</v>
      </c>
      <c r="BD39" s="167">
        <v>3055.5164808350264</v>
      </c>
      <c r="BE39" s="167">
        <v>2961.8852441129693</v>
      </c>
      <c r="BF39" s="167">
        <v>2874.4664758516524</v>
      </c>
      <c r="BG39" s="167">
        <v>2792.5736817838606</v>
      </c>
      <c r="BH39" s="167">
        <v>2715.6421139343761</v>
      </c>
      <c r="BI39" s="167">
        <v>2643.2166254758731</v>
      </c>
      <c r="BJ39" s="167">
        <v>2574.9420345197286</v>
      </c>
      <c r="BK39" s="167">
        <v>2510.5555538079943</v>
      </c>
      <c r="BL39" s="167">
        <v>2449.8809223038015</v>
      </c>
      <c r="BM39" s="167">
        <v>2392.8239378592461</v>
      </c>
      <c r="BN39" s="167">
        <v>2339.3691379253396</v>
      </c>
      <c r="BO39" s="167">
        <v>2289.5774076800976</v>
      </c>
      <c r="BP39" s="167">
        <v>2243.5843114662575</v>
      </c>
      <c r="BQ39" s="167">
        <v>2201.5989427148352</v>
      </c>
      <c r="BR39" s="167">
        <v>2163.9030670175998</v>
      </c>
      <c r="BS39" s="167">
        <v>2130.8502888809144</v>
      </c>
      <c r="BT39" s="167">
        <v>2102.8649023202624</v>
      </c>
      <c r="BU39" s="167">
        <v>2080.4399982197865</v>
      </c>
      <c r="BV39" s="167">
        <v>2064.1343487866061</v>
      </c>
      <c r="BW39" s="167">
        <v>2054.5677167039103</v>
      </c>
      <c r="BX39" s="167">
        <v>2052.4147911228683</v>
      </c>
      <c r="BY39" s="167">
        <v>2058.3990503554191</v>
      </c>
      <c r="BZ39" s="167">
        <v>2073.288964914479</v>
      </c>
      <c r="CA39" s="167">
        <v>2097.8992999335869</v>
      </c>
      <c r="CB39" s="167">
        <v>2133.102395134254</v>
      </c>
      <c r="CC39" s="167">
        <v>2179.8725854526965</v>
      </c>
      <c r="CD39" s="167">
        <v>2239.490409128282</v>
      </c>
      <c r="CE39" s="167">
        <v>2314.8647688780593</v>
      </c>
      <c r="CF39" s="167">
        <v>2390.422360501123</v>
      </c>
      <c r="CG39" s="167">
        <v>2489.339866837553</v>
      </c>
      <c r="CH39" s="167">
        <v>2607.1729609468057</v>
      </c>
      <c r="CI39" s="167">
        <v>2733.0972056475111</v>
      </c>
      <c r="CJ39" s="167">
        <v>2877.3308147516886</v>
      </c>
      <c r="CK39" s="167">
        <v>3038.0346482083846</v>
      </c>
      <c r="CL39" s="167">
        <v>3215.0784673417647</v>
      </c>
      <c r="CM39" s="167">
        <v>3408.4715525102847</v>
      </c>
      <c r="CN39" s="167">
        <v>3618.1784095902603</v>
      </c>
      <c r="CO39" s="167">
        <v>3844.0861119716719</v>
      </c>
      <c r="CP39" s="167">
        <v>4000</v>
      </c>
      <c r="CQ39" s="167">
        <v>4000</v>
      </c>
      <c r="CR39" s="167">
        <v>4000</v>
      </c>
      <c r="CS39" s="167">
        <v>4000</v>
      </c>
      <c r="CT39" s="167">
        <v>4000</v>
      </c>
      <c r="CU39" s="167">
        <v>4000</v>
      </c>
      <c r="CV39" s="167">
        <v>4000</v>
      </c>
      <c r="CW39" s="167">
        <v>4000</v>
      </c>
      <c r="CX39" s="167">
        <v>4000</v>
      </c>
      <c r="CY39" s="167">
        <v>4000</v>
      </c>
      <c r="CZ39" s="167">
        <v>4000</v>
      </c>
      <c r="DA39" s="167">
        <v>4000</v>
      </c>
      <c r="DB39" s="167">
        <v>4000</v>
      </c>
      <c r="DC39" s="167">
        <v>4000</v>
      </c>
      <c r="DD39" s="167">
        <v>4000</v>
      </c>
      <c r="DE39" s="167">
        <v>4000</v>
      </c>
      <c r="DF39" s="167">
        <v>4000</v>
      </c>
      <c r="DG39" s="167">
        <v>4000</v>
      </c>
      <c r="DH39" s="167">
        <v>4000</v>
      </c>
      <c r="DI39" s="167">
        <v>4000</v>
      </c>
      <c r="DJ39" s="167">
        <v>4000</v>
      </c>
      <c r="DK39" s="167">
        <v>4000</v>
      </c>
      <c r="DL39" s="167">
        <v>4000</v>
      </c>
      <c r="DM39" s="167">
        <v>4000</v>
      </c>
      <c r="DN39" s="167">
        <v>4000</v>
      </c>
      <c r="DO39" s="167">
        <v>4000</v>
      </c>
      <c r="DP39" s="167">
        <v>4000</v>
      </c>
      <c r="DQ39" s="167">
        <v>4000</v>
      </c>
      <c r="DR39" s="167">
        <v>4000</v>
      </c>
      <c r="DS39" s="167">
        <v>4000</v>
      </c>
      <c r="DT39" s="167">
        <v>4000</v>
      </c>
      <c r="DU39" s="167">
        <v>4000</v>
      </c>
      <c r="DV39" s="167">
        <v>4000</v>
      </c>
      <c r="DW39" s="167">
        <v>4000</v>
      </c>
      <c r="DX39" s="167">
        <v>4000</v>
      </c>
      <c r="DY39" s="167">
        <v>4000</v>
      </c>
      <c r="DZ39" s="167">
        <v>4000</v>
      </c>
      <c r="EA39" s="167">
        <v>4000</v>
      </c>
      <c r="EB39" s="167">
        <v>4000</v>
      </c>
      <c r="EC39" s="167">
        <v>4000</v>
      </c>
      <c r="ED39" s="167">
        <v>4000</v>
      </c>
      <c r="EE39" s="167">
        <v>4000</v>
      </c>
      <c r="EF39" s="167">
        <v>4000</v>
      </c>
      <c r="EG39" s="167">
        <v>4000</v>
      </c>
      <c r="EH39" s="167">
        <v>4000</v>
      </c>
      <c r="EI39" s="167">
        <v>4000</v>
      </c>
      <c r="EJ39" s="167">
        <v>4000</v>
      </c>
      <c r="EK39" s="167">
        <v>4000</v>
      </c>
      <c r="EL39" s="167">
        <v>4000</v>
      </c>
      <c r="EM39" s="167">
        <v>4000</v>
      </c>
      <c r="EN39" s="167">
        <v>4000</v>
      </c>
      <c r="EO39" s="167">
        <v>4000</v>
      </c>
      <c r="EP39" t="str">
        <f t="shared" si="0"/>
        <v>0y 384d</v>
      </c>
      <c r="ES39" s="273"/>
      <c r="ET39" s="274"/>
      <c r="EU39" s="274"/>
      <c r="EV39" s="274"/>
      <c r="EW39" s="274"/>
      <c r="EX39" s="276"/>
    </row>
    <row r="40" spans="2:154" x14ac:dyDescent="0.25">
      <c r="B40" s="9">
        <v>37</v>
      </c>
      <c r="D40">
        <v>3313276.0549982274</v>
      </c>
      <c r="E40" s="12">
        <v>8652164259.2528458</v>
      </c>
      <c r="F40" s="12">
        <v>-10492650219.064096</v>
      </c>
      <c r="G40" s="12">
        <v>0</v>
      </c>
      <c r="H40" s="12">
        <v>6445589.1347707538</v>
      </c>
      <c r="I40" s="12">
        <v>1738976852.358906</v>
      </c>
      <c r="J40" s="12">
        <v>19946811364.01115</v>
      </c>
      <c r="K40" s="12">
        <v>-16174953.472857704</v>
      </c>
      <c r="L40" s="12">
        <v>1556873.1172970452</v>
      </c>
      <c r="M40" s="12">
        <v>4506183831.333683</v>
      </c>
      <c r="N40" s="12">
        <v>14022235374.11862</v>
      </c>
      <c r="O40" s="12"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G40" s="254" t="s">
        <v>65</v>
      </c>
      <c r="AH40" s="254"/>
      <c r="AI40" s="254"/>
      <c r="AS40" s="6">
        <v>8482144.9496353306</v>
      </c>
      <c r="AT40" s="167">
        <v>4000</v>
      </c>
      <c r="AU40" s="167">
        <v>4000</v>
      </c>
      <c r="AV40" s="167">
        <v>4000</v>
      </c>
      <c r="AW40" s="167">
        <v>4000</v>
      </c>
      <c r="AX40" s="167">
        <v>4000</v>
      </c>
      <c r="AY40" s="167">
        <v>3899.4955680572393</v>
      </c>
      <c r="AZ40" s="167">
        <v>3740.0329545274863</v>
      </c>
      <c r="BA40" s="167">
        <v>3594.8573743510915</v>
      </c>
      <c r="BB40" s="167">
        <v>3462.0220934268227</v>
      </c>
      <c r="BC40" s="167">
        <v>3339.8788776592264</v>
      </c>
      <c r="BD40" s="167">
        <v>3227.0335069044868</v>
      </c>
      <c r="BE40" s="167">
        <v>3122.309427849953</v>
      </c>
      <c r="BF40" s="167">
        <v>3024.7181029469475</v>
      </c>
      <c r="BG40" s="167">
        <v>2933.4348609132285</v>
      </c>
      <c r="BH40" s="167">
        <v>2847.7792655153289</v>
      </c>
      <c r="BI40" s="167">
        <v>2767.1991970673403</v>
      </c>
      <c r="BJ40" s="167">
        <v>2691.2579893690167</v>
      </c>
      <c r="BK40" s="167">
        <v>2619.6240872233939</v>
      </c>
      <c r="BL40" s="167">
        <v>2552.0627891287559</v>
      </c>
      <c r="BM40" s="167">
        <v>2488.4297184845718</v>
      </c>
      <c r="BN40" s="167">
        <v>2428.665726335239</v>
      </c>
      <c r="BO40" s="167">
        <v>2372.7929704000944</v>
      </c>
      <c r="BP40" s="167">
        <v>2320.9119394569088</v>
      </c>
      <c r="BQ40" s="167">
        <v>2273.1991989632465</v>
      </c>
      <c r="BR40" s="167">
        <v>2229.90562223079</v>
      </c>
      <c r="BS40" s="167">
        <v>2191.3548398618423</v>
      </c>
      <c r="BT40" s="167">
        <v>2157.9415873646321</v>
      </c>
      <c r="BU40" s="167">
        <v>2130.129561816947</v>
      </c>
      <c r="BV40" s="167">
        <v>2108.4483403349004</v>
      </c>
      <c r="BW40" s="167">
        <v>2093.4889467808925</v>
      </c>
      <c r="BX40" s="167">
        <v>2085.8979334893738</v>
      </c>
      <c r="BY40" s="167">
        <v>2086.370495848093</v>
      </c>
      <c r="BZ40" s="167">
        <v>2095.6438925432794</v>
      </c>
      <c r="CA40" s="167">
        <v>2114.4924516741335</v>
      </c>
      <c r="CB40" s="167">
        <v>2143.7246007885888</v>
      </c>
      <c r="CC40" s="167">
        <v>2184.1842307931774</v>
      </c>
      <c r="CD40" s="167">
        <v>2236.7739345893838</v>
      </c>
      <c r="CE40" s="167">
        <v>2302.5945640163045</v>
      </c>
      <c r="CF40" s="167">
        <v>2383.9337831566845</v>
      </c>
      <c r="CG40" s="167">
        <v>2469.8331982436662</v>
      </c>
      <c r="CH40" s="167">
        <v>2576.8552218514387</v>
      </c>
      <c r="CI40" s="167">
        <v>2700.9746674394355</v>
      </c>
      <c r="CJ40" s="167">
        <v>2837.1880983473484</v>
      </c>
      <c r="CK40" s="167">
        <v>2990.512991927043</v>
      </c>
      <c r="CL40" s="167">
        <v>3160.1167176651779</v>
      </c>
      <c r="CM40" s="167">
        <v>3345.9372330018696</v>
      </c>
      <c r="CN40" s="167">
        <v>3547.9353014933699</v>
      </c>
      <c r="CO40" s="167">
        <v>3766.0057432426729</v>
      </c>
      <c r="CP40" s="167">
        <v>3999.9648179777714</v>
      </c>
      <c r="CQ40" s="167">
        <v>4000</v>
      </c>
      <c r="CR40" s="167">
        <v>4000</v>
      </c>
      <c r="CS40" s="167">
        <v>4000</v>
      </c>
      <c r="CT40" s="167">
        <v>4000</v>
      </c>
      <c r="CU40" s="167">
        <v>4000</v>
      </c>
      <c r="CV40" s="167">
        <v>4000</v>
      </c>
      <c r="CW40" s="167">
        <v>4000</v>
      </c>
      <c r="CX40" s="167">
        <v>4000</v>
      </c>
      <c r="CY40" s="167">
        <v>4000</v>
      </c>
      <c r="CZ40" s="167">
        <v>4000</v>
      </c>
      <c r="DA40" s="167">
        <v>4000</v>
      </c>
      <c r="DB40" s="167">
        <v>4000</v>
      </c>
      <c r="DC40" s="167">
        <v>4000</v>
      </c>
      <c r="DD40" s="167">
        <v>4000</v>
      </c>
      <c r="DE40" s="167">
        <v>4000</v>
      </c>
      <c r="DF40" s="167">
        <v>4000</v>
      </c>
      <c r="DG40" s="167">
        <v>4000</v>
      </c>
      <c r="DH40" s="167">
        <v>4000</v>
      </c>
      <c r="DI40" s="167">
        <v>4000</v>
      </c>
      <c r="DJ40" s="167">
        <v>4000</v>
      </c>
      <c r="DK40" s="167">
        <v>4000</v>
      </c>
      <c r="DL40" s="167">
        <v>4000</v>
      </c>
      <c r="DM40" s="167">
        <v>4000</v>
      </c>
      <c r="DN40" s="167">
        <v>4000</v>
      </c>
      <c r="DO40" s="167">
        <v>4000</v>
      </c>
      <c r="DP40" s="167">
        <v>4000</v>
      </c>
      <c r="DQ40" s="167">
        <v>4000</v>
      </c>
      <c r="DR40" s="167">
        <v>4000</v>
      </c>
      <c r="DS40" s="167">
        <v>4000</v>
      </c>
      <c r="DT40" s="167">
        <v>4000</v>
      </c>
      <c r="DU40" s="167">
        <v>4000</v>
      </c>
      <c r="DV40" s="167">
        <v>4000</v>
      </c>
      <c r="DW40" s="167">
        <v>4000</v>
      </c>
      <c r="DX40" s="167">
        <v>4000</v>
      </c>
      <c r="DY40" s="167">
        <v>4000</v>
      </c>
      <c r="DZ40" s="167">
        <v>4000</v>
      </c>
      <c r="EA40" s="167">
        <v>4000</v>
      </c>
      <c r="EB40" s="167">
        <v>4000</v>
      </c>
      <c r="EC40" s="167">
        <v>4000</v>
      </c>
      <c r="ED40" s="167">
        <v>4000</v>
      </c>
      <c r="EE40" s="167">
        <v>4000</v>
      </c>
      <c r="EF40" s="167">
        <v>4000</v>
      </c>
      <c r="EG40" s="167">
        <v>4000</v>
      </c>
      <c r="EH40" s="167">
        <v>4000</v>
      </c>
      <c r="EI40" s="167">
        <v>4000</v>
      </c>
      <c r="EJ40" s="167">
        <v>4000</v>
      </c>
      <c r="EK40" s="167">
        <v>4000</v>
      </c>
      <c r="EL40" s="167">
        <v>4000</v>
      </c>
      <c r="EM40" s="167">
        <v>4000</v>
      </c>
      <c r="EN40" s="167">
        <v>4000</v>
      </c>
      <c r="EO40" s="167">
        <v>4000</v>
      </c>
      <c r="EP40" t="str">
        <f t="shared" si="0"/>
        <v>0y 393d</v>
      </c>
    </row>
    <row r="41" spans="2:154" ht="15" customHeight="1" x14ac:dyDescent="0.25">
      <c r="B41" s="9">
        <v>38</v>
      </c>
      <c r="D41">
        <v>3405311.5009704004</v>
      </c>
      <c r="E41" s="12">
        <v>9293930147.9805298</v>
      </c>
      <c r="F41" s="12">
        <v>-9928671481.783287</v>
      </c>
      <c r="G41" s="12">
        <v>0</v>
      </c>
      <c r="H41" s="12">
        <v>6607016.0113019831</v>
      </c>
      <c r="I41" s="12">
        <v>481951378.31774145</v>
      </c>
      <c r="J41" s="12">
        <v>19970098689.272614</v>
      </c>
      <c r="K41" s="12">
        <v>-15269702.061651379</v>
      </c>
      <c r="L41" s="12">
        <v>1605309.4688414684</v>
      </c>
      <c r="M41" s="12">
        <v>4093430995.7303009</v>
      </c>
      <c r="N41" s="12">
        <v>14219211411.429407</v>
      </c>
      <c r="O41" s="12"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G41" s="21" t="s">
        <v>22</v>
      </c>
      <c r="AH41" s="21" t="s">
        <v>23</v>
      </c>
      <c r="AI41" s="21" t="s">
        <v>26</v>
      </c>
      <c r="AS41" s="6">
        <v>8661013.7110593822</v>
      </c>
      <c r="AT41" s="167">
        <v>4000</v>
      </c>
      <c r="AU41" s="167">
        <v>4000</v>
      </c>
      <c r="AV41" s="167">
        <v>4000</v>
      </c>
      <c r="AW41" s="167">
        <v>4000</v>
      </c>
      <c r="AX41" s="167">
        <v>4000</v>
      </c>
      <c r="AY41" s="167">
        <v>4000</v>
      </c>
      <c r="AZ41" s="167">
        <v>4000</v>
      </c>
      <c r="BA41" s="167">
        <v>3841.5853369554452</v>
      </c>
      <c r="BB41" s="167">
        <v>3690.1669266100189</v>
      </c>
      <c r="BC41" s="167">
        <v>3551.3499248855533</v>
      </c>
      <c r="BD41" s="167">
        <v>3423.4505968362373</v>
      </c>
      <c r="BE41" s="167">
        <v>3305.051220737017</v>
      </c>
      <c r="BF41" s="167">
        <v>3194.9621451273697</v>
      </c>
      <c r="BG41" s="167">
        <v>3092.1907681515331</v>
      </c>
      <c r="BH41" s="167">
        <v>2995.9161850344617</v>
      </c>
      <c r="BI41" s="167">
        <v>2905.4684824021128</v>
      </c>
      <c r="BJ41" s="167">
        <v>2820.311851484601</v>
      </c>
      <c r="BK41" s="167">
        <v>2740.0308505713988</v>
      </c>
      <c r="BL41" s="167">
        <v>2664.3192747866142</v>
      </c>
      <c r="BM41" s="167">
        <v>2592.9711920873469</v>
      </c>
      <c r="BN41" s="167">
        <v>2525.8737814084761</v>
      </c>
      <c r="BO41" s="167">
        <v>2463.0016644393536</v>
      </c>
      <c r="BP41" s="167">
        <v>2404.4124582955446</v>
      </c>
      <c r="BQ41" s="167">
        <v>2350.243293389964</v>
      </c>
      <c r="BR41" s="167">
        <v>2300.7080395322891</v>
      </c>
      <c r="BS41" s="167">
        <v>2256.0949636317455</v>
      </c>
      <c r="BT41" s="167">
        <v>2216.7645045583727</v>
      </c>
      <c r="BU41" s="167">
        <v>2183.1467982257373</v>
      </c>
      <c r="BV41" s="167">
        <v>2155.7385342899752</v>
      </c>
      <c r="BW41" s="167">
        <v>2135.0987209876434</v>
      </c>
      <c r="BX41" s="167">
        <v>2121.8430722139683</v>
      </c>
      <c r="BY41" s="167">
        <v>2116.6371182792409</v>
      </c>
      <c r="BZ41" s="167">
        <v>2120.1886912758237</v>
      </c>
      <c r="CA41" s="167">
        <v>2133.2405872827167</v>
      </c>
      <c r="CB41" s="167">
        <v>2156.5633562597195</v>
      </c>
      <c r="CC41" s="167">
        <v>2190.9473239624799</v>
      </c>
      <c r="CD41" s="167">
        <v>2237.1954827554973</v>
      </c>
      <c r="CE41" s="167">
        <v>2296.1305165441549</v>
      </c>
      <c r="CF41" s="167">
        <v>2368.681045159321</v>
      </c>
      <c r="CG41" s="167">
        <v>2456.5686756254145</v>
      </c>
      <c r="CH41" s="167">
        <v>2552.6760072196339</v>
      </c>
      <c r="CI41" s="167">
        <v>2668.050421681417</v>
      </c>
      <c r="CJ41" s="167">
        <v>2799.570812791696</v>
      </c>
      <c r="CK41" s="167">
        <v>2945.4436993777499</v>
      </c>
      <c r="CL41" s="167">
        <v>3107.7369661324415</v>
      </c>
      <c r="CM41" s="167">
        <v>3286.1314716208581</v>
      </c>
      <c r="CN41" s="167">
        <v>3480.5690368494452</v>
      </c>
      <c r="CO41" s="167">
        <v>3690.9496396446775</v>
      </c>
      <c r="CP41" s="167">
        <v>3917.0982560494704</v>
      </c>
      <c r="CQ41" s="167">
        <v>4000</v>
      </c>
      <c r="CR41" s="167">
        <v>4000</v>
      </c>
      <c r="CS41" s="167">
        <v>4000</v>
      </c>
      <c r="CT41" s="167">
        <v>4000</v>
      </c>
      <c r="CU41" s="167">
        <v>4000</v>
      </c>
      <c r="CV41" s="167">
        <v>4000</v>
      </c>
      <c r="CW41" s="167">
        <v>4000</v>
      </c>
      <c r="CX41" s="167">
        <v>4000</v>
      </c>
      <c r="CY41" s="167">
        <v>4000</v>
      </c>
      <c r="CZ41" s="167">
        <v>4000</v>
      </c>
      <c r="DA41" s="167">
        <v>4000</v>
      </c>
      <c r="DB41" s="167">
        <v>4000</v>
      </c>
      <c r="DC41" s="167">
        <v>4000</v>
      </c>
      <c r="DD41" s="167">
        <v>4000</v>
      </c>
      <c r="DE41" s="167">
        <v>4000</v>
      </c>
      <c r="DF41" s="167">
        <v>4000</v>
      </c>
      <c r="DG41" s="167">
        <v>4000</v>
      </c>
      <c r="DH41" s="167">
        <v>4000</v>
      </c>
      <c r="DI41" s="167">
        <v>4000</v>
      </c>
      <c r="DJ41" s="167">
        <v>4000</v>
      </c>
      <c r="DK41" s="167">
        <v>4000</v>
      </c>
      <c r="DL41" s="167">
        <v>4000</v>
      </c>
      <c r="DM41" s="167">
        <v>4000</v>
      </c>
      <c r="DN41" s="167">
        <v>4000</v>
      </c>
      <c r="DO41" s="167">
        <v>4000</v>
      </c>
      <c r="DP41" s="167">
        <v>4000</v>
      </c>
      <c r="DQ41" s="167">
        <v>4000</v>
      </c>
      <c r="DR41" s="167">
        <v>4000</v>
      </c>
      <c r="DS41" s="167">
        <v>4000</v>
      </c>
      <c r="DT41" s="167">
        <v>4000</v>
      </c>
      <c r="DU41" s="167">
        <v>4000</v>
      </c>
      <c r="DV41" s="167">
        <v>4000</v>
      </c>
      <c r="DW41" s="167">
        <v>4000</v>
      </c>
      <c r="DX41" s="167">
        <v>4000</v>
      </c>
      <c r="DY41" s="167">
        <v>4000</v>
      </c>
      <c r="DZ41" s="167">
        <v>4000</v>
      </c>
      <c r="EA41" s="167">
        <v>4000</v>
      </c>
      <c r="EB41" s="167">
        <v>4000</v>
      </c>
      <c r="EC41" s="167">
        <v>4000</v>
      </c>
      <c r="ED41" s="167">
        <v>4000</v>
      </c>
      <c r="EE41" s="167">
        <v>4000</v>
      </c>
      <c r="EF41" s="167">
        <v>4000</v>
      </c>
      <c r="EG41" s="167">
        <v>4000</v>
      </c>
      <c r="EH41" s="167">
        <v>4000</v>
      </c>
      <c r="EI41" s="167">
        <v>4000</v>
      </c>
      <c r="EJ41" s="167">
        <v>4000</v>
      </c>
      <c r="EK41" s="167">
        <v>4000</v>
      </c>
      <c r="EL41" s="167">
        <v>4000</v>
      </c>
      <c r="EM41" s="167">
        <v>4000</v>
      </c>
      <c r="EN41" s="167">
        <v>4000</v>
      </c>
      <c r="EO41" s="167">
        <v>4000</v>
      </c>
      <c r="EP41" t="str">
        <f t="shared" si="0"/>
        <v>0y 401d</v>
      </c>
      <c r="ES41" s="277" t="s">
        <v>109</v>
      </c>
      <c r="ET41" s="277"/>
      <c r="EU41" s="277"/>
      <c r="EV41" s="277"/>
      <c r="EW41" s="277"/>
      <c r="EX41" s="277"/>
    </row>
    <row r="42" spans="2:154" ht="15" customHeight="1" x14ac:dyDescent="0.25">
      <c r="B42" s="9">
        <v>39</v>
      </c>
      <c r="D42">
        <v>3497346.9469425729</v>
      </c>
      <c r="E42" s="12">
        <v>9899017140.4069386</v>
      </c>
      <c r="F42" s="12">
        <v>-9325508814.1424103</v>
      </c>
      <c r="G42" s="12">
        <v>0</v>
      </c>
      <c r="H42" s="12">
        <v>6767714.988790622</v>
      </c>
      <c r="I42" s="12">
        <v>-771241721.76590824</v>
      </c>
      <c r="J42" s="12">
        <v>19917289529.292271</v>
      </c>
      <c r="K42" s="12">
        <v>-14310426.01704629</v>
      </c>
      <c r="L42" s="12">
        <v>1654200.4597919842</v>
      </c>
      <c r="M42" s="12">
        <v>3673280264.9911213</v>
      </c>
      <c r="N42" s="12">
        <v>14405795206.652231</v>
      </c>
      <c r="O42" s="12"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G42" s="20">
        <v>0</v>
      </c>
      <c r="AH42" s="20">
        <v>0</v>
      </c>
      <c r="AI42" s="20">
        <v>0</v>
      </c>
      <c r="AS42" s="6">
        <v>8839882.4724834338</v>
      </c>
      <c r="AT42" s="167">
        <v>4000</v>
      </c>
      <c r="AU42" s="167">
        <v>4000</v>
      </c>
      <c r="AV42" s="167">
        <v>4000</v>
      </c>
      <c r="AW42" s="167">
        <v>4000</v>
      </c>
      <c r="AX42" s="167">
        <v>4000</v>
      </c>
      <c r="AY42" s="167">
        <v>4000</v>
      </c>
      <c r="AZ42" s="167">
        <v>4000</v>
      </c>
      <c r="BA42" s="167">
        <v>4000</v>
      </c>
      <c r="BB42" s="167">
        <v>3952.6149703343617</v>
      </c>
      <c r="BC42" s="167">
        <v>3793.3523912214214</v>
      </c>
      <c r="BD42" s="167">
        <v>3647.0624635281893</v>
      </c>
      <c r="BE42" s="167">
        <v>3512.0255667146366</v>
      </c>
      <c r="BF42" s="167">
        <v>3386.8010234304302</v>
      </c>
      <c r="BG42" s="167">
        <v>3270.1870391368602</v>
      </c>
      <c r="BH42" s="167">
        <v>3161.1879009109534</v>
      </c>
      <c r="BI42" s="167">
        <v>3058.9871154690554</v>
      </c>
      <c r="BJ42" s="167">
        <v>2962.9254176522982</v>
      </c>
      <c r="BK42" s="167">
        <v>2872.4827869337068</v>
      </c>
      <c r="BL42" s="167">
        <v>2787.2637760654288</v>
      </c>
      <c r="BM42" s="167">
        <v>2706.9855879254847</v>
      </c>
      <c r="BN42" s="167">
        <v>2631.4684385040828</v>
      </c>
      <c r="BO42" s="167">
        <v>2560.6278195372302</v>
      </c>
      <c r="BP42" s="167">
        <v>2494.4683264964824</v>
      </c>
      <c r="BQ42" s="167">
        <v>2433.0787486755694</v>
      </c>
      <c r="BR42" s="167">
        <v>2376.628129567297</v>
      </c>
      <c r="BS42" s="167">
        <v>2325.3624987819167</v>
      </c>
      <c r="BT42" s="167">
        <v>2279.6019527913522</v>
      </c>
      <c r="BU42" s="167">
        <v>2239.7377240693913</v>
      </c>
      <c r="BV42" s="167">
        <v>2206.2288367334913</v>
      </c>
      <c r="BW42" s="167">
        <v>2179.5979288702538</v>
      </c>
      <c r="BX42" s="167">
        <v>2160.4258860271766</v>
      </c>
      <c r="BY42" s="167">
        <v>2149.3451576346924</v>
      </c>
      <c r="BZ42" s="167">
        <v>2147.0320165067915</v>
      </c>
      <c r="CA42" s="167">
        <v>2154.1982687727141</v>
      </c>
      <c r="CB42" s="167">
        <v>2171.5824698353135</v>
      </c>
      <c r="CC42" s="167">
        <v>2199.9396665627664</v>
      </c>
      <c r="CD42" s="167">
        <v>2240.0287266028431</v>
      </c>
      <c r="CE42" s="167">
        <v>2292.5992017607277</v>
      </c>
      <c r="CF42" s="167">
        <v>2358.386896270144</v>
      </c>
      <c r="CG42" s="167">
        <v>2438.156766514825</v>
      </c>
      <c r="CH42" s="167">
        <v>2533.1151281998054</v>
      </c>
      <c r="CI42" s="167">
        <v>2639.2753823111261</v>
      </c>
      <c r="CJ42" s="167">
        <v>2763.1908445563022</v>
      </c>
      <c r="CK42" s="167">
        <v>2902.8446042173045</v>
      </c>
      <c r="CL42" s="167">
        <v>3057.9255263086134</v>
      </c>
      <c r="CM42" s="167">
        <v>3229.0305156422551</v>
      </c>
      <c r="CN42" s="167">
        <v>3416.0446141194116</v>
      </c>
      <c r="CO42" s="167">
        <v>3618.8714840300481</v>
      </c>
      <c r="CP42" s="167">
        <v>3837.3440989567471</v>
      </c>
      <c r="CQ42" s="167">
        <v>4000</v>
      </c>
      <c r="CR42" s="167">
        <v>4000</v>
      </c>
      <c r="CS42" s="167">
        <v>4000</v>
      </c>
      <c r="CT42" s="167">
        <v>4000</v>
      </c>
      <c r="CU42" s="167">
        <v>4000</v>
      </c>
      <c r="CV42" s="167">
        <v>4000</v>
      </c>
      <c r="CW42" s="167">
        <v>4000</v>
      </c>
      <c r="CX42" s="167">
        <v>4000</v>
      </c>
      <c r="CY42" s="167">
        <v>4000</v>
      </c>
      <c r="CZ42" s="167">
        <v>4000</v>
      </c>
      <c r="DA42" s="167">
        <v>4000</v>
      </c>
      <c r="DB42" s="167">
        <v>4000</v>
      </c>
      <c r="DC42" s="167">
        <v>4000</v>
      </c>
      <c r="DD42" s="167">
        <v>4000</v>
      </c>
      <c r="DE42" s="167">
        <v>4000</v>
      </c>
      <c r="DF42" s="167">
        <v>4000</v>
      </c>
      <c r="DG42" s="167">
        <v>4000</v>
      </c>
      <c r="DH42" s="167">
        <v>4000</v>
      </c>
      <c r="DI42" s="167">
        <v>4000</v>
      </c>
      <c r="DJ42" s="167">
        <v>4000</v>
      </c>
      <c r="DK42" s="167">
        <v>4000</v>
      </c>
      <c r="DL42" s="167">
        <v>4000</v>
      </c>
      <c r="DM42" s="167">
        <v>4000</v>
      </c>
      <c r="DN42" s="167">
        <v>4000</v>
      </c>
      <c r="DO42" s="167">
        <v>4000</v>
      </c>
      <c r="DP42" s="167">
        <v>4000</v>
      </c>
      <c r="DQ42" s="167">
        <v>4000</v>
      </c>
      <c r="DR42" s="167">
        <v>4000</v>
      </c>
      <c r="DS42" s="167">
        <v>4000</v>
      </c>
      <c r="DT42" s="167">
        <v>4000</v>
      </c>
      <c r="DU42" s="167">
        <v>4000</v>
      </c>
      <c r="DV42" s="167">
        <v>4000</v>
      </c>
      <c r="DW42" s="167">
        <v>4000</v>
      </c>
      <c r="DX42" s="167">
        <v>4000</v>
      </c>
      <c r="DY42" s="167">
        <v>4000</v>
      </c>
      <c r="DZ42" s="167">
        <v>4000</v>
      </c>
      <c r="EA42" s="167">
        <v>4000</v>
      </c>
      <c r="EB42" s="167">
        <v>4000</v>
      </c>
      <c r="EC42" s="167">
        <v>4000</v>
      </c>
      <c r="ED42" s="167">
        <v>4000</v>
      </c>
      <c r="EE42" s="167">
        <v>4000</v>
      </c>
      <c r="EF42" s="167">
        <v>4000</v>
      </c>
      <c r="EG42" s="167">
        <v>4000</v>
      </c>
      <c r="EH42" s="167">
        <v>4000</v>
      </c>
      <c r="EI42" s="167">
        <v>4000</v>
      </c>
      <c r="EJ42" s="167">
        <v>4000</v>
      </c>
      <c r="EK42" s="167">
        <v>4000</v>
      </c>
      <c r="EL42" s="167">
        <v>4000</v>
      </c>
      <c r="EM42" s="167">
        <v>4000</v>
      </c>
      <c r="EN42" s="167">
        <v>4000</v>
      </c>
      <c r="EO42" s="167">
        <v>4000</v>
      </c>
      <c r="EP42" t="str">
        <f t="shared" si="0"/>
        <v>0y 409d</v>
      </c>
      <c r="ES42" s="277"/>
      <c r="ET42" s="277"/>
      <c r="EU42" s="277"/>
      <c r="EV42" s="277"/>
      <c r="EW42" s="277"/>
      <c r="EX42" s="277"/>
    </row>
    <row r="43" spans="2:154" ht="15" customHeight="1" x14ac:dyDescent="0.25">
      <c r="B43" s="9">
        <v>40</v>
      </c>
      <c r="D43">
        <v>3589382.3929147455</v>
      </c>
      <c r="E43" s="12">
        <v>10465037234.61091</v>
      </c>
      <c r="F43" s="12">
        <v>-8685542623.631834</v>
      </c>
      <c r="G43" s="12">
        <v>0</v>
      </c>
      <c r="H43" s="12">
        <v>6927734.7729049949</v>
      </c>
      <c r="I43" s="12">
        <v>-2016211098.7133827</v>
      </c>
      <c r="J43" s="12">
        <v>19789067707.411362</v>
      </c>
      <c r="K43" s="12">
        <v>-13300859.306145513</v>
      </c>
      <c r="L43" s="12">
        <v>1703560.4148237486</v>
      </c>
      <c r="M43" s="12">
        <v>3245922193.9373102</v>
      </c>
      <c r="N43" s="12">
        <v>14581707017.304192</v>
      </c>
      <c r="O43" s="12"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S43" s="6">
        <v>9018751.2339074854</v>
      </c>
      <c r="AT43" s="167">
        <v>4000</v>
      </c>
      <c r="AU43" s="167">
        <v>4000</v>
      </c>
      <c r="AV43" s="167">
        <v>4000</v>
      </c>
      <c r="AW43" s="167">
        <v>4000</v>
      </c>
      <c r="AX43" s="167">
        <v>4000</v>
      </c>
      <c r="AY43" s="167">
        <v>4000</v>
      </c>
      <c r="AZ43" s="167">
        <v>4000</v>
      </c>
      <c r="BA43" s="167">
        <v>4000</v>
      </c>
      <c r="BB43" s="167">
        <v>4000</v>
      </c>
      <c r="BC43" s="167">
        <v>4000</v>
      </c>
      <c r="BD43" s="167">
        <v>3900.8407139178898</v>
      </c>
      <c r="BE43" s="167">
        <v>3745.7169446997032</v>
      </c>
      <c r="BF43" s="167">
        <v>3602.3178866401654</v>
      </c>
      <c r="BG43" s="167">
        <v>3469.1762321292163</v>
      </c>
      <c r="BH43" s="167">
        <v>3345.0747222763625</v>
      </c>
      <c r="BI43" s="167">
        <v>3229.0112659481847</v>
      </c>
      <c r="BJ43" s="167">
        <v>3120.1703646161477</v>
      </c>
      <c r="BK43" s="167">
        <v>3017.8997115122643</v>
      </c>
      <c r="BL43" s="167">
        <v>2921.6910522528378</v>
      </c>
      <c r="BM43" s="167">
        <v>2831.1645689194211</v>
      </c>
      <c r="BN43" s="167">
        <v>2746.0561863420471</v>
      </c>
      <c r="BO43" s="167">
        <v>2666.2073032035119</v>
      </c>
      <c r="BP43" s="167">
        <v>2591.5565259080959</v>
      </c>
      <c r="BQ43" s="167">
        <v>2522.133033414751</v>
      </c>
      <c r="BR43" s="167">
        <v>2458.051229192446</v>
      </c>
      <c r="BS43" s="167">
        <v>2399.5063444409243</v>
      </c>
      <c r="BT43" s="167">
        <v>2346.770647123682</v>
      </c>
      <c r="BU43" s="167">
        <v>2300.1898877687181</v>
      </c>
      <c r="BV43" s="167">
        <v>2260.1795829422704</v>
      </c>
      <c r="BW43" s="167">
        <v>2227.2207183050436</v>
      </c>
      <c r="BX43" s="167">
        <v>2201.8544818254622</v>
      </c>
      <c r="BY43" s="167">
        <v>2184.6757703740759</v>
      </c>
      <c r="BZ43" s="167">
        <v>2176.3254772121991</v>
      </c>
      <c r="CA43" s="167">
        <v>2177.4818244739422</v>
      </c>
      <c r="CB43" s="167">
        <v>2188.8508664864485</v>
      </c>
      <c r="CC43" s="167">
        <v>2211.1555630749785</v>
      </c>
      <c r="CD43" s="167">
        <v>2245.1223300031679</v>
      </c>
      <c r="CE43" s="167">
        <v>2291.4649997123533</v>
      </c>
      <c r="CF43" s="167">
        <v>2350.8684267564031</v>
      </c>
      <c r="CG43" s="167">
        <v>2423.9768986830045</v>
      </c>
      <c r="CH43" s="167">
        <v>2511.4041644707559</v>
      </c>
      <c r="CI43" s="167">
        <v>2612.7494324992567</v>
      </c>
      <c r="CJ43" s="167">
        <v>2729.8984142418376</v>
      </c>
      <c r="CK43" s="167">
        <v>2862.4694788917059</v>
      </c>
      <c r="CL43" s="167">
        <v>3010.6753141516929</v>
      </c>
      <c r="CM43" s="167">
        <v>3174.6219887648426</v>
      </c>
      <c r="CN43" s="167">
        <v>3354.3376757169731</v>
      </c>
      <c r="CO43" s="167">
        <v>3549.7345273488772</v>
      </c>
      <c r="CP43" s="167">
        <v>3760.6542605468285</v>
      </c>
      <c r="CQ43" s="167">
        <v>3986.8614594860619</v>
      </c>
      <c r="CR43" s="167">
        <v>4000</v>
      </c>
      <c r="CS43" s="167">
        <v>4000</v>
      </c>
      <c r="CT43" s="167">
        <v>4000</v>
      </c>
      <c r="CU43" s="167">
        <v>4000</v>
      </c>
      <c r="CV43" s="167">
        <v>4000</v>
      </c>
      <c r="CW43" s="167">
        <v>4000</v>
      </c>
      <c r="CX43" s="167">
        <v>4000</v>
      </c>
      <c r="CY43" s="167">
        <v>4000</v>
      </c>
      <c r="CZ43" s="167">
        <v>4000</v>
      </c>
      <c r="DA43" s="167">
        <v>4000</v>
      </c>
      <c r="DB43" s="167">
        <v>4000</v>
      </c>
      <c r="DC43" s="167">
        <v>4000</v>
      </c>
      <c r="DD43" s="167">
        <v>4000</v>
      </c>
      <c r="DE43" s="167">
        <v>4000</v>
      </c>
      <c r="DF43" s="167">
        <v>4000</v>
      </c>
      <c r="DG43" s="167">
        <v>4000</v>
      </c>
      <c r="DH43" s="167">
        <v>4000</v>
      </c>
      <c r="DI43" s="167">
        <v>4000</v>
      </c>
      <c r="DJ43" s="167">
        <v>4000</v>
      </c>
      <c r="DK43" s="167">
        <v>4000</v>
      </c>
      <c r="DL43" s="167">
        <v>4000</v>
      </c>
      <c r="DM43" s="167">
        <v>4000</v>
      </c>
      <c r="DN43" s="167">
        <v>4000</v>
      </c>
      <c r="DO43" s="167">
        <v>4000</v>
      </c>
      <c r="DP43" s="167">
        <v>4000</v>
      </c>
      <c r="DQ43" s="167">
        <v>4000</v>
      </c>
      <c r="DR43" s="167">
        <v>4000</v>
      </c>
      <c r="DS43" s="167">
        <v>4000</v>
      </c>
      <c r="DT43" s="167">
        <v>4000</v>
      </c>
      <c r="DU43" s="167">
        <v>4000</v>
      </c>
      <c r="DV43" s="167">
        <v>4000</v>
      </c>
      <c r="DW43" s="167">
        <v>4000</v>
      </c>
      <c r="DX43" s="167">
        <v>4000</v>
      </c>
      <c r="DY43" s="167">
        <v>4000</v>
      </c>
      <c r="DZ43" s="167">
        <v>4000</v>
      </c>
      <c r="EA43" s="167">
        <v>4000</v>
      </c>
      <c r="EB43" s="167">
        <v>4000</v>
      </c>
      <c r="EC43" s="167">
        <v>4000</v>
      </c>
      <c r="ED43" s="167">
        <v>4000</v>
      </c>
      <c r="EE43" s="167">
        <v>4000</v>
      </c>
      <c r="EF43" s="167">
        <v>4000</v>
      </c>
      <c r="EG43" s="167">
        <v>4000</v>
      </c>
      <c r="EH43" s="167">
        <v>4000</v>
      </c>
      <c r="EI43" s="167">
        <v>4000</v>
      </c>
      <c r="EJ43" s="167">
        <v>4000</v>
      </c>
      <c r="EK43" s="167">
        <v>4000</v>
      </c>
      <c r="EL43" s="167">
        <v>4000</v>
      </c>
      <c r="EM43" s="167">
        <v>4000</v>
      </c>
      <c r="EN43" s="167">
        <v>4000</v>
      </c>
      <c r="EO43" s="167">
        <v>4000</v>
      </c>
      <c r="EP43" t="str">
        <f t="shared" si="0"/>
        <v>0y 418d</v>
      </c>
      <c r="ES43" s="277"/>
      <c r="ET43" s="277"/>
      <c r="EU43" s="277"/>
      <c r="EV43" s="277"/>
      <c r="EW43" s="277"/>
      <c r="EX43" s="277"/>
    </row>
    <row r="44" spans="2:154" ht="15" customHeight="1" x14ac:dyDescent="0.25">
      <c r="B44" s="9">
        <v>41</v>
      </c>
      <c r="D44">
        <v>3681417.838886918</v>
      </c>
      <c r="E44" s="12">
        <v>10989756607.870607</v>
      </c>
      <c r="F44" s="12">
        <v>-8011298564.4327631</v>
      </c>
      <c r="G44" s="12">
        <v>0</v>
      </c>
      <c r="H44" s="12">
        <v>7087125.8514623344</v>
      </c>
      <c r="I44" s="12">
        <v>-3248648548.2306156</v>
      </c>
      <c r="J44" s="12">
        <v>19586342623.462559</v>
      </c>
      <c r="K44" s="12">
        <v>-12244843.354806313</v>
      </c>
      <c r="L44" s="12">
        <v>1753403.6738461067</v>
      </c>
      <c r="M44" s="12">
        <v>2811558286.1411452</v>
      </c>
      <c r="N44" s="12">
        <v>14746665171.142221</v>
      </c>
      <c r="O44" s="12"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G44" s="254" t="s">
        <v>66</v>
      </c>
      <c r="AH44" s="254"/>
      <c r="AI44" s="254"/>
      <c r="AS44" s="6">
        <v>9197619.995331537</v>
      </c>
      <c r="AT44" s="167">
        <v>4000</v>
      </c>
      <c r="AU44" s="167">
        <v>4000</v>
      </c>
      <c r="AV44" s="167">
        <v>4000</v>
      </c>
      <c r="AW44" s="167">
        <v>4000</v>
      </c>
      <c r="AX44" s="167">
        <v>4000</v>
      </c>
      <c r="AY44" s="167">
        <v>4000</v>
      </c>
      <c r="AZ44" s="167">
        <v>4000</v>
      </c>
      <c r="BA44" s="167">
        <v>4000</v>
      </c>
      <c r="BB44" s="167">
        <v>4000</v>
      </c>
      <c r="BC44" s="167">
        <v>4000</v>
      </c>
      <c r="BD44" s="167">
        <v>4000</v>
      </c>
      <c r="BE44" s="167">
        <v>4000</v>
      </c>
      <c r="BF44" s="167">
        <v>3844.1330848327752</v>
      </c>
      <c r="BG44" s="167">
        <v>3691.3605029409773</v>
      </c>
      <c r="BH44" s="167">
        <v>3549.4342722782667</v>
      </c>
      <c r="BI44" s="167">
        <v>3417.1145160867886</v>
      </c>
      <c r="BJ44" s="167">
        <v>3293.3859199274943</v>
      </c>
      <c r="BK44" s="167">
        <v>3177.4273019350458</v>
      </c>
      <c r="BL44" s="167">
        <v>3068.5867228966317</v>
      </c>
      <c r="BM44" s="167">
        <v>2966.3611565584547</v>
      </c>
      <c r="BN44" s="167">
        <v>2870.3799248962064</v>
      </c>
      <c r="BO44" s="167">
        <v>2780.3912460918023</v>
      </c>
      <c r="BP44" s="167">
        <v>2696.2513503268938</v>
      </c>
      <c r="BQ44" s="167">
        <v>2617.915695108496</v>
      </c>
      <c r="BR44" s="167">
        <v>2545.4318617534177</v>
      </c>
      <c r="BS44" s="167">
        <v>2478.9337413923631</v>
      </c>
      <c r="BT44" s="167">
        <v>2418.6366258263201</v>
      </c>
      <c r="BU44" s="167">
        <v>2364.8328099438186</v>
      </c>
      <c r="BV44" s="167">
        <v>2317.8872947991117</v>
      </c>
      <c r="BW44" s="167">
        <v>2278.2331664043713</v>
      </c>
      <c r="BX44" s="167">
        <v>2246.3662388289131</v>
      </c>
      <c r="BY44" s="167">
        <v>2222.838629567334</v>
      </c>
      <c r="BZ44" s="167">
        <v>2208.2511119718747</v>
      </c>
      <c r="CA44" s="167">
        <v>2203.2443106142168</v>
      </c>
      <c r="CB44" s="167">
        <v>2208.4888395410262</v>
      </c>
      <c r="CC44" s="167">
        <v>2224.6740862131001</v>
      </c>
      <c r="CD44" s="167">
        <v>2252.4948473964969</v>
      </c>
      <c r="CE44" s="167">
        <v>2292.6340424796763</v>
      </c>
      <c r="CF44" s="167">
        <v>2345.7505747021437</v>
      </c>
      <c r="CG44" s="167">
        <v>2412.4541367622014</v>
      </c>
      <c r="CH44" s="167">
        <v>2493.2971282200233</v>
      </c>
      <c r="CI44" s="167">
        <v>2588.758737705215</v>
      </c>
      <c r="CJ44" s="167">
        <v>2698.9790483138804</v>
      </c>
      <c r="CK44" s="167">
        <v>2824.738260245249</v>
      </c>
      <c r="CL44" s="167">
        <v>2966.0002357815001</v>
      </c>
      <c r="CM44" s="167">
        <v>3122.9272817472156</v>
      </c>
      <c r="CN44" s="167">
        <v>3295.4443800420686</v>
      </c>
      <c r="CO44" s="167">
        <v>3483.51609495309</v>
      </c>
      <c r="CP44" s="167">
        <v>3686.9917305469571</v>
      </c>
      <c r="CQ44" s="167">
        <v>3905.6404282341327</v>
      </c>
      <c r="CR44" s="167">
        <v>4000</v>
      </c>
      <c r="CS44" s="167">
        <v>4000</v>
      </c>
      <c r="CT44" s="167">
        <v>4000</v>
      </c>
      <c r="CU44" s="167">
        <v>4000</v>
      </c>
      <c r="CV44" s="167">
        <v>4000</v>
      </c>
      <c r="CW44" s="167">
        <v>4000</v>
      </c>
      <c r="CX44" s="167">
        <v>4000</v>
      </c>
      <c r="CY44" s="167">
        <v>4000</v>
      </c>
      <c r="CZ44" s="167">
        <v>4000</v>
      </c>
      <c r="DA44" s="167">
        <v>4000</v>
      </c>
      <c r="DB44" s="167">
        <v>4000</v>
      </c>
      <c r="DC44" s="167">
        <v>4000</v>
      </c>
      <c r="DD44" s="167">
        <v>4000</v>
      </c>
      <c r="DE44" s="167">
        <v>4000</v>
      </c>
      <c r="DF44" s="167">
        <v>4000</v>
      </c>
      <c r="DG44" s="167">
        <v>4000</v>
      </c>
      <c r="DH44" s="167">
        <v>4000</v>
      </c>
      <c r="DI44" s="167">
        <v>4000</v>
      </c>
      <c r="DJ44" s="167">
        <v>4000</v>
      </c>
      <c r="DK44" s="167">
        <v>4000</v>
      </c>
      <c r="DL44" s="167">
        <v>4000</v>
      </c>
      <c r="DM44" s="167">
        <v>4000</v>
      </c>
      <c r="DN44" s="167">
        <v>4000</v>
      </c>
      <c r="DO44" s="167">
        <v>4000</v>
      </c>
      <c r="DP44" s="167">
        <v>4000</v>
      </c>
      <c r="DQ44" s="167">
        <v>4000</v>
      </c>
      <c r="DR44" s="167">
        <v>4000</v>
      </c>
      <c r="DS44" s="167">
        <v>4000</v>
      </c>
      <c r="DT44" s="167">
        <v>4000</v>
      </c>
      <c r="DU44" s="167">
        <v>4000</v>
      </c>
      <c r="DV44" s="167">
        <v>4000</v>
      </c>
      <c r="DW44" s="167">
        <v>4000</v>
      </c>
      <c r="DX44" s="167">
        <v>4000</v>
      </c>
      <c r="DY44" s="167">
        <v>4000</v>
      </c>
      <c r="DZ44" s="167">
        <v>4000</v>
      </c>
      <c r="EA44" s="167">
        <v>4000</v>
      </c>
      <c r="EB44" s="167">
        <v>4000</v>
      </c>
      <c r="EC44" s="167">
        <v>4000</v>
      </c>
      <c r="ED44" s="167">
        <v>4000</v>
      </c>
      <c r="EE44" s="167">
        <v>4000</v>
      </c>
      <c r="EF44" s="167">
        <v>4000</v>
      </c>
      <c r="EG44" s="167">
        <v>4000</v>
      </c>
      <c r="EH44" s="167">
        <v>4000</v>
      </c>
      <c r="EI44" s="167">
        <v>4000</v>
      </c>
      <c r="EJ44" s="167">
        <v>4000</v>
      </c>
      <c r="EK44" s="167">
        <v>4000</v>
      </c>
      <c r="EL44" s="167">
        <v>4000</v>
      </c>
      <c r="EM44" s="167">
        <v>4000</v>
      </c>
      <c r="EN44" s="167">
        <v>4000</v>
      </c>
      <c r="EO44" s="167">
        <v>4000</v>
      </c>
      <c r="EP44" t="str">
        <f t="shared" si="0"/>
        <v>0y 426d</v>
      </c>
      <c r="ES44" s="277"/>
      <c r="ET44" s="277"/>
      <c r="EU44" s="277"/>
      <c r="EV44" s="277"/>
      <c r="EW44" s="277"/>
      <c r="EX44" s="277"/>
    </row>
    <row r="45" spans="2:154" ht="15" customHeight="1" x14ac:dyDescent="0.25">
      <c r="B45" s="9">
        <v>42</v>
      </c>
      <c r="D45">
        <v>3773453.2848590906</v>
      </c>
      <c r="E45" s="12">
        <v>11471104432.541256</v>
      </c>
      <c r="F45" s="12">
        <v>-7305437569.8140421</v>
      </c>
      <c r="G45" s="12">
        <v>0</v>
      </c>
      <c r="H45" s="12">
        <v>7245940.3226357531</v>
      </c>
      <c r="I45" s="12">
        <v>-4464336874.1997585</v>
      </c>
      <c r="J45" s="12">
        <v>19310240645.116611</v>
      </c>
      <c r="K45" s="12">
        <v>-11146314.846129842</v>
      </c>
      <c r="L45" s="12">
        <v>1803744.5798836811</v>
      </c>
      <c r="M45" s="12">
        <v>2370401512.6295877</v>
      </c>
      <c r="N45" s="12">
        <v>14900386393.063745</v>
      </c>
      <c r="O45" s="12"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G45" s="21" t="s">
        <v>22</v>
      </c>
      <c r="AH45" s="21" t="s">
        <v>23</v>
      </c>
      <c r="AI45" s="21" t="s">
        <v>26</v>
      </c>
      <c r="AS45" s="6">
        <v>9376488.7567555886</v>
      </c>
      <c r="AT45" s="167">
        <v>4000</v>
      </c>
      <c r="AU45" s="167">
        <v>4000</v>
      </c>
      <c r="AV45" s="167">
        <v>4000</v>
      </c>
      <c r="AW45" s="167">
        <v>4000</v>
      </c>
      <c r="AX45" s="167">
        <v>4000</v>
      </c>
      <c r="AY45" s="167">
        <v>4000</v>
      </c>
      <c r="AZ45" s="167">
        <v>4000</v>
      </c>
      <c r="BA45" s="167">
        <v>4000</v>
      </c>
      <c r="BB45" s="167">
        <v>4000</v>
      </c>
      <c r="BC45" s="167">
        <v>4000</v>
      </c>
      <c r="BD45" s="167">
        <v>4000</v>
      </c>
      <c r="BE45" s="167">
        <v>4000</v>
      </c>
      <c r="BF45" s="167">
        <v>4000</v>
      </c>
      <c r="BG45" s="167">
        <v>3939.4451071733065</v>
      </c>
      <c r="BH45" s="167">
        <v>3776.5423991807902</v>
      </c>
      <c r="BI45" s="167">
        <v>3625.2190902646175</v>
      </c>
      <c r="BJ45" s="167">
        <v>3484.2026813979501</v>
      </c>
      <c r="BK45" s="167">
        <v>3352.455274121714</v>
      </c>
      <c r="BL45" s="167">
        <v>3229.1411688891344</v>
      </c>
      <c r="BM45" s="167">
        <v>3113.6004133851898</v>
      </c>
      <c r="BN45" s="167">
        <v>3005.3272397669716</v>
      </c>
      <c r="BO45" s="167">
        <v>2903.9525252655912</v>
      </c>
      <c r="BP45" s="167">
        <v>2809.2295614756476</v>
      </c>
      <c r="BQ45" s="167">
        <v>2721.0225300598158</v>
      </c>
      <c r="BR45" s="167">
        <v>2639.2971619691652</v>
      </c>
      <c r="BS45" s="167">
        <v>2564.1131084556891</v>
      </c>
      <c r="BT45" s="167">
        <v>2495.6175796893522</v>
      </c>
      <c r="BU45" s="167">
        <v>2434.039815650031</v>
      </c>
      <c r="BV45" s="167">
        <v>2379.6859506667433</v>
      </c>
      <c r="BW45" s="167">
        <v>2332.9338277299494</v>
      </c>
      <c r="BX45" s="167">
        <v>2294.2273286417417</v>
      </c>
      <c r="BY45" s="167">
        <v>2264.0698377120625</v>
      </c>
      <c r="BZ45" s="167">
        <v>2243.0165771521756</v>
      </c>
      <c r="CA45" s="167">
        <v>2231.6657278783778</v>
      </c>
      <c r="CB45" s="167">
        <v>2230.6483556638286</v>
      </c>
      <c r="CC45" s="167">
        <v>2240.6155943480953</v>
      </c>
      <c r="CD45" s="167">
        <v>2262.2309906643372</v>
      </c>
      <c r="CE45" s="167">
        <v>2296.1467986844623</v>
      </c>
      <c r="CF45" s="167">
        <v>2342.9922998128295</v>
      </c>
      <c r="CG45" s="167">
        <v>2403.3552620948149</v>
      </c>
      <c r="CH45" s="167">
        <v>2477.7662061592046</v>
      </c>
      <c r="CI45" s="167">
        <v>2566.686294103105</v>
      </c>
      <c r="CJ45" s="167">
        <v>2670.4918114179541</v>
      </c>
      <c r="CK45" s="167">
        <v>2789.4931838899074</v>
      </c>
      <c r="CL45" s="167">
        <v>2923.9030596785424</v>
      </c>
      <c r="CM45" s="167">
        <v>3073.8068405105596</v>
      </c>
      <c r="CN45" s="167">
        <v>3239.432142305277</v>
      </c>
      <c r="CO45" s="167">
        <v>3420.2235450958187</v>
      </c>
      <c r="CP45" s="167">
        <v>3616.3368022372269</v>
      </c>
      <c r="CQ45" s="167">
        <v>3827.5205889474837</v>
      </c>
      <c r="CR45" s="167">
        <v>4000</v>
      </c>
      <c r="CS45" s="167">
        <v>4000</v>
      </c>
      <c r="CT45" s="167">
        <v>4000</v>
      </c>
      <c r="CU45" s="167">
        <v>4000</v>
      </c>
      <c r="CV45" s="167">
        <v>4000</v>
      </c>
      <c r="CW45" s="167">
        <v>4000</v>
      </c>
      <c r="CX45" s="167">
        <v>4000</v>
      </c>
      <c r="CY45" s="167">
        <v>4000</v>
      </c>
      <c r="CZ45" s="167">
        <v>4000</v>
      </c>
      <c r="DA45" s="167">
        <v>4000</v>
      </c>
      <c r="DB45" s="167">
        <v>4000</v>
      </c>
      <c r="DC45" s="167">
        <v>4000</v>
      </c>
      <c r="DD45" s="167">
        <v>4000</v>
      </c>
      <c r="DE45" s="167">
        <v>4000</v>
      </c>
      <c r="DF45" s="167">
        <v>4000</v>
      </c>
      <c r="DG45" s="167">
        <v>4000</v>
      </c>
      <c r="DH45" s="167">
        <v>4000</v>
      </c>
      <c r="DI45" s="167">
        <v>4000</v>
      </c>
      <c r="DJ45" s="167">
        <v>4000</v>
      </c>
      <c r="DK45" s="167">
        <v>4000</v>
      </c>
      <c r="DL45" s="167">
        <v>4000</v>
      </c>
      <c r="DM45" s="167">
        <v>4000</v>
      </c>
      <c r="DN45" s="167">
        <v>4000</v>
      </c>
      <c r="DO45" s="167">
        <v>4000</v>
      </c>
      <c r="DP45" s="167">
        <v>4000</v>
      </c>
      <c r="DQ45" s="167">
        <v>4000</v>
      </c>
      <c r="DR45" s="167">
        <v>4000</v>
      </c>
      <c r="DS45" s="167">
        <v>4000</v>
      </c>
      <c r="DT45" s="167">
        <v>4000</v>
      </c>
      <c r="DU45" s="167">
        <v>4000</v>
      </c>
      <c r="DV45" s="167">
        <v>4000</v>
      </c>
      <c r="DW45" s="167">
        <v>4000</v>
      </c>
      <c r="DX45" s="167">
        <v>4000</v>
      </c>
      <c r="DY45" s="167">
        <v>4000</v>
      </c>
      <c r="DZ45" s="167">
        <v>4000</v>
      </c>
      <c r="EA45" s="167">
        <v>4000</v>
      </c>
      <c r="EB45" s="167">
        <v>4000</v>
      </c>
      <c r="EC45" s="167">
        <v>4000</v>
      </c>
      <c r="ED45" s="167">
        <v>4000</v>
      </c>
      <c r="EE45" s="167">
        <v>4000</v>
      </c>
      <c r="EF45" s="167">
        <v>4000</v>
      </c>
      <c r="EG45" s="167">
        <v>4000</v>
      </c>
      <c r="EH45" s="167">
        <v>4000</v>
      </c>
      <c r="EI45" s="167">
        <v>4000</v>
      </c>
      <c r="EJ45" s="167">
        <v>4000</v>
      </c>
      <c r="EK45" s="167">
        <v>4000</v>
      </c>
      <c r="EL45" s="167">
        <v>4000</v>
      </c>
      <c r="EM45" s="167">
        <v>4000</v>
      </c>
      <c r="EN45" s="167">
        <v>4000</v>
      </c>
      <c r="EO45" s="167">
        <v>4000</v>
      </c>
      <c r="EP45" t="str">
        <f t="shared" si="0"/>
        <v>1y 8d</v>
      </c>
      <c r="ES45" s="277"/>
      <c r="ET45" s="277"/>
      <c r="EU45" s="277"/>
      <c r="EV45" s="277"/>
      <c r="EW45" s="277"/>
      <c r="EX45" s="277"/>
    </row>
    <row r="46" spans="2:154" ht="15" customHeight="1" x14ac:dyDescent="0.25">
      <c r="B46" s="9">
        <v>43</v>
      </c>
      <c r="D46">
        <v>3865488.7308312631</v>
      </c>
      <c r="E46" s="12">
        <v>11907181048.665781</v>
      </c>
      <c r="F46" s="12">
        <v>-6570745350.6442213</v>
      </c>
      <c r="G46" s="12">
        <v>0</v>
      </c>
      <c r="H46" s="12">
        <v>7404231.7284007333</v>
      </c>
      <c r="I46" s="12">
        <v>-5659156968.8458471</v>
      </c>
      <c r="J46" s="12">
        <v>18962096756.545849</v>
      </c>
      <c r="K46" s="12">
        <v>-10009294.285950942</v>
      </c>
      <c r="L46" s="12">
        <v>1854597.4656650086</v>
      </c>
      <c r="M46" s="12">
        <v>1922676833.1112399</v>
      </c>
      <c r="N46" s="12">
        <v>15042586170.773113</v>
      </c>
      <c r="O46" s="12"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G46" s="20">
        <v>0</v>
      </c>
      <c r="AH46" s="20">
        <v>0</v>
      </c>
      <c r="AI46" s="20">
        <v>0</v>
      </c>
      <c r="AS46" s="6">
        <v>9555357.5181796402</v>
      </c>
      <c r="AT46" s="167">
        <v>4000</v>
      </c>
      <c r="AU46" s="167">
        <v>4000</v>
      </c>
      <c r="AV46" s="167">
        <v>4000</v>
      </c>
      <c r="AW46" s="167">
        <v>4000</v>
      </c>
      <c r="AX46" s="167">
        <v>4000</v>
      </c>
      <c r="AY46" s="167">
        <v>4000</v>
      </c>
      <c r="AZ46" s="167">
        <v>4000</v>
      </c>
      <c r="BA46" s="167">
        <v>4000</v>
      </c>
      <c r="BB46" s="167">
        <v>4000</v>
      </c>
      <c r="BC46" s="167">
        <v>4000</v>
      </c>
      <c r="BD46" s="167">
        <v>4000</v>
      </c>
      <c r="BE46" s="167">
        <v>4000</v>
      </c>
      <c r="BF46" s="167">
        <v>4000</v>
      </c>
      <c r="BG46" s="167">
        <v>4000</v>
      </c>
      <c r="BH46" s="167">
        <v>4000</v>
      </c>
      <c r="BI46" s="167">
        <v>3855.6359329818579</v>
      </c>
      <c r="BJ46" s="167">
        <v>3694.5737434065704</v>
      </c>
      <c r="BK46" s="167">
        <v>3544.6416250499856</v>
      </c>
      <c r="BL46" s="167">
        <v>3404.7684961948839</v>
      </c>
      <c r="BM46" s="167">
        <v>3274.0943678398621</v>
      </c>
      <c r="BN46" s="167">
        <v>3151.9422430164759</v>
      </c>
      <c r="BO46" s="167">
        <v>3037.7952527630518</v>
      </c>
      <c r="BP46" s="167">
        <v>2931.2780822232926</v>
      </c>
      <c r="BQ46" s="167">
        <v>2832.141900507082</v>
      </c>
      <c r="BR46" s="167">
        <v>2740.2521267043694</v>
      </c>
      <c r="BS46" s="167">
        <v>2655.5784479590511</v>
      </c>
      <c r="BT46" s="167">
        <v>2578.1865596300495</v>
      </c>
      <c r="BU46" s="167">
        <v>2508.2311282755941</v>
      </c>
      <c r="BV46" s="167">
        <v>2445.9494924588789</v>
      </c>
      <c r="BW46" s="167">
        <v>2391.6556235116263</v>
      </c>
      <c r="BX46" s="167">
        <v>2345.7338820292625</v>
      </c>
      <c r="BY46" s="167">
        <v>2308.632145548419</v>
      </c>
      <c r="BZ46" s="167">
        <v>2280.8539701638283</v>
      </c>
      <c r="CA46" s="167">
        <v>2262.9495859919534</v>
      </c>
      <c r="CB46" s="167">
        <v>2255.5056516021191</v>
      </c>
      <c r="CC46" s="167">
        <v>2259.1321313966619</v>
      </c>
      <c r="CD46" s="167">
        <v>2274.4552061304671</v>
      </c>
      <c r="CE46" s="167">
        <v>2302.093163689251</v>
      </c>
      <c r="CF46" s="167">
        <v>2342.6457469083202</v>
      </c>
      <c r="CG46" s="167">
        <v>2396.6758899065981</v>
      </c>
      <c r="CH46" s="167">
        <v>2464.6943114809801</v>
      </c>
      <c r="CI46" s="167">
        <v>2547.1469545614773</v>
      </c>
      <c r="CJ46" s="167">
        <v>2644.4093129999851</v>
      </c>
      <c r="CK46" s="167">
        <v>2756.7973141662578</v>
      </c>
      <c r="CL46" s="167">
        <v>2884.3954089561448</v>
      </c>
      <c r="CM46" s="167">
        <v>3027.4085368135284</v>
      </c>
      <c r="CN46" s="167">
        <v>3185.8197193673759</v>
      </c>
      <c r="CO46" s="167">
        <v>3359.9710062720151</v>
      </c>
      <c r="CP46" s="167">
        <v>3548.7083768664229</v>
      </c>
      <c r="CQ46" s="167">
        <v>3752.4859358305007</v>
      </c>
      <c r="CR46" s="167">
        <v>3970.9426842495741</v>
      </c>
      <c r="CS46" s="167">
        <v>4000</v>
      </c>
      <c r="CT46" s="167">
        <v>4000</v>
      </c>
      <c r="CU46" s="167">
        <v>4000</v>
      </c>
      <c r="CV46" s="167">
        <v>4000</v>
      </c>
      <c r="CW46" s="167">
        <v>4000</v>
      </c>
      <c r="CX46" s="167">
        <v>4000</v>
      </c>
      <c r="CY46" s="167">
        <v>4000</v>
      </c>
      <c r="CZ46" s="167">
        <v>4000</v>
      </c>
      <c r="DA46" s="167">
        <v>4000</v>
      </c>
      <c r="DB46" s="167">
        <v>4000</v>
      </c>
      <c r="DC46" s="167">
        <v>4000</v>
      </c>
      <c r="DD46" s="167">
        <v>4000</v>
      </c>
      <c r="DE46" s="167">
        <v>4000</v>
      </c>
      <c r="DF46" s="167">
        <v>4000</v>
      </c>
      <c r="DG46" s="167">
        <v>4000</v>
      </c>
      <c r="DH46" s="167">
        <v>4000</v>
      </c>
      <c r="DI46" s="167">
        <v>4000</v>
      </c>
      <c r="DJ46" s="167">
        <v>4000</v>
      </c>
      <c r="DK46" s="167">
        <v>4000</v>
      </c>
      <c r="DL46" s="167">
        <v>4000</v>
      </c>
      <c r="DM46" s="167">
        <v>4000</v>
      </c>
      <c r="DN46" s="167">
        <v>4000</v>
      </c>
      <c r="DO46" s="167">
        <v>4000</v>
      </c>
      <c r="DP46" s="167">
        <v>4000</v>
      </c>
      <c r="DQ46" s="167">
        <v>4000</v>
      </c>
      <c r="DR46" s="167">
        <v>4000</v>
      </c>
      <c r="DS46" s="167">
        <v>4000</v>
      </c>
      <c r="DT46" s="167">
        <v>4000</v>
      </c>
      <c r="DU46" s="167">
        <v>4000</v>
      </c>
      <c r="DV46" s="167">
        <v>4000</v>
      </c>
      <c r="DW46" s="167">
        <v>4000</v>
      </c>
      <c r="DX46" s="167">
        <v>4000</v>
      </c>
      <c r="DY46" s="167">
        <v>4000</v>
      </c>
      <c r="DZ46" s="167">
        <v>4000</v>
      </c>
      <c r="EA46" s="167">
        <v>4000</v>
      </c>
      <c r="EB46" s="167">
        <v>4000</v>
      </c>
      <c r="EC46" s="167">
        <v>4000</v>
      </c>
      <c r="ED46" s="167">
        <v>4000</v>
      </c>
      <c r="EE46" s="167">
        <v>4000</v>
      </c>
      <c r="EF46" s="167">
        <v>4000</v>
      </c>
      <c r="EG46" s="167">
        <v>4000</v>
      </c>
      <c r="EH46" s="167">
        <v>4000</v>
      </c>
      <c r="EI46" s="167">
        <v>4000</v>
      </c>
      <c r="EJ46" s="167">
        <v>4000</v>
      </c>
      <c r="EK46" s="167">
        <v>4000</v>
      </c>
      <c r="EL46" s="167">
        <v>4000</v>
      </c>
      <c r="EM46" s="167">
        <v>4000</v>
      </c>
      <c r="EN46" s="167">
        <v>4000</v>
      </c>
      <c r="EO46" s="167">
        <v>4000</v>
      </c>
      <c r="EP46" t="str">
        <f t="shared" si="0"/>
        <v>1y 16d</v>
      </c>
      <c r="ES46" s="277"/>
      <c r="ET46" s="277"/>
      <c r="EU46" s="277"/>
      <c r="EV46" s="277"/>
      <c r="EW46" s="277"/>
      <c r="EX46" s="277"/>
    </row>
    <row r="47" spans="2:154" ht="15" customHeight="1" x14ac:dyDescent="0.25">
      <c r="B47" s="9">
        <v>44</v>
      </c>
      <c r="D47">
        <v>3957524.1768034357</v>
      </c>
      <c r="E47" s="12">
        <v>12296265461.064793</v>
      </c>
      <c r="F47" s="12">
        <v>-5810121401.4634132</v>
      </c>
      <c r="G47" s="12">
        <v>0</v>
      </c>
      <c r="H47" s="12">
        <v>7562054.8931569317</v>
      </c>
      <c r="I47" s="12">
        <v>-6829094209.2732048</v>
      </c>
      <c r="J47" s="12">
        <v>18543446520.555298</v>
      </c>
      <c r="K47" s="12">
        <v>-8837875.3042397201</v>
      </c>
      <c r="L47" s="12">
        <v>1905976.6388602974</v>
      </c>
      <c r="M47" s="12">
        <v>1468621717.7053781</v>
      </c>
      <c r="N47" s="12">
        <v>15172979160.942324</v>
      </c>
      <c r="O47" s="12"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S47" s="6">
        <v>9734226.2796036918</v>
      </c>
      <c r="AT47" s="167">
        <v>4000</v>
      </c>
      <c r="AU47" s="167">
        <v>4000</v>
      </c>
      <c r="AV47" s="167">
        <v>4000</v>
      </c>
      <c r="AW47" s="167">
        <v>4000</v>
      </c>
      <c r="AX47" s="167">
        <v>4000</v>
      </c>
      <c r="AY47" s="167">
        <v>4000</v>
      </c>
      <c r="AZ47" s="167">
        <v>4000</v>
      </c>
      <c r="BA47" s="167">
        <v>4000</v>
      </c>
      <c r="BB47" s="167">
        <v>4000</v>
      </c>
      <c r="BC47" s="167">
        <v>4000</v>
      </c>
      <c r="BD47" s="167">
        <v>4000</v>
      </c>
      <c r="BE47" s="167">
        <v>4000</v>
      </c>
      <c r="BF47" s="167">
        <v>4000</v>
      </c>
      <c r="BG47" s="167">
        <v>4000</v>
      </c>
      <c r="BH47" s="167">
        <v>4000</v>
      </c>
      <c r="BI47" s="167">
        <v>4000</v>
      </c>
      <c r="BJ47" s="167">
        <v>3926.8143065906188</v>
      </c>
      <c r="BK47" s="167">
        <v>3755.9438703090536</v>
      </c>
      <c r="BL47" s="167">
        <v>3597.1312819910709</v>
      </c>
      <c r="BM47" s="167">
        <v>3449.2617324871253</v>
      </c>
      <c r="BN47" s="167">
        <v>3311.4413978100902</v>
      </c>
      <c r="BO47" s="167">
        <v>3182.9675827059309</v>
      </c>
      <c r="BP47" s="167">
        <v>3063.3044600113499</v>
      </c>
      <c r="BQ47" s="167">
        <v>2952.0633697761655</v>
      </c>
      <c r="BR47" s="167">
        <v>2848.9868125728294</v>
      </c>
      <c r="BS47" s="167">
        <v>2753.9353976003067</v>
      </c>
      <c r="BT47" s="167">
        <v>2666.877095204467</v>
      </c>
      <c r="BU47" s="167">
        <v>2587.8782024487991</v>
      </c>
      <c r="BV47" s="167">
        <v>2517.0954671703244</v>
      </c>
      <c r="BW47" s="167">
        <v>2454.768839869088</v>
      </c>
      <c r="BX47" s="167">
        <v>2401.2143458791988</v>
      </c>
      <c r="BY47" s="167">
        <v>2356.8166083199731</v>
      </c>
      <c r="BZ47" s="167">
        <v>2322.0206228441684</v>
      </c>
      <c r="CA47" s="167">
        <v>2297.3224960276902</v>
      </c>
      <c r="CB47" s="167">
        <v>2283.2573940915258</v>
      </c>
      <c r="CC47" s="167">
        <v>2280.3940265912524</v>
      </c>
      <c r="CD47" s="167">
        <v>2289.3121625156577</v>
      </c>
      <c r="CE47" s="167">
        <v>2310.5937876389266</v>
      </c>
      <c r="CF47" s="167">
        <v>2344.8053958804521</v>
      </c>
      <c r="CG47" s="167">
        <v>2392.4814819181643</v>
      </c>
      <c r="CH47" s="167">
        <v>2454.1092573925371</v>
      </c>
      <c r="CI47" s="167">
        <v>2530.1160690854922</v>
      </c>
      <c r="CJ47" s="167">
        <v>2620.8617119703272</v>
      </c>
      <c r="CK47" s="167">
        <v>2726.645396018459</v>
      </c>
      <c r="CL47" s="167">
        <v>2847.7812851530125</v>
      </c>
      <c r="CM47" s="167">
        <v>2983.6955847018553</v>
      </c>
      <c r="CN47" s="167">
        <v>3135.177789568389</v>
      </c>
      <c r="CO47" s="167">
        <v>3301.8752385781272</v>
      </c>
      <c r="CP47" s="167">
        <v>3484.2615621241939</v>
      </c>
      <c r="CQ47" s="167">
        <v>3680.5662880898672</v>
      </c>
      <c r="CR47" s="167">
        <v>3891.5680266762065</v>
      </c>
      <c r="CS47" s="167">
        <v>4000</v>
      </c>
      <c r="CT47" s="167">
        <v>4000</v>
      </c>
      <c r="CU47" s="167">
        <v>4000</v>
      </c>
      <c r="CV47" s="167">
        <v>4000</v>
      </c>
      <c r="CW47" s="167">
        <v>4000</v>
      </c>
      <c r="CX47" s="167">
        <v>4000</v>
      </c>
      <c r="CY47" s="167">
        <v>4000</v>
      </c>
      <c r="CZ47" s="167">
        <v>4000</v>
      </c>
      <c r="DA47" s="167">
        <v>4000</v>
      </c>
      <c r="DB47" s="167">
        <v>4000</v>
      </c>
      <c r="DC47" s="167">
        <v>4000</v>
      </c>
      <c r="DD47" s="167">
        <v>4000</v>
      </c>
      <c r="DE47" s="167">
        <v>4000</v>
      </c>
      <c r="DF47" s="167">
        <v>4000</v>
      </c>
      <c r="DG47" s="167">
        <v>4000</v>
      </c>
      <c r="DH47" s="167">
        <v>4000</v>
      </c>
      <c r="DI47" s="167">
        <v>4000</v>
      </c>
      <c r="DJ47" s="167">
        <v>4000</v>
      </c>
      <c r="DK47" s="167">
        <v>4000</v>
      </c>
      <c r="DL47" s="167">
        <v>4000</v>
      </c>
      <c r="DM47" s="167">
        <v>4000</v>
      </c>
      <c r="DN47" s="167">
        <v>4000</v>
      </c>
      <c r="DO47" s="167">
        <v>4000</v>
      </c>
      <c r="DP47" s="167">
        <v>4000</v>
      </c>
      <c r="DQ47" s="167">
        <v>4000</v>
      </c>
      <c r="DR47" s="167">
        <v>4000</v>
      </c>
      <c r="DS47" s="167">
        <v>4000</v>
      </c>
      <c r="DT47" s="167">
        <v>4000</v>
      </c>
      <c r="DU47" s="167">
        <v>4000</v>
      </c>
      <c r="DV47" s="167">
        <v>4000</v>
      </c>
      <c r="DW47" s="167">
        <v>4000</v>
      </c>
      <c r="DX47" s="167">
        <v>4000</v>
      </c>
      <c r="DY47" s="167">
        <v>4000</v>
      </c>
      <c r="DZ47" s="167">
        <v>4000</v>
      </c>
      <c r="EA47" s="167">
        <v>4000</v>
      </c>
      <c r="EB47" s="167">
        <v>4000</v>
      </c>
      <c r="EC47" s="167">
        <v>4000</v>
      </c>
      <c r="ED47" s="167">
        <v>4000</v>
      </c>
      <c r="EE47" s="167">
        <v>4000</v>
      </c>
      <c r="EF47" s="167">
        <v>4000</v>
      </c>
      <c r="EG47" s="167">
        <v>4000</v>
      </c>
      <c r="EH47" s="167">
        <v>4000</v>
      </c>
      <c r="EI47" s="167">
        <v>4000</v>
      </c>
      <c r="EJ47" s="167">
        <v>4000</v>
      </c>
      <c r="EK47" s="167">
        <v>4000</v>
      </c>
      <c r="EL47" s="167">
        <v>4000</v>
      </c>
      <c r="EM47" s="167">
        <v>4000</v>
      </c>
      <c r="EN47" s="167">
        <v>4000</v>
      </c>
      <c r="EO47" s="167">
        <v>4000</v>
      </c>
      <c r="EP47" t="str">
        <f t="shared" si="0"/>
        <v>1y 25d</v>
      </c>
      <c r="ES47" s="277"/>
      <c r="ET47" s="277"/>
      <c r="EU47" s="277"/>
      <c r="EV47" s="277"/>
      <c r="EW47" s="277"/>
      <c r="EX47" s="277"/>
    </row>
    <row r="48" spans="2:154" ht="15" customHeight="1" x14ac:dyDescent="0.25">
      <c r="B48" s="9">
        <v>45</v>
      </c>
      <c r="D48">
        <v>4049559.6227756087</v>
      </c>
      <c r="E48" s="12">
        <v>12636822131.318316</v>
      </c>
      <c r="F48" s="12">
        <v>-5026567557.5030088</v>
      </c>
      <c r="G48" s="12">
        <v>0</v>
      </c>
      <c r="H48" s="12">
        <v>7719465.767341041</v>
      </c>
      <c r="I48" s="12">
        <v>-7970244271.2162924</v>
      </c>
      <c r="J48" s="12">
        <v>18056018396.143223</v>
      </c>
      <c r="K48" s="12">
        <v>-7636214.6497376477</v>
      </c>
      <c r="L48" s="12">
        <v>1957896.3659106665</v>
      </c>
      <c r="M48" s="12">
        <v>1008486666.9361219</v>
      </c>
      <c r="N48" s="12">
        <v>15291279637.56229</v>
      </c>
      <c r="O48" s="12"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G48" s="254" t="s">
        <v>67</v>
      </c>
      <c r="AH48" s="254"/>
      <c r="AI48" s="254"/>
      <c r="AS48" s="6">
        <v>9913095.0410277434</v>
      </c>
      <c r="AT48" s="167">
        <v>4000</v>
      </c>
      <c r="AU48" s="167">
        <v>4000</v>
      </c>
      <c r="AV48" s="167">
        <v>4000</v>
      </c>
      <c r="AW48" s="167">
        <v>4000</v>
      </c>
      <c r="AX48" s="167">
        <v>4000</v>
      </c>
      <c r="AY48" s="167">
        <v>4000</v>
      </c>
      <c r="AZ48" s="167">
        <v>4000</v>
      </c>
      <c r="BA48" s="167">
        <v>4000</v>
      </c>
      <c r="BB48" s="167">
        <v>4000</v>
      </c>
      <c r="BC48" s="167">
        <v>4000</v>
      </c>
      <c r="BD48" s="167">
        <v>4000</v>
      </c>
      <c r="BE48" s="167">
        <v>4000</v>
      </c>
      <c r="BF48" s="167">
        <v>4000</v>
      </c>
      <c r="BG48" s="167">
        <v>4000</v>
      </c>
      <c r="BH48" s="167">
        <v>4000</v>
      </c>
      <c r="BI48" s="167">
        <v>4000</v>
      </c>
      <c r="BJ48" s="167">
        <v>4000</v>
      </c>
      <c r="BK48" s="167">
        <v>3988.6582899650339</v>
      </c>
      <c r="BL48" s="167">
        <v>3808.1719241620094</v>
      </c>
      <c r="BM48" s="167">
        <v>3640.7530695138917</v>
      </c>
      <c r="BN48" s="167">
        <v>3485.2338419855278</v>
      </c>
      <c r="BO48" s="167">
        <v>3340.6782399220665</v>
      </c>
      <c r="BP48" s="167">
        <v>3206.3504143023742</v>
      </c>
      <c r="BQ48" s="167">
        <v>3081.6888987595794</v>
      </c>
      <c r="BR48" s="167">
        <v>2966.2856672434073</v>
      </c>
      <c r="BS48" s="167">
        <v>2859.8690685022975</v>
      </c>
      <c r="BT48" s="167">
        <v>2762.2898211300098</v>
      </c>
      <c r="BU48" s="167">
        <v>2673.5093489626215</v>
      </c>
      <c r="BV48" s="167">
        <v>2593.5898029387026</v>
      </c>
      <c r="BW48" s="167">
        <v>2522.6851620370635</v>
      </c>
      <c r="BX48" s="167">
        <v>2461.0328442775717</v>
      </c>
      <c r="BY48" s="167">
        <v>2408.9453030483128</v>
      </c>
      <c r="BZ48" s="167">
        <v>2366.8011493566073</v>
      </c>
      <c r="CA48" s="167">
        <v>2335.0338329265264</v>
      </c>
      <c r="CB48" s="167">
        <v>2314.1271410957297</v>
      </c>
      <c r="CC48" s="167">
        <v>2304.5938977474534</v>
      </c>
      <c r="CD48" s="167">
        <v>2306.9685987841567</v>
      </c>
      <c r="CE48" s="167">
        <v>2321.7910733692679</v>
      </c>
      <c r="CF48" s="167">
        <v>2349.5904353121628</v>
      </c>
      <c r="CG48" s="167">
        <v>2390.8687241338807</v>
      </c>
      <c r="CH48" s="167">
        <v>2446.0855730477551</v>
      </c>
      <c r="CI48" s="167">
        <v>2515.6452491263954</v>
      </c>
      <c r="CJ48" s="167">
        <v>2599.8876253250519</v>
      </c>
      <c r="CK48" s="167">
        <v>2699.0871098477774</v>
      </c>
      <c r="CL48" s="167">
        <v>2813.4794929539285</v>
      </c>
      <c r="CM48" s="167">
        <v>2943.4527123609523</v>
      </c>
      <c r="CN48" s="167">
        <v>3087.3073799053745</v>
      </c>
      <c r="CO48" s="167">
        <v>3247.0365757752088</v>
      </c>
      <c r="CP48" s="167">
        <v>3421.7173566771526</v>
      </c>
      <c r="CQ48" s="167">
        <v>3611.9507722347994</v>
      </c>
      <c r="CR48" s="167">
        <v>3815.3854936066618</v>
      </c>
      <c r="CS48" s="167">
        <v>4000</v>
      </c>
      <c r="CT48" s="167">
        <v>4000</v>
      </c>
      <c r="CU48" s="167">
        <v>4000</v>
      </c>
      <c r="CV48" s="167">
        <v>4000</v>
      </c>
      <c r="CW48" s="167">
        <v>4000</v>
      </c>
      <c r="CX48" s="167">
        <v>4000</v>
      </c>
      <c r="CY48" s="167">
        <v>4000</v>
      </c>
      <c r="CZ48" s="167">
        <v>4000</v>
      </c>
      <c r="DA48" s="167">
        <v>4000</v>
      </c>
      <c r="DB48" s="167">
        <v>4000</v>
      </c>
      <c r="DC48" s="167">
        <v>4000</v>
      </c>
      <c r="DD48" s="167">
        <v>4000</v>
      </c>
      <c r="DE48" s="167">
        <v>4000</v>
      </c>
      <c r="DF48" s="167">
        <v>4000</v>
      </c>
      <c r="DG48" s="167">
        <v>4000</v>
      </c>
      <c r="DH48" s="167">
        <v>4000</v>
      </c>
      <c r="DI48" s="167">
        <v>4000</v>
      </c>
      <c r="DJ48" s="167">
        <v>4000</v>
      </c>
      <c r="DK48" s="167">
        <v>4000</v>
      </c>
      <c r="DL48" s="167">
        <v>4000</v>
      </c>
      <c r="DM48" s="167">
        <v>4000</v>
      </c>
      <c r="DN48" s="167">
        <v>4000</v>
      </c>
      <c r="DO48" s="167">
        <v>4000</v>
      </c>
      <c r="DP48" s="167">
        <v>4000</v>
      </c>
      <c r="DQ48" s="167">
        <v>4000</v>
      </c>
      <c r="DR48" s="167">
        <v>4000</v>
      </c>
      <c r="DS48" s="167">
        <v>4000</v>
      </c>
      <c r="DT48" s="167">
        <v>4000</v>
      </c>
      <c r="DU48" s="167">
        <v>4000</v>
      </c>
      <c r="DV48" s="167">
        <v>4000</v>
      </c>
      <c r="DW48" s="167">
        <v>4000</v>
      </c>
      <c r="DX48" s="167">
        <v>4000</v>
      </c>
      <c r="DY48" s="167">
        <v>4000</v>
      </c>
      <c r="DZ48" s="167">
        <v>4000</v>
      </c>
      <c r="EA48" s="167">
        <v>4000</v>
      </c>
      <c r="EB48" s="167">
        <v>4000</v>
      </c>
      <c r="EC48" s="167">
        <v>4000</v>
      </c>
      <c r="ED48" s="167">
        <v>4000</v>
      </c>
      <c r="EE48" s="167">
        <v>4000</v>
      </c>
      <c r="EF48" s="167">
        <v>4000</v>
      </c>
      <c r="EG48" s="167">
        <v>4000</v>
      </c>
      <c r="EH48" s="167">
        <v>4000</v>
      </c>
      <c r="EI48" s="167">
        <v>4000</v>
      </c>
      <c r="EJ48" s="167">
        <v>4000</v>
      </c>
      <c r="EK48" s="167">
        <v>4000</v>
      </c>
      <c r="EL48" s="167">
        <v>4000</v>
      </c>
      <c r="EM48" s="167">
        <v>4000</v>
      </c>
      <c r="EN48" s="167">
        <v>4000</v>
      </c>
      <c r="EO48" s="167">
        <v>4000</v>
      </c>
      <c r="EP48" t="str">
        <f t="shared" si="0"/>
        <v>1y 33d</v>
      </c>
      <c r="ES48" s="277"/>
      <c r="ET48" s="277"/>
      <c r="EU48" s="277"/>
      <c r="EV48" s="277"/>
      <c r="EW48" s="277"/>
      <c r="EX48" s="277"/>
    </row>
    <row r="49" spans="2:154" ht="15" customHeight="1" x14ac:dyDescent="0.25">
      <c r="B49" s="9">
        <v>46</v>
      </c>
      <c r="D49">
        <v>4141595.0687477812</v>
      </c>
      <c r="E49" s="12">
        <v>12927507037.8344</v>
      </c>
      <c r="F49" s="12">
        <v>-4223176147.8134184</v>
      </c>
      <c r="G49" s="12">
        <v>0</v>
      </c>
      <c r="H49" s="12">
        <v>7876521.2757391427</v>
      </c>
      <c r="I49" s="12">
        <v>-9078818460.804306</v>
      </c>
      <c r="J49" s="12">
        <v>17501726439.807507</v>
      </c>
      <c r="K49" s="12">
        <v>-6408522.8249924313</v>
      </c>
      <c r="L49" s="12">
        <v>2010370.85439243</v>
      </c>
      <c r="M49" s="12">
        <v>542535727.52901328</v>
      </c>
      <c r="N49" s="12">
        <v>15397201984.131157</v>
      </c>
      <c r="O49" s="12"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G49" s="21" t="s">
        <v>22</v>
      </c>
      <c r="AH49" s="21" t="s">
        <v>23</v>
      </c>
      <c r="AI49" s="21" t="s">
        <v>26</v>
      </c>
      <c r="AS49" s="6">
        <v>10091963.802451795</v>
      </c>
      <c r="AT49" s="167">
        <v>4000</v>
      </c>
      <c r="AU49" s="167">
        <v>4000</v>
      </c>
      <c r="AV49" s="167">
        <v>4000</v>
      </c>
      <c r="AW49" s="167">
        <v>4000</v>
      </c>
      <c r="AX49" s="167">
        <v>4000</v>
      </c>
      <c r="AY49" s="167">
        <v>4000</v>
      </c>
      <c r="AZ49" s="167">
        <v>4000</v>
      </c>
      <c r="BA49" s="167">
        <v>4000</v>
      </c>
      <c r="BB49" s="167">
        <v>4000</v>
      </c>
      <c r="BC49" s="167">
        <v>4000</v>
      </c>
      <c r="BD49" s="167">
        <v>4000</v>
      </c>
      <c r="BE49" s="167">
        <v>4000</v>
      </c>
      <c r="BF49" s="167">
        <v>4000</v>
      </c>
      <c r="BG49" s="167">
        <v>4000</v>
      </c>
      <c r="BH49" s="167">
        <v>4000</v>
      </c>
      <c r="BI49" s="167">
        <v>4000</v>
      </c>
      <c r="BJ49" s="167">
        <v>4000</v>
      </c>
      <c r="BK49" s="167">
        <v>4000</v>
      </c>
      <c r="BL49" s="167">
        <v>4000</v>
      </c>
      <c r="BM49" s="167">
        <v>3850.4821851248998</v>
      </c>
      <c r="BN49" s="167">
        <v>3674.9468477204591</v>
      </c>
      <c r="BO49" s="167">
        <v>3512.317283874334</v>
      </c>
      <c r="BP49" s="167">
        <v>3361.6088798030964</v>
      </c>
      <c r="BQ49" s="167">
        <v>3222.0469325014756</v>
      </c>
      <c r="BR49" s="167">
        <v>3093.0392559794345</v>
      </c>
      <c r="BS49" s="167">
        <v>2974.1538757329695</v>
      </c>
      <c r="BT49" s="167">
        <v>2865.1007709267137</v>
      </c>
      <c r="BU49" s="167">
        <v>2765.7167677022644</v>
      </c>
      <c r="BV49" s="167">
        <v>2675.9527919976967</v>
      </c>
      <c r="BW49" s="167">
        <v>2595.8627669517359</v>
      </c>
      <c r="BX49" s="167">
        <v>2525.5935003862633</v>
      </c>
      <c r="BY49" s="167">
        <v>2465.3749655810038</v>
      </c>
      <c r="BZ49" s="167">
        <v>2415.5104477443974</v>
      </c>
      <c r="CA49" s="167">
        <v>2376.3643913385081</v>
      </c>
      <c r="CB49" s="167">
        <v>2348.3578667798915</v>
      </c>
      <c r="CC49" s="167">
        <v>2331.9461666200777</v>
      </c>
      <c r="CD49" s="167">
        <v>2327.6116350677594</v>
      </c>
      <c r="CE49" s="167">
        <v>2335.8470983736624</v>
      </c>
      <c r="CF49" s="167">
        <v>2357.1398289623758</v>
      </c>
      <c r="CG49" s="167">
        <v>2391.9551988386161</v>
      </c>
      <c r="CH49" s="167">
        <v>2440.7212013592898</v>
      </c>
      <c r="CI49" s="167">
        <v>2503.815043958698</v>
      </c>
      <c r="CJ49" s="167">
        <v>2581.552966400287</v>
      </c>
      <c r="CK49" s="167">
        <v>2674.1853454650313</v>
      </c>
      <c r="CL49" s="167">
        <v>2781.9053591752895</v>
      </c>
      <c r="CM49" s="167">
        <v>2904.8966142721147</v>
      </c>
      <c r="CN49" s="167">
        <v>3043.7143486189161</v>
      </c>
      <c r="CO49" s="167">
        <v>3195.0485080200206</v>
      </c>
      <c r="CP49" s="167">
        <v>3362.7184350311009</v>
      </c>
      <c r="CQ49" s="167">
        <v>3547.8069929552648</v>
      </c>
      <c r="CR49" s="167">
        <v>3742.6123239186477</v>
      </c>
      <c r="CS49" s="167">
        <v>3952.6787901901062</v>
      </c>
      <c r="CT49" s="167">
        <v>4000</v>
      </c>
      <c r="CU49" s="167">
        <v>4000</v>
      </c>
      <c r="CV49" s="167">
        <v>4000</v>
      </c>
      <c r="CW49" s="167">
        <v>4000</v>
      </c>
      <c r="CX49" s="167">
        <v>4000</v>
      </c>
      <c r="CY49" s="167">
        <v>4000</v>
      </c>
      <c r="CZ49" s="167">
        <v>4000</v>
      </c>
      <c r="DA49" s="167">
        <v>4000</v>
      </c>
      <c r="DB49" s="167">
        <v>4000</v>
      </c>
      <c r="DC49" s="167">
        <v>4000</v>
      </c>
      <c r="DD49" s="167">
        <v>4000</v>
      </c>
      <c r="DE49" s="167">
        <v>4000</v>
      </c>
      <c r="DF49" s="167">
        <v>4000</v>
      </c>
      <c r="DG49" s="167">
        <v>4000</v>
      </c>
      <c r="DH49" s="167">
        <v>4000</v>
      </c>
      <c r="DI49" s="167">
        <v>4000</v>
      </c>
      <c r="DJ49" s="167">
        <v>4000</v>
      </c>
      <c r="DK49" s="167">
        <v>4000</v>
      </c>
      <c r="DL49" s="167">
        <v>4000</v>
      </c>
      <c r="DM49" s="167">
        <v>4000</v>
      </c>
      <c r="DN49" s="167">
        <v>4000</v>
      </c>
      <c r="DO49" s="167">
        <v>4000</v>
      </c>
      <c r="DP49" s="167">
        <v>4000</v>
      </c>
      <c r="DQ49" s="167">
        <v>4000</v>
      </c>
      <c r="DR49" s="167">
        <v>4000</v>
      </c>
      <c r="DS49" s="167">
        <v>4000</v>
      </c>
      <c r="DT49" s="167">
        <v>4000</v>
      </c>
      <c r="DU49" s="167">
        <v>4000</v>
      </c>
      <c r="DV49" s="167">
        <v>4000</v>
      </c>
      <c r="DW49" s="167">
        <v>4000</v>
      </c>
      <c r="DX49" s="167">
        <v>4000</v>
      </c>
      <c r="DY49" s="167">
        <v>4000</v>
      </c>
      <c r="DZ49" s="167">
        <v>4000</v>
      </c>
      <c r="EA49" s="167">
        <v>4000</v>
      </c>
      <c r="EB49" s="167">
        <v>4000</v>
      </c>
      <c r="EC49" s="167">
        <v>4000</v>
      </c>
      <c r="ED49" s="167">
        <v>4000</v>
      </c>
      <c r="EE49" s="167">
        <v>4000</v>
      </c>
      <c r="EF49" s="167">
        <v>4000</v>
      </c>
      <c r="EG49" s="167">
        <v>4000</v>
      </c>
      <c r="EH49" s="167">
        <v>4000</v>
      </c>
      <c r="EI49" s="167">
        <v>4000</v>
      </c>
      <c r="EJ49" s="167">
        <v>4000</v>
      </c>
      <c r="EK49" s="167">
        <v>4000</v>
      </c>
      <c r="EL49" s="167">
        <v>4000</v>
      </c>
      <c r="EM49" s="167">
        <v>4000</v>
      </c>
      <c r="EN49" s="167">
        <v>4000</v>
      </c>
      <c r="EO49" s="167">
        <v>4000</v>
      </c>
      <c r="EP49" t="str">
        <f t="shared" si="0"/>
        <v>1y 41d</v>
      </c>
      <c r="ES49" s="277"/>
      <c r="ET49" s="277"/>
      <c r="EU49" s="277"/>
      <c r="EV49" s="277"/>
      <c r="EW49" s="277"/>
      <c r="EX49" s="277"/>
    </row>
    <row r="50" spans="2:154" ht="15" customHeight="1" x14ac:dyDescent="0.25">
      <c r="B50" s="9">
        <v>47</v>
      </c>
      <c r="D50">
        <v>4233630.5147199538</v>
      </c>
      <c r="E50" s="12">
        <v>13167172980.088331</v>
      </c>
      <c r="F50" s="12">
        <v>-3403117791.2540641</v>
      </c>
      <c r="G50" s="12">
        <v>0</v>
      </c>
      <c r="H50" s="12">
        <v>8033279.1701131789</v>
      </c>
      <c r="I50" s="12">
        <v>-10151148663.849613</v>
      </c>
      <c r="J50" s="12">
        <v>16882663405.874043</v>
      </c>
      <c r="K50" s="12">
        <v>-5159055.3001620919</v>
      </c>
      <c r="L50" s="12">
        <v>2063414.2338618448</v>
      </c>
      <c r="M50" s="12">
        <v>71047001.311425611</v>
      </c>
      <c r="N50" s="12">
        <v>15490461231.256943</v>
      </c>
      <c r="O50" s="12"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G50" s="20">
        <v>0</v>
      </c>
      <c r="AH50" s="20">
        <v>0</v>
      </c>
      <c r="AI50" s="20">
        <v>0</v>
      </c>
      <c r="AJ50">
        <v>8180928.888888889</v>
      </c>
      <c r="AS50" s="6">
        <v>10270832.563875847</v>
      </c>
      <c r="AT50" s="167">
        <v>4000</v>
      </c>
      <c r="AU50" s="167">
        <v>4000</v>
      </c>
      <c r="AV50" s="167">
        <v>4000</v>
      </c>
      <c r="AW50" s="167">
        <v>4000</v>
      </c>
      <c r="AX50" s="167">
        <v>4000</v>
      </c>
      <c r="AY50" s="167">
        <v>4000</v>
      </c>
      <c r="AZ50" s="167">
        <v>4000</v>
      </c>
      <c r="BA50" s="167">
        <v>4000</v>
      </c>
      <c r="BB50" s="167">
        <v>4000</v>
      </c>
      <c r="BC50" s="167">
        <v>4000</v>
      </c>
      <c r="BD50" s="167">
        <v>4000</v>
      </c>
      <c r="BE50" s="167">
        <v>4000</v>
      </c>
      <c r="BF50" s="167">
        <v>4000</v>
      </c>
      <c r="BG50" s="167">
        <v>4000</v>
      </c>
      <c r="BH50" s="167">
        <v>4000</v>
      </c>
      <c r="BI50" s="167">
        <v>4000</v>
      </c>
      <c r="BJ50" s="167">
        <v>4000</v>
      </c>
      <c r="BK50" s="167">
        <v>4000</v>
      </c>
      <c r="BL50" s="167">
        <v>4000</v>
      </c>
      <c r="BM50" s="167">
        <v>4000</v>
      </c>
      <c r="BN50" s="167">
        <v>3882.4571941054883</v>
      </c>
      <c r="BO50" s="167">
        <v>3699.4817514109941</v>
      </c>
      <c r="BP50" s="167">
        <v>3530.4450724797589</v>
      </c>
      <c r="BQ50" s="167">
        <v>3374.3098057158418</v>
      </c>
      <c r="BR50" s="167">
        <v>3230.2587309571472</v>
      </c>
      <c r="BS50" s="167">
        <v>3097.665641793531</v>
      </c>
      <c r="BT50" s="167">
        <v>2976.0715622376829</v>
      </c>
      <c r="BU50" s="167">
        <v>2865.1651650327904</v>
      </c>
      <c r="BV50" s="167">
        <v>2764.766413406473</v>
      </c>
      <c r="BW50" s="167">
        <v>2674.8125644104839</v>
      </c>
      <c r="BX50" s="167">
        <v>2595.3457626739955</v>
      </c>
      <c r="BY50" s="167">
        <v>2526.5015322578265</v>
      </c>
      <c r="BZ50" s="167">
        <v>2468.4958455141364</v>
      </c>
      <c r="CA50" s="167">
        <v>2421.6203656909674</v>
      </c>
      <c r="CB50" s="167">
        <v>2386.2205514573125</v>
      </c>
      <c r="CC50" s="167">
        <v>2362.6890503572231</v>
      </c>
      <c r="CD50" s="167">
        <v>2351.4500420805598</v>
      </c>
      <c r="CE50" s="167">
        <v>2352.9440000593122</v>
      </c>
      <c r="CF50" s="167">
        <v>2367.6115157378313</v>
      </c>
      <c r="CG50" s="167">
        <v>2395.876835496219</v>
      </c>
      <c r="CH50" s="167">
        <v>2438.1321596348189</v>
      </c>
      <c r="CI50" s="167">
        <v>2494.7237894699138</v>
      </c>
      <c r="CJ50" s="167">
        <v>2565.9410392397167</v>
      </c>
      <c r="CK50" s="167">
        <v>2652.0090859138236</v>
      </c>
      <c r="CL50" s="167">
        <v>2753.0886775249819</v>
      </c>
      <c r="CM50" s="167">
        <v>2869.2945680708981</v>
      </c>
      <c r="CN50" s="167">
        <v>3000.7787326256766</v>
      </c>
      <c r="CO50" s="167">
        <v>3148.3527643457514</v>
      </c>
      <c r="CP50" s="167">
        <v>3306.6431337931945</v>
      </c>
      <c r="CQ50" s="167">
        <v>3481.8677122638528</v>
      </c>
      <c r="CR50" s="167">
        <v>3674.5087759296139</v>
      </c>
      <c r="CS50" s="167">
        <v>3875.7476392284452</v>
      </c>
      <c r="CT50" s="167">
        <v>4000</v>
      </c>
      <c r="CU50" s="167">
        <v>4000</v>
      </c>
      <c r="CV50" s="167">
        <v>4000</v>
      </c>
      <c r="CW50" s="167">
        <v>4000</v>
      </c>
      <c r="CX50" s="167">
        <v>4000</v>
      </c>
      <c r="CY50" s="167">
        <v>4000</v>
      </c>
      <c r="CZ50" s="167">
        <v>4000</v>
      </c>
      <c r="DA50" s="167">
        <v>4000</v>
      </c>
      <c r="DB50" s="167">
        <v>4000</v>
      </c>
      <c r="DC50" s="167">
        <v>4000</v>
      </c>
      <c r="DD50" s="167">
        <v>4000</v>
      </c>
      <c r="DE50" s="167">
        <v>4000</v>
      </c>
      <c r="DF50" s="167">
        <v>4000</v>
      </c>
      <c r="DG50" s="167">
        <v>4000</v>
      </c>
      <c r="DH50" s="167">
        <v>4000</v>
      </c>
      <c r="DI50" s="167">
        <v>4000</v>
      </c>
      <c r="DJ50" s="167">
        <v>4000</v>
      </c>
      <c r="DK50" s="167">
        <v>4000</v>
      </c>
      <c r="DL50" s="167">
        <v>4000</v>
      </c>
      <c r="DM50" s="167">
        <v>4000</v>
      </c>
      <c r="DN50" s="167">
        <v>4000</v>
      </c>
      <c r="DO50" s="167">
        <v>4000</v>
      </c>
      <c r="DP50" s="167">
        <v>4000</v>
      </c>
      <c r="DQ50" s="167">
        <v>4000</v>
      </c>
      <c r="DR50" s="167">
        <v>4000</v>
      </c>
      <c r="DS50" s="167">
        <v>4000</v>
      </c>
      <c r="DT50" s="167">
        <v>4000</v>
      </c>
      <c r="DU50" s="167">
        <v>4000</v>
      </c>
      <c r="DV50" s="167">
        <v>4000</v>
      </c>
      <c r="DW50" s="167">
        <v>4000</v>
      </c>
      <c r="DX50" s="167">
        <v>4000</v>
      </c>
      <c r="DY50" s="167">
        <v>4000</v>
      </c>
      <c r="DZ50" s="167">
        <v>4000</v>
      </c>
      <c r="EA50" s="167">
        <v>4000</v>
      </c>
      <c r="EB50" s="167">
        <v>4000</v>
      </c>
      <c r="EC50" s="167">
        <v>4000</v>
      </c>
      <c r="ED50" s="167">
        <v>4000</v>
      </c>
      <c r="EE50" s="167">
        <v>4000</v>
      </c>
      <c r="EF50" s="167">
        <v>4000</v>
      </c>
      <c r="EG50" s="167">
        <v>4000</v>
      </c>
      <c r="EH50" s="167">
        <v>4000</v>
      </c>
      <c r="EI50" s="167">
        <v>4000</v>
      </c>
      <c r="EJ50" s="167">
        <v>4000</v>
      </c>
      <c r="EK50" s="167">
        <v>4000</v>
      </c>
      <c r="EL50" s="167">
        <v>4000</v>
      </c>
      <c r="EM50" s="167">
        <v>4000</v>
      </c>
      <c r="EN50" s="167">
        <v>4000</v>
      </c>
      <c r="EO50" s="167">
        <v>4000</v>
      </c>
      <c r="EP50" t="str">
        <f t="shared" si="0"/>
        <v>1y 49d</v>
      </c>
      <c r="ES50" s="277"/>
      <c r="ET50" s="277"/>
      <c r="EU50" s="277"/>
      <c r="EV50" s="277"/>
      <c r="EW50" s="277"/>
      <c r="EX50" s="277"/>
    </row>
    <row r="51" spans="2:154" x14ac:dyDescent="0.25">
      <c r="B51" s="9">
        <v>48</v>
      </c>
      <c r="D51">
        <v>4325665.9606921263</v>
      </c>
      <c r="E51" s="12">
        <v>13354874106.098984</v>
      </c>
      <c r="F51" s="12">
        <v>-2569628883.5092602</v>
      </c>
      <c r="G51" s="12">
        <v>0</v>
      </c>
      <c r="H51" s="12">
        <v>8189797.8856747877</v>
      </c>
      <c r="I51" s="12">
        <v>-11183692009.763231</v>
      </c>
      <c r="J51" s="12">
        <v>16201094248.728819</v>
      </c>
      <c r="K51" s="12">
        <v>-3892104.2364678178</v>
      </c>
      <c r="L51" s="12">
        <v>2117040.5351280915</v>
      </c>
      <c r="M51" s="12">
        <v>-405686855.7248866</v>
      </c>
      <c r="N51" s="12">
        <v>15570773641.160833</v>
      </c>
      <c r="O51" s="12"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S51" s="6">
        <v>10449701.325299898</v>
      </c>
      <c r="AT51" s="167">
        <v>4000</v>
      </c>
      <c r="AU51" s="167">
        <v>4000</v>
      </c>
      <c r="AV51" s="167">
        <v>4000</v>
      </c>
      <c r="AW51" s="167">
        <v>4000</v>
      </c>
      <c r="AX51" s="167">
        <v>4000</v>
      </c>
      <c r="AY51" s="167">
        <v>4000</v>
      </c>
      <c r="AZ51" s="167">
        <v>4000</v>
      </c>
      <c r="BA51" s="167">
        <v>4000</v>
      </c>
      <c r="BB51" s="167">
        <v>4000</v>
      </c>
      <c r="BC51" s="167">
        <v>4000</v>
      </c>
      <c r="BD51" s="167">
        <v>4000</v>
      </c>
      <c r="BE51" s="167">
        <v>4000</v>
      </c>
      <c r="BF51" s="167">
        <v>4000</v>
      </c>
      <c r="BG51" s="167">
        <v>4000</v>
      </c>
      <c r="BH51" s="167">
        <v>4000</v>
      </c>
      <c r="BI51" s="167">
        <v>4000</v>
      </c>
      <c r="BJ51" s="167">
        <v>4000</v>
      </c>
      <c r="BK51" s="167">
        <v>4000</v>
      </c>
      <c r="BL51" s="167">
        <v>4000</v>
      </c>
      <c r="BM51" s="167">
        <v>4000</v>
      </c>
      <c r="BN51" s="167">
        <v>4000</v>
      </c>
      <c r="BO51" s="167">
        <v>3904.0069672931368</v>
      </c>
      <c r="BP51" s="167">
        <v>3714.422238283928</v>
      </c>
      <c r="BQ51" s="167">
        <v>3539.8150127101044</v>
      </c>
      <c r="BR51" s="167">
        <v>3379.0934911844888</v>
      </c>
      <c r="BS51" s="167">
        <v>3231.3963391434327</v>
      </c>
      <c r="BT51" s="167">
        <v>3096.0617717928044</v>
      </c>
      <c r="BU51" s="167">
        <v>2972.602196429697</v>
      </c>
      <c r="BV51" s="167">
        <v>2860.6831872997627</v>
      </c>
      <c r="BW51" s="167">
        <v>2760.1057348946297</v>
      </c>
      <c r="BX51" s="167">
        <v>2670.7908422463106</v>
      </c>
      <c r="BY51" s="167">
        <v>2592.7656495102246</v>
      </c>
      <c r="BZ51" s="167">
        <v>2526.1485402014573</v>
      </c>
      <c r="CA51" s="167">
        <v>2471.1434355996289</v>
      </c>
      <c r="CB51" s="167">
        <v>2428.0161488839258</v>
      </c>
      <c r="CC51" s="167">
        <v>2397.0874135778377</v>
      </c>
      <c r="CD51" s="167">
        <v>2378.7165210817302</v>
      </c>
      <c r="CE51" s="167">
        <v>2373.2856573792692</v>
      </c>
      <c r="CF51" s="167">
        <v>2381.1834334532514</v>
      </c>
      <c r="CG51" s="167">
        <v>2402.7881743374855</v>
      </c>
      <c r="CH51" s="167">
        <v>2438.4519123795885</v>
      </c>
      <c r="CI51" s="167">
        <v>2488.4860842072076</v>
      </c>
      <c r="CJ51" s="167">
        <v>2553.1497069734578</v>
      </c>
      <c r="CK51" s="167">
        <v>2632.6407782368233</v>
      </c>
      <c r="CL51" s="167">
        <v>2727.0923057859272</v>
      </c>
      <c r="CM51" s="167">
        <v>2836.5783643750692</v>
      </c>
      <c r="CN51" s="167">
        <v>2961.136014752984</v>
      </c>
      <c r="CO51" s="167">
        <v>3100.9042138783452</v>
      </c>
      <c r="CP51" s="167">
        <v>3257.0286081125905</v>
      </c>
      <c r="CQ51" s="167">
        <v>3421.7259656681035</v>
      </c>
      <c r="CR51" s="167">
        <v>3604.0446743470384</v>
      </c>
      <c r="CS51" s="167">
        <v>3803.6563365719508</v>
      </c>
      <c r="CT51" s="167">
        <v>4000</v>
      </c>
      <c r="CU51" s="167">
        <v>4000</v>
      </c>
      <c r="CV51" s="167">
        <v>4000</v>
      </c>
      <c r="CW51" s="167">
        <v>4000</v>
      </c>
      <c r="CX51" s="167">
        <v>4000</v>
      </c>
      <c r="CY51" s="167">
        <v>4000</v>
      </c>
      <c r="CZ51" s="167">
        <v>4000</v>
      </c>
      <c r="DA51" s="167">
        <v>4000</v>
      </c>
      <c r="DB51" s="167">
        <v>4000</v>
      </c>
      <c r="DC51" s="167">
        <v>4000</v>
      </c>
      <c r="DD51" s="167">
        <v>4000</v>
      </c>
      <c r="DE51" s="167">
        <v>4000</v>
      </c>
      <c r="DF51" s="167">
        <v>4000</v>
      </c>
      <c r="DG51" s="167">
        <v>4000</v>
      </c>
      <c r="DH51" s="167">
        <v>4000</v>
      </c>
      <c r="DI51" s="167">
        <v>4000</v>
      </c>
      <c r="DJ51" s="167">
        <v>4000</v>
      </c>
      <c r="DK51" s="167">
        <v>4000</v>
      </c>
      <c r="DL51" s="167">
        <v>4000</v>
      </c>
      <c r="DM51" s="167">
        <v>4000</v>
      </c>
      <c r="DN51" s="167">
        <v>4000</v>
      </c>
      <c r="DO51" s="167">
        <v>4000</v>
      </c>
      <c r="DP51" s="167">
        <v>4000</v>
      </c>
      <c r="DQ51" s="167">
        <v>4000</v>
      </c>
      <c r="DR51" s="167">
        <v>4000</v>
      </c>
      <c r="DS51" s="167">
        <v>4000</v>
      </c>
      <c r="DT51" s="167">
        <v>4000</v>
      </c>
      <c r="DU51" s="167">
        <v>4000</v>
      </c>
      <c r="DV51" s="167">
        <v>4000</v>
      </c>
      <c r="DW51" s="167">
        <v>4000</v>
      </c>
      <c r="DX51" s="167">
        <v>4000</v>
      </c>
      <c r="DY51" s="167">
        <v>4000</v>
      </c>
      <c r="DZ51" s="167">
        <v>4000</v>
      </c>
      <c r="EA51" s="167">
        <v>4000</v>
      </c>
      <c r="EB51" s="167">
        <v>4000</v>
      </c>
      <c r="EC51" s="167">
        <v>4000</v>
      </c>
      <c r="ED51" s="167">
        <v>4000</v>
      </c>
      <c r="EE51" s="167">
        <v>4000</v>
      </c>
      <c r="EF51" s="167">
        <v>4000</v>
      </c>
      <c r="EG51" s="167">
        <v>4000</v>
      </c>
      <c r="EH51" s="167">
        <v>4000</v>
      </c>
      <c r="EI51" s="167">
        <v>4000</v>
      </c>
      <c r="EJ51" s="167">
        <v>4000</v>
      </c>
      <c r="EK51" s="167">
        <v>4000</v>
      </c>
      <c r="EL51" s="167">
        <v>4000</v>
      </c>
      <c r="EM51" s="167">
        <v>4000</v>
      </c>
      <c r="EN51" s="167">
        <v>4000</v>
      </c>
      <c r="EO51" s="167">
        <v>4000</v>
      </c>
      <c r="EP51" t="str">
        <f t="shared" si="0"/>
        <v>1y 58d</v>
      </c>
      <c r="ES51" s="277"/>
      <c r="ET51" s="277"/>
      <c r="EU51" s="277"/>
      <c r="EV51" s="277"/>
      <c r="EW51" s="277"/>
      <c r="EX51" s="277"/>
    </row>
    <row r="52" spans="2:154" x14ac:dyDescent="0.25">
      <c r="B52" s="9">
        <v>49</v>
      </c>
      <c r="D52">
        <v>4417701.4066642988</v>
      </c>
      <c r="E52" s="12">
        <v>13489869645.274481</v>
      </c>
      <c r="F52" s="12">
        <v>-1725998824.5130143</v>
      </c>
      <c r="G52" s="12">
        <v>0</v>
      </c>
      <c r="H52" s="12">
        <v>8346136.4008710654</v>
      </c>
      <c r="I52" s="12">
        <v>-12173035343.798763</v>
      </c>
      <c r="J52" s="12">
        <v>15459450018.105423</v>
      </c>
      <c r="K52" s="12">
        <v>-2611990.6439107163</v>
      </c>
      <c r="L52" s="12">
        <v>2171263.6679054708</v>
      </c>
      <c r="M52" s="12">
        <v>-887358147.39318919</v>
      </c>
      <c r="N52" s="12">
        <v>15637857340.453564</v>
      </c>
      <c r="O52" s="12"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G52" s="254" t="s">
        <v>68</v>
      </c>
      <c r="AH52" s="254"/>
      <c r="AI52" s="254"/>
      <c r="AS52" s="6">
        <v>10628570.08672395</v>
      </c>
      <c r="AT52" s="167">
        <v>4000</v>
      </c>
      <c r="AU52" s="167">
        <v>4000</v>
      </c>
      <c r="AV52" s="167">
        <v>4000</v>
      </c>
      <c r="AW52" s="167">
        <v>4000</v>
      </c>
      <c r="AX52" s="167">
        <v>4000</v>
      </c>
      <c r="AY52" s="167">
        <v>4000</v>
      </c>
      <c r="AZ52" s="167">
        <v>4000</v>
      </c>
      <c r="BA52" s="167">
        <v>4000</v>
      </c>
      <c r="BB52" s="167">
        <v>4000</v>
      </c>
      <c r="BC52" s="167">
        <v>4000</v>
      </c>
      <c r="BD52" s="167">
        <v>4000</v>
      </c>
      <c r="BE52" s="167">
        <v>4000</v>
      </c>
      <c r="BF52" s="167">
        <v>4000</v>
      </c>
      <c r="BG52" s="167">
        <v>4000</v>
      </c>
      <c r="BH52" s="167">
        <v>4000</v>
      </c>
      <c r="BI52" s="167">
        <v>4000</v>
      </c>
      <c r="BJ52" s="167">
        <v>4000</v>
      </c>
      <c r="BK52" s="167">
        <v>4000</v>
      </c>
      <c r="BL52" s="167">
        <v>4000</v>
      </c>
      <c r="BM52" s="167">
        <v>4000</v>
      </c>
      <c r="BN52" s="167">
        <v>4000</v>
      </c>
      <c r="BO52" s="167">
        <v>4000</v>
      </c>
      <c r="BP52" s="167">
        <v>3915.3328942286498</v>
      </c>
      <c r="BQ52" s="167">
        <v>3720.0910223581886</v>
      </c>
      <c r="BR52" s="167">
        <v>3540.8525985119991</v>
      </c>
      <c r="BS52" s="167">
        <v>3376.471938398673</v>
      </c>
      <c r="BT52" s="167">
        <v>3226.0438834217593</v>
      </c>
      <c r="BU52" s="167">
        <v>3088.8710481410126</v>
      </c>
      <c r="BV52" s="167">
        <v>2964.4368159976725</v>
      </c>
      <c r="BW52" s="167">
        <v>2852.3827696644021</v>
      </c>
      <c r="BX52" s="167">
        <v>2752.4894234520489</v>
      </c>
      <c r="BY52" s="167">
        <v>2664.6574932515882</v>
      </c>
      <c r="BZ52" s="167">
        <v>2588.899360796875</v>
      </c>
      <c r="CA52" s="167">
        <v>2525.3141593879745</v>
      </c>
      <c r="CB52" s="167">
        <v>2474.0797839859752</v>
      </c>
      <c r="CC52" s="167">
        <v>2435.4363676949383</v>
      </c>
      <c r="CD52" s="167">
        <v>2409.6707564831686</v>
      </c>
      <c r="CE52" s="167">
        <v>2397.1002280278444</v>
      </c>
      <c r="CF52" s="167">
        <v>2398.0555597840439</v>
      </c>
      <c r="CG52" s="167">
        <v>2412.8639272446608</v>
      </c>
      <c r="CH52" s="167">
        <v>2441.8324898866449</v>
      </c>
      <c r="CI52" s="167">
        <v>2485.2336037026589</v>
      </c>
      <c r="CJ52" s="167">
        <v>2543.2923520606719</v>
      </c>
      <c r="CK52" s="167">
        <v>2616.1769089118161</v>
      </c>
      <c r="CL52" s="167">
        <v>2703.9924933798438</v>
      </c>
      <c r="CM52" s="167">
        <v>2806.7806237135892</v>
      </c>
      <c r="CN52" s="167">
        <v>2924.5299311624522</v>
      </c>
      <c r="CO52" s="167">
        <v>3057.2096388752725</v>
      </c>
      <c r="CP52" s="167">
        <v>3204.9500198953319</v>
      </c>
      <c r="CQ52" s="167">
        <v>3369.2711023513452</v>
      </c>
      <c r="CR52" s="167">
        <v>3539.8476277453365</v>
      </c>
      <c r="CS52" s="167">
        <v>3728.7315963976525</v>
      </c>
      <c r="CT52" s="167">
        <v>3934.6917832761683</v>
      </c>
      <c r="CU52" s="167">
        <v>4000</v>
      </c>
      <c r="CV52" s="167">
        <v>4000</v>
      </c>
      <c r="CW52" s="167">
        <v>4000</v>
      </c>
      <c r="CX52" s="167">
        <v>4000</v>
      </c>
      <c r="CY52" s="167">
        <v>4000</v>
      </c>
      <c r="CZ52" s="167">
        <v>4000</v>
      </c>
      <c r="DA52" s="167">
        <v>4000</v>
      </c>
      <c r="DB52" s="167">
        <v>4000</v>
      </c>
      <c r="DC52" s="167">
        <v>4000</v>
      </c>
      <c r="DD52" s="167">
        <v>4000</v>
      </c>
      <c r="DE52" s="167">
        <v>4000</v>
      </c>
      <c r="DF52" s="167">
        <v>4000</v>
      </c>
      <c r="DG52" s="167">
        <v>4000</v>
      </c>
      <c r="DH52" s="167">
        <v>4000</v>
      </c>
      <c r="DI52" s="167">
        <v>4000</v>
      </c>
      <c r="DJ52" s="167">
        <v>4000</v>
      </c>
      <c r="DK52" s="167">
        <v>4000</v>
      </c>
      <c r="DL52" s="167">
        <v>4000</v>
      </c>
      <c r="DM52" s="167">
        <v>4000</v>
      </c>
      <c r="DN52" s="167">
        <v>4000</v>
      </c>
      <c r="DO52" s="167">
        <v>4000</v>
      </c>
      <c r="DP52" s="167">
        <v>4000</v>
      </c>
      <c r="DQ52" s="167">
        <v>4000</v>
      </c>
      <c r="DR52" s="167">
        <v>4000</v>
      </c>
      <c r="DS52" s="167">
        <v>4000</v>
      </c>
      <c r="DT52" s="167">
        <v>4000</v>
      </c>
      <c r="DU52" s="167">
        <v>4000</v>
      </c>
      <c r="DV52" s="167">
        <v>4000</v>
      </c>
      <c r="DW52" s="167">
        <v>4000</v>
      </c>
      <c r="DX52" s="167">
        <v>4000</v>
      </c>
      <c r="DY52" s="167">
        <v>4000</v>
      </c>
      <c r="DZ52" s="167">
        <v>4000</v>
      </c>
      <c r="EA52" s="167">
        <v>4000</v>
      </c>
      <c r="EB52" s="167">
        <v>4000</v>
      </c>
      <c r="EC52" s="167">
        <v>4000</v>
      </c>
      <c r="ED52" s="167">
        <v>4000</v>
      </c>
      <c r="EE52" s="167">
        <v>4000</v>
      </c>
      <c r="EF52" s="167">
        <v>4000</v>
      </c>
      <c r="EG52" s="167">
        <v>4000</v>
      </c>
      <c r="EH52" s="167">
        <v>4000</v>
      </c>
      <c r="EI52" s="167">
        <v>4000</v>
      </c>
      <c r="EJ52" s="167">
        <v>4000</v>
      </c>
      <c r="EK52" s="167">
        <v>4000</v>
      </c>
      <c r="EL52" s="167">
        <v>4000</v>
      </c>
      <c r="EM52" s="167">
        <v>4000</v>
      </c>
      <c r="EN52" s="167">
        <v>4000</v>
      </c>
      <c r="EO52" s="167">
        <v>4000</v>
      </c>
      <c r="EP52" t="str">
        <f t="shared" si="0"/>
        <v>1y 66d</v>
      </c>
      <c r="ES52" s="277"/>
      <c r="ET52" s="277"/>
      <c r="EU52" s="277"/>
      <c r="EV52" s="277"/>
      <c r="EW52" s="277"/>
      <c r="EX52" s="277"/>
    </row>
    <row r="53" spans="2:154" x14ac:dyDescent="0.25">
      <c r="B53" s="9">
        <v>50</v>
      </c>
      <c r="D53">
        <v>4509736.8526364714</v>
      </c>
      <c r="E53" s="12">
        <v>13571626831.895294</v>
      </c>
      <c r="F53" s="12">
        <v>-875557036.69027209</v>
      </c>
      <c r="G53" s="12">
        <v>0</v>
      </c>
      <c r="H53" s="12">
        <v>8502354.0998901799</v>
      </c>
      <c r="I53" s="12">
        <v>-13115899597.023386</v>
      </c>
      <c r="J53" s="12">
        <v>14660322127.524059</v>
      </c>
      <c r="K53" s="12">
        <v>-1323056.8927681819</v>
      </c>
      <c r="L53" s="12">
        <v>2226097.3967995862</v>
      </c>
      <c r="M53" s="12">
        <v>-1373643667.7631311</v>
      </c>
      <c r="N53" s="12">
        <v>15691433002.417166</v>
      </c>
      <c r="O53" s="12"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G53" s="21" t="s">
        <v>22</v>
      </c>
      <c r="AH53" s="21" t="s">
        <v>23</v>
      </c>
      <c r="AI53" s="21" t="s">
        <v>26</v>
      </c>
      <c r="AS53" s="6">
        <v>10807438.848148001</v>
      </c>
      <c r="AT53" s="167">
        <v>4000</v>
      </c>
      <c r="AU53" s="167">
        <v>4000</v>
      </c>
      <c r="AV53" s="167">
        <v>4000</v>
      </c>
      <c r="AW53" s="167">
        <v>4000</v>
      </c>
      <c r="AX53" s="167">
        <v>4000</v>
      </c>
      <c r="AY53" s="167">
        <v>4000</v>
      </c>
      <c r="AZ53" s="167">
        <v>4000</v>
      </c>
      <c r="BA53" s="167">
        <v>4000</v>
      </c>
      <c r="BB53" s="167">
        <v>4000</v>
      </c>
      <c r="BC53" s="167">
        <v>4000</v>
      </c>
      <c r="BD53" s="167">
        <v>4000</v>
      </c>
      <c r="BE53" s="167">
        <v>4000</v>
      </c>
      <c r="BF53" s="167">
        <v>4000</v>
      </c>
      <c r="BG53" s="167">
        <v>4000</v>
      </c>
      <c r="BH53" s="167">
        <v>4000</v>
      </c>
      <c r="BI53" s="167">
        <v>4000</v>
      </c>
      <c r="BJ53" s="167">
        <v>4000</v>
      </c>
      <c r="BK53" s="167">
        <v>4000</v>
      </c>
      <c r="BL53" s="167">
        <v>4000</v>
      </c>
      <c r="BM53" s="167">
        <v>4000</v>
      </c>
      <c r="BN53" s="167">
        <v>4000</v>
      </c>
      <c r="BO53" s="167">
        <v>4000</v>
      </c>
      <c r="BP53" s="167">
        <v>4000</v>
      </c>
      <c r="BQ53" s="167">
        <v>3916.8884733431614</v>
      </c>
      <c r="BR53" s="167">
        <v>3717.0306533283515</v>
      </c>
      <c r="BS53" s="167">
        <v>3534.1739482868875</v>
      </c>
      <c r="BT53" s="167">
        <v>3367.1212941806543</v>
      </c>
      <c r="BU53" s="167">
        <v>3214.9255577597905</v>
      </c>
      <c r="BV53" s="167">
        <v>3076.8549405921531</v>
      </c>
      <c r="BW53" s="167">
        <v>2952.3642821277544</v>
      </c>
      <c r="BX53" s="167">
        <v>2841.0708665402826</v>
      </c>
      <c r="BY53" s="167">
        <v>2742.7316418392038</v>
      </c>
      <c r="BZ53" s="167">
        <v>2657.2320048943811</v>
      </c>
      <c r="CA53" s="167">
        <v>2584.5577871426858</v>
      </c>
      <c r="CB53" s="167">
        <v>2524.7857762279891</v>
      </c>
      <c r="CC53" s="167">
        <v>2478.0656198525321</v>
      </c>
      <c r="CD53" s="167">
        <v>2444.6031776497839</v>
      </c>
      <c r="CE53" s="167">
        <v>2424.643388797137</v>
      </c>
      <c r="CF53" s="167">
        <v>2418.4526840502667</v>
      </c>
      <c r="CG53" s="167">
        <v>2426.3013315251519</v>
      </c>
      <c r="CH53" s="167">
        <v>2448.4464893022073</v>
      </c>
      <c r="CI53" s="167">
        <v>2485.116862108116</v>
      </c>
      <c r="CJ53" s="167">
        <v>2536.4996105475748</v>
      </c>
      <c r="CK53" s="167">
        <v>2602.7298865591956</v>
      </c>
      <c r="CL53" s="167">
        <v>2683.8834308041364</v>
      </c>
      <c r="CM53" s="167">
        <v>2779.9730873319722</v>
      </c>
      <c r="CN53" s="167">
        <v>2890.9526484505018</v>
      </c>
      <c r="CO53" s="167">
        <v>3016.7246101557012</v>
      </c>
      <c r="CP53" s="167">
        <v>3157.199109783216</v>
      </c>
      <c r="CQ53" s="167">
        <v>3312.4971424132837</v>
      </c>
      <c r="CR53" s="167">
        <v>3484.4841653081935</v>
      </c>
      <c r="CS53" s="167">
        <v>3660.4809940411824</v>
      </c>
      <c r="CT53" s="167">
        <v>3855.339579030594</v>
      </c>
      <c r="CU53" s="167">
        <v>4000</v>
      </c>
      <c r="CV53" s="167">
        <v>4000</v>
      </c>
      <c r="CW53" s="167">
        <v>4000</v>
      </c>
      <c r="CX53" s="167">
        <v>4000</v>
      </c>
      <c r="CY53" s="167">
        <v>4000</v>
      </c>
      <c r="CZ53" s="167">
        <v>4000</v>
      </c>
      <c r="DA53" s="167">
        <v>4000</v>
      </c>
      <c r="DB53" s="167">
        <v>4000</v>
      </c>
      <c r="DC53" s="167">
        <v>4000</v>
      </c>
      <c r="DD53" s="167">
        <v>4000</v>
      </c>
      <c r="DE53" s="167">
        <v>4000</v>
      </c>
      <c r="DF53" s="167">
        <v>4000</v>
      </c>
      <c r="DG53" s="167">
        <v>4000</v>
      </c>
      <c r="DH53" s="167">
        <v>4000</v>
      </c>
      <c r="DI53" s="167">
        <v>4000</v>
      </c>
      <c r="DJ53" s="167">
        <v>4000</v>
      </c>
      <c r="DK53" s="167">
        <v>4000</v>
      </c>
      <c r="DL53" s="167">
        <v>4000</v>
      </c>
      <c r="DM53" s="167">
        <v>4000</v>
      </c>
      <c r="DN53" s="167">
        <v>4000</v>
      </c>
      <c r="DO53" s="167">
        <v>4000</v>
      </c>
      <c r="DP53" s="167">
        <v>4000</v>
      </c>
      <c r="DQ53" s="167">
        <v>4000</v>
      </c>
      <c r="DR53" s="167">
        <v>4000</v>
      </c>
      <c r="DS53" s="167">
        <v>4000</v>
      </c>
      <c r="DT53" s="167">
        <v>4000</v>
      </c>
      <c r="DU53" s="167">
        <v>4000</v>
      </c>
      <c r="DV53" s="167">
        <v>4000</v>
      </c>
      <c r="DW53" s="167">
        <v>4000</v>
      </c>
      <c r="DX53" s="167">
        <v>4000</v>
      </c>
      <c r="DY53" s="167">
        <v>4000</v>
      </c>
      <c r="DZ53" s="167">
        <v>4000</v>
      </c>
      <c r="EA53" s="167">
        <v>4000</v>
      </c>
      <c r="EB53" s="167">
        <v>4000</v>
      </c>
      <c r="EC53" s="167">
        <v>4000</v>
      </c>
      <c r="ED53" s="167">
        <v>4000</v>
      </c>
      <c r="EE53" s="167">
        <v>4000</v>
      </c>
      <c r="EF53" s="167">
        <v>4000</v>
      </c>
      <c r="EG53" s="167">
        <v>4000</v>
      </c>
      <c r="EH53" s="167">
        <v>4000</v>
      </c>
      <c r="EI53" s="167">
        <v>4000</v>
      </c>
      <c r="EJ53" s="167">
        <v>4000</v>
      </c>
      <c r="EK53" s="167">
        <v>4000</v>
      </c>
      <c r="EL53" s="167">
        <v>4000</v>
      </c>
      <c r="EM53" s="167">
        <v>4000</v>
      </c>
      <c r="EN53" s="167">
        <v>4000</v>
      </c>
      <c r="EO53" s="167">
        <v>4000</v>
      </c>
      <c r="EP53" t="str">
        <f t="shared" si="0"/>
        <v>1y 74d</v>
      </c>
      <c r="ES53" s="277"/>
      <c r="ET53" s="277"/>
      <c r="EU53" s="277"/>
      <c r="EV53" s="277"/>
      <c r="EW53" s="277"/>
      <c r="EX53" s="277"/>
    </row>
    <row r="54" spans="2:154" x14ac:dyDescent="0.25">
      <c r="B54" s="9">
        <v>51</v>
      </c>
      <c r="D54">
        <v>4601772.2986086439</v>
      </c>
      <c r="E54" s="12">
        <v>13599823007.697136</v>
      </c>
      <c r="F54" s="12">
        <v>-21659825.247674342</v>
      </c>
      <c r="G54" s="12">
        <v>0</v>
      </c>
      <c r="H54" s="12">
        <v>8658510.6372498721</v>
      </c>
      <c r="I54" s="12">
        <v>-14009144138.299789</v>
      </c>
      <c r="J54" s="12">
        <v>13806456965.591459</v>
      </c>
      <c r="K54" s="12">
        <v>-29659.494381808956</v>
      </c>
      <c r="L54" s="12">
        <v>2281555.3155870251</v>
      </c>
      <c r="M54" s="12">
        <v>-1864204251.8053486</v>
      </c>
      <c r="N54" s="12">
        <v>15731224579.857191</v>
      </c>
      <c r="O54" s="12"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G54" s="20">
        <v>0</v>
      </c>
      <c r="AH54" s="20">
        <v>0</v>
      </c>
      <c r="AI54" s="20">
        <v>0</v>
      </c>
      <c r="AS54" s="6">
        <v>10986307.609572053</v>
      </c>
      <c r="AT54" s="167">
        <v>4000</v>
      </c>
      <c r="AU54" s="167">
        <v>4000</v>
      </c>
      <c r="AV54" s="167">
        <v>4000</v>
      </c>
      <c r="AW54" s="167">
        <v>4000</v>
      </c>
      <c r="AX54" s="167">
        <v>4000</v>
      </c>
      <c r="AY54" s="167">
        <v>4000</v>
      </c>
      <c r="AZ54" s="167">
        <v>4000</v>
      </c>
      <c r="BA54" s="167">
        <v>4000</v>
      </c>
      <c r="BB54" s="167">
        <v>4000</v>
      </c>
      <c r="BC54" s="167">
        <v>4000</v>
      </c>
      <c r="BD54" s="167">
        <v>4000</v>
      </c>
      <c r="BE54" s="167">
        <v>4000</v>
      </c>
      <c r="BF54" s="167">
        <v>4000</v>
      </c>
      <c r="BG54" s="167">
        <v>4000</v>
      </c>
      <c r="BH54" s="167">
        <v>4000</v>
      </c>
      <c r="BI54" s="167">
        <v>4000</v>
      </c>
      <c r="BJ54" s="167">
        <v>4000</v>
      </c>
      <c r="BK54" s="167">
        <v>4000</v>
      </c>
      <c r="BL54" s="167">
        <v>4000</v>
      </c>
      <c r="BM54" s="167">
        <v>4000</v>
      </c>
      <c r="BN54" s="167">
        <v>4000</v>
      </c>
      <c r="BO54" s="167">
        <v>4000</v>
      </c>
      <c r="BP54" s="167">
        <v>4000</v>
      </c>
      <c r="BQ54" s="167">
        <v>4000</v>
      </c>
      <c r="BR54" s="167">
        <v>3909.3389943687735</v>
      </c>
      <c r="BS54" s="167">
        <v>3705.9653757316737</v>
      </c>
      <c r="BT54" s="167">
        <v>3520.5499860159207</v>
      </c>
      <c r="BU54" s="167">
        <v>3351.8483773436219</v>
      </c>
      <c r="BV54" s="167">
        <v>3198.8744292320512</v>
      </c>
      <c r="BW54" s="167">
        <v>3060.8639337416325</v>
      </c>
      <c r="BX54" s="167">
        <v>2937.2423636607423</v>
      </c>
      <c r="BY54" s="167">
        <v>2827.606095197154</v>
      </c>
      <c r="BZ54" s="167">
        <v>2731.6894656735758</v>
      </c>
      <c r="CA54" s="167">
        <v>2649.3511612447182</v>
      </c>
      <c r="CB54" s="167">
        <v>2580.5536020423456</v>
      </c>
      <c r="CC54" s="167">
        <v>2525.3446454179966</v>
      </c>
      <c r="CD54" s="167">
        <v>2483.8394600974325</v>
      </c>
      <c r="CE54" s="167">
        <v>2456.2022596632987</v>
      </c>
      <c r="CF54" s="167">
        <v>2442.6278306072954</v>
      </c>
      <c r="CG54" s="167">
        <v>2443.3231393089332</v>
      </c>
      <c r="CH54" s="167">
        <v>2458.4896985727046</v>
      </c>
      <c r="CI54" s="167">
        <v>2488.3075575369444</v>
      </c>
      <c r="CJ54" s="167">
        <v>2532.9215547614076</v>
      </c>
      <c r="CK54" s="167">
        <v>2592.430119010915</v>
      </c>
      <c r="CL54" s="167">
        <v>2666.8768494362248</v>
      </c>
      <c r="CM54" s="167">
        <v>2756.245355378659</v>
      </c>
      <c r="CN54" s="167">
        <v>2860.4582465105159</v>
      </c>
      <c r="CO54" s="167">
        <v>2979.3835830442958</v>
      </c>
      <c r="CP54" s="167">
        <v>3112.8470792567568</v>
      </c>
      <c r="CQ54" s="167">
        <v>3260.69762765525</v>
      </c>
      <c r="CR54" s="167">
        <v>3423.0396525828955</v>
      </c>
      <c r="CS54" s="167">
        <v>3595.3731195334221</v>
      </c>
      <c r="CT54" s="167">
        <v>3783.0282664481183</v>
      </c>
      <c r="CU54" s="167">
        <v>3983.2159654717543</v>
      </c>
      <c r="CV54" s="167">
        <v>4000</v>
      </c>
      <c r="CW54" s="167">
        <v>4000</v>
      </c>
      <c r="CX54" s="167">
        <v>4000</v>
      </c>
      <c r="CY54" s="167">
        <v>4000</v>
      </c>
      <c r="CZ54" s="167">
        <v>4000</v>
      </c>
      <c r="DA54" s="167">
        <v>4000</v>
      </c>
      <c r="DB54" s="167">
        <v>4000</v>
      </c>
      <c r="DC54" s="167">
        <v>4000</v>
      </c>
      <c r="DD54" s="167">
        <v>4000</v>
      </c>
      <c r="DE54" s="167">
        <v>4000</v>
      </c>
      <c r="DF54" s="167">
        <v>4000</v>
      </c>
      <c r="DG54" s="167">
        <v>4000</v>
      </c>
      <c r="DH54" s="167">
        <v>4000</v>
      </c>
      <c r="DI54" s="167">
        <v>4000</v>
      </c>
      <c r="DJ54" s="167">
        <v>4000</v>
      </c>
      <c r="DK54" s="167">
        <v>4000</v>
      </c>
      <c r="DL54" s="167">
        <v>4000</v>
      </c>
      <c r="DM54" s="167">
        <v>4000</v>
      </c>
      <c r="DN54" s="167">
        <v>4000</v>
      </c>
      <c r="DO54" s="167">
        <v>4000</v>
      </c>
      <c r="DP54" s="167">
        <v>4000</v>
      </c>
      <c r="DQ54" s="167">
        <v>4000</v>
      </c>
      <c r="DR54" s="167">
        <v>4000</v>
      </c>
      <c r="DS54" s="167">
        <v>4000</v>
      </c>
      <c r="DT54" s="167">
        <v>4000</v>
      </c>
      <c r="DU54" s="167">
        <v>4000</v>
      </c>
      <c r="DV54" s="167">
        <v>4000</v>
      </c>
      <c r="DW54" s="167">
        <v>4000</v>
      </c>
      <c r="DX54" s="167">
        <v>4000</v>
      </c>
      <c r="DY54" s="167">
        <v>4000</v>
      </c>
      <c r="DZ54" s="167">
        <v>4000</v>
      </c>
      <c r="EA54" s="167">
        <v>4000</v>
      </c>
      <c r="EB54" s="167">
        <v>4000</v>
      </c>
      <c r="EC54" s="167">
        <v>4000</v>
      </c>
      <c r="ED54" s="167">
        <v>4000</v>
      </c>
      <c r="EE54" s="167">
        <v>4000</v>
      </c>
      <c r="EF54" s="167">
        <v>4000</v>
      </c>
      <c r="EG54" s="167">
        <v>4000</v>
      </c>
      <c r="EH54" s="167">
        <v>4000</v>
      </c>
      <c r="EI54" s="167">
        <v>4000</v>
      </c>
      <c r="EJ54" s="167">
        <v>4000</v>
      </c>
      <c r="EK54" s="167">
        <v>4000</v>
      </c>
      <c r="EL54" s="167">
        <v>4000</v>
      </c>
      <c r="EM54" s="167">
        <v>4000</v>
      </c>
      <c r="EN54" s="167">
        <v>4000</v>
      </c>
      <c r="EO54" s="167">
        <v>4000</v>
      </c>
      <c r="EP54" t="str">
        <f t="shared" si="0"/>
        <v>1y 83d</v>
      </c>
      <c r="ES54" s="277"/>
      <c r="ET54" s="277"/>
      <c r="EU54" s="277"/>
      <c r="EV54" s="277"/>
      <c r="EW54" s="277"/>
      <c r="EX54" s="277"/>
    </row>
    <row r="55" spans="2:154" x14ac:dyDescent="0.25">
      <c r="B55" s="9">
        <v>52</v>
      </c>
      <c r="D55">
        <v>4693807.7445808118</v>
      </c>
      <c r="E55" s="12">
        <v>13574346895.255716</v>
      </c>
      <c r="F55" s="12">
        <v>832322867.62986696</v>
      </c>
      <c r="G55" s="12">
        <v>0</v>
      </c>
      <c r="H55" s="12">
        <v>8814665.8037984837</v>
      </c>
      <c r="I55" s="12">
        <v>-14849771186.695179</v>
      </c>
      <c r="J55" s="12">
        <v>12900750810.14953</v>
      </c>
      <c r="K55" s="12">
        <v>1263837.9362055291</v>
      </c>
      <c r="L55" s="12">
        <v>2337650.8197535584</v>
      </c>
      <c r="M55" s="12">
        <v>-2358684350.2020526</v>
      </c>
      <c r="N55" s="12">
        <v>15756960089.393381</v>
      </c>
      <c r="O55" s="12"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S55" s="6">
        <v>11165176.370996105</v>
      </c>
      <c r="AT55" s="167">
        <v>4000</v>
      </c>
      <c r="AU55" s="167">
        <v>4000</v>
      </c>
      <c r="AV55" s="167">
        <v>4000</v>
      </c>
      <c r="AW55" s="167">
        <v>4000</v>
      </c>
      <c r="AX55" s="167">
        <v>4000</v>
      </c>
      <c r="AY55" s="167">
        <v>4000</v>
      </c>
      <c r="AZ55" s="167">
        <v>4000</v>
      </c>
      <c r="BA55" s="167">
        <v>4000</v>
      </c>
      <c r="BB55" s="167">
        <v>4000</v>
      </c>
      <c r="BC55" s="167">
        <v>4000</v>
      </c>
      <c r="BD55" s="167">
        <v>4000</v>
      </c>
      <c r="BE55" s="167">
        <v>4000</v>
      </c>
      <c r="BF55" s="167">
        <v>4000</v>
      </c>
      <c r="BG55" s="167">
        <v>4000</v>
      </c>
      <c r="BH55" s="167">
        <v>4000</v>
      </c>
      <c r="BI55" s="167">
        <v>4000</v>
      </c>
      <c r="BJ55" s="167">
        <v>4000</v>
      </c>
      <c r="BK55" s="167">
        <v>4000</v>
      </c>
      <c r="BL55" s="167">
        <v>4000</v>
      </c>
      <c r="BM55" s="167">
        <v>4000</v>
      </c>
      <c r="BN55" s="167">
        <v>4000</v>
      </c>
      <c r="BO55" s="167">
        <v>4000</v>
      </c>
      <c r="BP55" s="167">
        <v>4000</v>
      </c>
      <c r="BQ55" s="167">
        <v>4000</v>
      </c>
      <c r="BR55" s="167">
        <v>4000</v>
      </c>
      <c r="BS55" s="167">
        <v>3893.5220031415156</v>
      </c>
      <c r="BT55" s="167">
        <v>3687.7646182568596</v>
      </c>
      <c r="BU55" s="167">
        <v>3500.8728091887792</v>
      </c>
      <c r="BV55" s="167">
        <v>3331.5597201969968</v>
      </c>
      <c r="BW55" s="167">
        <v>3178.8039076572686</v>
      </c>
      <c r="BX55" s="167">
        <v>3041.8092243813562</v>
      </c>
      <c r="BY55" s="167">
        <v>2919.980218640786</v>
      </c>
      <c r="BZ55" s="167">
        <v>2812.8835695264997</v>
      </c>
      <c r="CA55" s="167">
        <v>2720.230906400262</v>
      </c>
      <c r="CB55" s="167">
        <v>2641.8549602897729</v>
      </c>
      <c r="CC55" s="167">
        <v>2577.6888120122094</v>
      </c>
      <c r="CD55" s="167">
        <v>2527.7458579660897</v>
      </c>
      <c r="CE55" s="167">
        <v>2492.1000669800987</v>
      </c>
      <c r="CF55" s="167">
        <v>2470.866352684468</v>
      </c>
      <c r="CG55" s="167">
        <v>2464.1812248599508</v>
      </c>
      <c r="CH55" s="167">
        <v>2472.1842901494238</v>
      </c>
      <c r="CI55" s="167">
        <v>2495.00142581811</v>
      </c>
      <c r="CJ55" s="167">
        <v>2532.7302861174439</v>
      </c>
      <c r="CK55" s="167">
        <v>2585.4283824760992</v>
      </c>
      <c r="CL55" s="167">
        <v>2653.1038095169238</v>
      </c>
      <c r="CM55" s="167">
        <v>2735.7088785426035</v>
      </c>
      <c r="CN55" s="167">
        <v>2833.1371598233109</v>
      </c>
      <c r="CO55" s="167">
        <v>2945.2262118606418</v>
      </c>
      <c r="CP55" s="167">
        <v>3071.7586959787877</v>
      </c>
      <c r="CQ55" s="167">
        <v>3212.4927226136879</v>
      </c>
      <c r="CR55" s="167">
        <v>3367.2156301676268</v>
      </c>
      <c r="CS55" s="167">
        <v>3535.9971769800022</v>
      </c>
      <c r="CT55" s="167">
        <v>3713.9240985688402</v>
      </c>
      <c r="CU55" s="167">
        <v>3906.8286823808357</v>
      </c>
      <c r="CV55" s="167">
        <v>4000</v>
      </c>
      <c r="CW55" s="167">
        <v>4000</v>
      </c>
      <c r="CX55" s="167">
        <v>4000</v>
      </c>
      <c r="CY55" s="167">
        <v>4000</v>
      </c>
      <c r="CZ55" s="167">
        <v>4000</v>
      </c>
      <c r="DA55" s="167">
        <v>4000</v>
      </c>
      <c r="DB55" s="167">
        <v>4000</v>
      </c>
      <c r="DC55" s="167">
        <v>4000</v>
      </c>
      <c r="DD55" s="167">
        <v>4000</v>
      </c>
      <c r="DE55" s="167">
        <v>4000</v>
      </c>
      <c r="DF55" s="167">
        <v>4000</v>
      </c>
      <c r="DG55" s="167">
        <v>4000</v>
      </c>
      <c r="DH55" s="167">
        <v>4000</v>
      </c>
      <c r="DI55" s="167">
        <v>4000</v>
      </c>
      <c r="DJ55" s="167">
        <v>4000</v>
      </c>
      <c r="DK55" s="167">
        <v>4000</v>
      </c>
      <c r="DL55" s="167">
        <v>4000</v>
      </c>
      <c r="DM55" s="167">
        <v>4000</v>
      </c>
      <c r="DN55" s="167">
        <v>4000</v>
      </c>
      <c r="DO55" s="167">
        <v>4000</v>
      </c>
      <c r="DP55" s="167">
        <v>4000</v>
      </c>
      <c r="DQ55" s="167">
        <v>4000</v>
      </c>
      <c r="DR55" s="167">
        <v>4000</v>
      </c>
      <c r="DS55" s="167">
        <v>4000</v>
      </c>
      <c r="DT55" s="167">
        <v>4000</v>
      </c>
      <c r="DU55" s="167">
        <v>4000</v>
      </c>
      <c r="DV55" s="167">
        <v>4000</v>
      </c>
      <c r="DW55" s="167">
        <v>4000</v>
      </c>
      <c r="DX55" s="167">
        <v>4000</v>
      </c>
      <c r="DY55" s="167">
        <v>4000</v>
      </c>
      <c r="DZ55" s="167">
        <v>4000</v>
      </c>
      <c r="EA55" s="167">
        <v>4000</v>
      </c>
      <c r="EB55" s="167">
        <v>4000</v>
      </c>
      <c r="EC55" s="167">
        <v>4000</v>
      </c>
      <c r="ED55" s="167">
        <v>4000</v>
      </c>
      <c r="EE55" s="167">
        <v>4000</v>
      </c>
      <c r="EF55" s="167">
        <v>4000</v>
      </c>
      <c r="EG55" s="167">
        <v>4000</v>
      </c>
      <c r="EH55" s="167">
        <v>4000</v>
      </c>
      <c r="EI55" s="167">
        <v>4000</v>
      </c>
      <c r="EJ55" s="167">
        <v>4000</v>
      </c>
      <c r="EK55" s="167">
        <v>4000</v>
      </c>
      <c r="EL55" s="167">
        <v>4000</v>
      </c>
      <c r="EM55" s="167">
        <v>4000</v>
      </c>
      <c r="EN55" s="167">
        <v>4000</v>
      </c>
      <c r="EO55" s="167">
        <v>4000</v>
      </c>
      <c r="EP55" t="str">
        <f t="shared" si="0"/>
        <v>1y 91d</v>
      </c>
      <c r="ES55" s="277"/>
      <c r="ET55" s="277"/>
      <c r="EU55" s="277"/>
      <c r="EV55" s="277"/>
      <c r="EW55" s="277"/>
      <c r="EX55" s="277"/>
    </row>
    <row r="56" spans="2:154" x14ac:dyDescent="0.25">
      <c r="B56" s="9">
        <v>53</v>
      </c>
      <c r="D56">
        <v>4785843.1905529844</v>
      </c>
      <c r="E56" s="12">
        <v>13495299037.147923</v>
      </c>
      <c r="F56" s="12">
        <v>1683020762.4008973</v>
      </c>
      <c r="G56" s="12">
        <v>0</v>
      </c>
      <c r="H56" s="12">
        <v>8970879.3934359383</v>
      </c>
      <c r="I56" s="12">
        <v>-15634930356.167444</v>
      </c>
      <c r="J56" s="12">
        <v>11946244996.193602</v>
      </c>
      <c r="K56" s="12">
        <v>2553071.6251586382</v>
      </c>
      <c r="L56" s="12">
        <v>2394397.0772624318</v>
      </c>
      <c r="M56" s="12">
        <v>-2856711632.5579329</v>
      </c>
      <c r="N56" s="12">
        <v>15768372447.828262</v>
      </c>
      <c r="O56" s="12"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G56" s="254" t="s">
        <v>69</v>
      </c>
      <c r="AH56" s="254"/>
      <c r="AI56" s="254"/>
      <c r="AS56" s="6">
        <v>11344045.132420156</v>
      </c>
      <c r="AT56" s="167">
        <v>4000</v>
      </c>
      <c r="AU56" s="167">
        <v>4000</v>
      </c>
      <c r="AV56" s="167">
        <v>4000</v>
      </c>
      <c r="AW56" s="167">
        <v>4000</v>
      </c>
      <c r="AX56" s="167">
        <v>4000</v>
      </c>
      <c r="AY56" s="167">
        <v>4000</v>
      </c>
      <c r="AZ56" s="167">
        <v>4000</v>
      </c>
      <c r="BA56" s="167">
        <v>4000</v>
      </c>
      <c r="BB56" s="167">
        <v>4000</v>
      </c>
      <c r="BC56" s="167">
        <v>4000</v>
      </c>
      <c r="BD56" s="167">
        <v>4000</v>
      </c>
      <c r="BE56" s="167">
        <v>4000</v>
      </c>
      <c r="BF56" s="167">
        <v>4000</v>
      </c>
      <c r="BG56" s="167">
        <v>4000</v>
      </c>
      <c r="BH56" s="167">
        <v>4000</v>
      </c>
      <c r="BI56" s="167">
        <v>4000</v>
      </c>
      <c r="BJ56" s="167">
        <v>4000</v>
      </c>
      <c r="BK56" s="167">
        <v>4000</v>
      </c>
      <c r="BL56" s="167">
        <v>4000</v>
      </c>
      <c r="BM56" s="167">
        <v>4000</v>
      </c>
      <c r="BN56" s="167">
        <v>4000</v>
      </c>
      <c r="BO56" s="167">
        <v>4000</v>
      </c>
      <c r="BP56" s="167">
        <v>4000</v>
      </c>
      <c r="BQ56" s="167">
        <v>4000</v>
      </c>
      <c r="BR56" s="167">
        <v>4000</v>
      </c>
      <c r="BS56" s="167">
        <v>4000</v>
      </c>
      <c r="BT56" s="167">
        <v>3870.4099744384521</v>
      </c>
      <c r="BU56" s="167">
        <v>3663.4090992101387</v>
      </c>
      <c r="BV56" s="167">
        <v>3476.1248746179663</v>
      </c>
      <c r="BW56" s="167">
        <v>3307.2334742886533</v>
      </c>
      <c r="BX56" s="167">
        <v>3155.679967765147</v>
      </c>
      <c r="BY56" s="167">
        <v>3020.6463993194748</v>
      </c>
      <c r="BZ56" s="167">
        <v>2901.5063421144978</v>
      </c>
      <c r="CA56" s="167">
        <v>2797.8031684898278</v>
      </c>
      <c r="CB56" s="167">
        <v>2709.2221562802119</v>
      </c>
      <c r="CC56" s="167">
        <v>2635.5666323828341</v>
      </c>
      <c r="CD56" s="167">
        <v>2576.7355099847045</v>
      </c>
      <c r="CE56" s="167">
        <v>2532.7016546576951</v>
      </c>
      <c r="CF56" s="167">
        <v>2503.4907746737772</v>
      </c>
      <c r="CG56" s="167">
        <v>2489.160861473254</v>
      </c>
      <c r="CH56" s="167">
        <v>2489.7826169579475</v>
      </c>
      <c r="CI56" s="167">
        <v>2505.4216278026033</v>
      </c>
      <c r="CJ56" s="167">
        <v>2536.1229801127074</v>
      </c>
      <c r="CK56" s="167">
        <v>2581.8985641242798</v>
      </c>
      <c r="CL56" s="167">
        <v>2642.7170119887064</v>
      </c>
      <c r="CM56" s="167">
        <v>2718.4963439232506</v>
      </c>
      <c r="CN56" s="167">
        <v>2809.0996458465229</v>
      </c>
      <c r="CO56" s="167">
        <v>2914.3358570536184</v>
      </c>
      <c r="CP56" s="167">
        <v>3033.955820771926</v>
      </c>
      <c r="CQ56" s="167">
        <v>3167.6725723225281</v>
      </c>
      <c r="CR56" s="167">
        <v>3315.1747855331378</v>
      </c>
      <c r="CS56" s="167">
        <v>3476.1899695532811</v>
      </c>
      <c r="CT56" s="167">
        <v>3650.7295709682849</v>
      </c>
      <c r="CU56" s="167">
        <v>3840.7749860970657</v>
      </c>
      <c r="CV56" s="167">
        <v>4000</v>
      </c>
      <c r="CW56" s="167">
        <v>4000</v>
      </c>
      <c r="CX56" s="167">
        <v>4000</v>
      </c>
      <c r="CY56" s="167">
        <v>4000</v>
      </c>
      <c r="CZ56" s="167">
        <v>4000</v>
      </c>
      <c r="DA56" s="167">
        <v>4000</v>
      </c>
      <c r="DB56" s="167">
        <v>4000</v>
      </c>
      <c r="DC56" s="167">
        <v>4000</v>
      </c>
      <c r="DD56" s="167">
        <v>4000</v>
      </c>
      <c r="DE56" s="167">
        <v>4000</v>
      </c>
      <c r="DF56" s="167">
        <v>4000</v>
      </c>
      <c r="DG56" s="167">
        <v>4000</v>
      </c>
      <c r="DH56" s="167">
        <v>4000</v>
      </c>
      <c r="DI56" s="167">
        <v>4000</v>
      </c>
      <c r="DJ56" s="167">
        <v>4000</v>
      </c>
      <c r="DK56" s="167">
        <v>4000</v>
      </c>
      <c r="DL56" s="167">
        <v>4000</v>
      </c>
      <c r="DM56" s="167">
        <v>4000</v>
      </c>
      <c r="DN56" s="167">
        <v>4000</v>
      </c>
      <c r="DO56" s="167">
        <v>4000</v>
      </c>
      <c r="DP56" s="167">
        <v>4000</v>
      </c>
      <c r="DQ56" s="167">
        <v>4000</v>
      </c>
      <c r="DR56" s="167">
        <v>4000</v>
      </c>
      <c r="DS56" s="167">
        <v>4000</v>
      </c>
      <c r="DT56" s="167">
        <v>4000</v>
      </c>
      <c r="DU56" s="167">
        <v>4000</v>
      </c>
      <c r="DV56" s="167">
        <v>4000</v>
      </c>
      <c r="DW56" s="167">
        <v>4000</v>
      </c>
      <c r="DX56" s="167">
        <v>4000</v>
      </c>
      <c r="DY56" s="167">
        <v>4000</v>
      </c>
      <c r="DZ56" s="167">
        <v>4000</v>
      </c>
      <c r="EA56" s="167">
        <v>4000</v>
      </c>
      <c r="EB56" s="167">
        <v>4000</v>
      </c>
      <c r="EC56" s="167">
        <v>4000</v>
      </c>
      <c r="ED56" s="167">
        <v>4000</v>
      </c>
      <c r="EE56" s="167">
        <v>4000</v>
      </c>
      <c r="EF56" s="167">
        <v>4000</v>
      </c>
      <c r="EG56" s="167">
        <v>4000</v>
      </c>
      <c r="EH56" s="167">
        <v>4000</v>
      </c>
      <c r="EI56" s="167">
        <v>4000</v>
      </c>
      <c r="EJ56" s="167">
        <v>4000</v>
      </c>
      <c r="EK56" s="167">
        <v>4000</v>
      </c>
      <c r="EL56" s="167">
        <v>4000</v>
      </c>
      <c r="EM56" s="167">
        <v>4000</v>
      </c>
      <c r="EN56" s="167">
        <v>4000</v>
      </c>
      <c r="EO56" s="167">
        <v>4000</v>
      </c>
      <c r="EP56" t="str">
        <f t="shared" si="0"/>
        <v>1y 99d</v>
      </c>
      <c r="ES56" s="277"/>
      <c r="ET56" s="277"/>
      <c r="EU56" s="277"/>
      <c r="EV56" s="277"/>
      <c r="EW56" s="277"/>
      <c r="EX56" s="277"/>
    </row>
    <row r="57" spans="2:154" x14ac:dyDescent="0.25">
      <c r="B57" s="9">
        <v>54</v>
      </c>
      <c r="D57">
        <v>4877878.6365251569</v>
      </c>
      <c r="E57" s="12">
        <v>13362991399.156172</v>
      </c>
      <c r="F57" s="12">
        <v>2527076543.121778</v>
      </c>
      <c r="G57" s="12">
        <v>0</v>
      </c>
      <c r="H57" s="12">
        <v>9127211.0698508266</v>
      </c>
      <c r="I57" s="12">
        <v>-16361923397.150747</v>
      </c>
      <c r="J57" s="12">
        <v>10946121280.055868</v>
      </c>
      <c r="K57" s="12">
        <v>3833684.5826880145</v>
      </c>
      <c r="L57" s="12">
        <v>2451806.9975318494</v>
      </c>
      <c r="M57" s="12">
        <v>-3357896623.5028062</v>
      </c>
      <c r="N57" s="12">
        <v>15765200360.971321</v>
      </c>
      <c r="O57" s="12"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G57" s="21" t="s">
        <v>22</v>
      </c>
      <c r="AH57" s="21" t="s">
        <v>23</v>
      </c>
      <c r="AI57" s="21" t="s">
        <v>26</v>
      </c>
      <c r="AS57" s="6">
        <v>11522913.893844208</v>
      </c>
      <c r="AT57" s="167">
        <v>4000</v>
      </c>
      <c r="AU57" s="167">
        <v>4000</v>
      </c>
      <c r="AV57" s="167">
        <v>4000</v>
      </c>
      <c r="AW57" s="167">
        <v>4000</v>
      </c>
      <c r="AX57" s="167">
        <v>4000</v>
      </c>
      <c r="AY57" s="167">
        <v>4000</v>
      </c>
      <c r="AZ57" s="167">
        <v>4000</v>
      </c>
      <c r="BA57" s="167">
        <v>4000</v>
      </c>
      <c r="BB57" s="167">
        <v>4000</v>
      </c>
      <c r="BC57" s="167">
        <v>4000</v>
      </c>
      <c r="BD57" s="167">
        <v>4000</v>
      </c>
      <c r="BE57" s="167">
        <v>4000</v>
      </c>
      <c r="BF57" s="167">
        <v>4000</v>
      </c>
      <c r="BG57" s="167">
        <v>4000</v>
      </c>
      <c r="BH57" s="167">
        <v>4000</v>
      </c>
      <c r="BI57" s="167">
        <v>4000</v>
      </c>
      <c r="BJ57" s="167">
        <v>4000</v>
      </c>
      <c r="BK57" s="167">
        <v>4000</v>
      </c>
      <c r="BL57" s="167">
        <v>4000</v>
      </c>
      <c r="BM57" s="167">
        <v>4000</v>
      </c>
      <c r="BN57" s="167">
        <v>4000</v>
      </c>
      <c r="BO57" s="167">
        <v>4000</v>
      </c>
      <c r="BP57" s="167">
        <v>4000</v>
      </c>
      <c r="BQ57" s="167">
        <v>4000</v>
      </c>
      <c r="BR57" s="167">
        <v>4000</v>
      </c>
      <c r="BS57" s="167">
        <v>4000</v>
      </c>
      <c r="BT57" s="167">
        <v>4000</v>
      </c>
      <c r="BU57" s="167">
        <v>3841.0761621922484</v>
      </c>
      <c r="BV57" s="167">
        <v>3633.9601568887292</v>
      </c>
      <c r="BW57" s="167">
        <v>3447.3493811459671</v>
      </c>
      <c r="BX57" s="167">
        <v>3279.8921336027142</v>
      </c>
      <c r="BY57" s="167">
        <v>3130.5060132884664</v>
      </c>
      <c r="BZ57" s="167">
        <v>2998.3435957074098</v>
      </c>
      <c r="CA57" s="167">
        <v>2882.7552301299147</v>
      </c>
      <c r="CB57" s="167">
        <v>2783.258078764939</v>
      </c>
      <c r="CC57" s="167">
        <v>2699.5083758367559</v>
      </c>
      <c r="CD57" s="167">
        <v>2631.275909966264</v>
      </c>
      <c r="CE57" s="167">
        <v>2578.4199996876114</v>
      </c>
      <c r="CF57" s="167">
        <v>2540.8665077548776</v>
      </c>
      <c r="CG57" s="167">
        <v>2518.5857660987886</v>
      </c>
      <c r="CH57" s="167">
        <v>2511.5716900158204</v>
      </c>
      <c r="CI57" s="167">
        <v>2519.8227415190654</v>
      </c>
      <c r="CJ57" s="167">
        <v>2543.3254590012816</v>
      </c>
      <c r="CK57" s="167">
        <v>2582.0408621807128</v>
      </c>
      <c r="CL57" s="167">
        <v>2635.8935947762466</v>
      </c>
      <c r="CM57" s="167">
        <v>2704.7636875677454</v>
      </c>
      <c r="CN57" s="167">
        <v>2788.4811242689425</v>
      </c>
      <c r="CO57" s="167">
        <v>2886.8234949078224</v>
      </c>
      <c r="CP57" s="167">
        <v>2999.5183830927967</v>
      </c>
      <c r="CQ57" s="167">
        <v>3126.241764609048</v>
      </c>
      <c r="CR57" s="167">
        <v>3266.6377533637697</v>
      </c>
      <c r="CS57" s="167">
        <v>3420.3326271873334</v>
      </c>
      <c r="CT57" s="167">
        <v>3586.9939495019744</v>
      </c>
      <c r="CU57" s="167">
        <v>3766.5515321249313</v>
      </c>
      <c r="CV57" s="167">
        <v>3960.6324444945594</v>
      </c>
      <c r="CW57" s="167">
        <v>4000</v>
      </c>
      <c r="CX57" s="167">
        <v>4000</v>
      </c>
      <c r="CY57" s="167">
        <v>4000</v>
      </c>
      <c r="CZ57" s="167">
        <v>4000</v>
      </c>
      <c r="DA57" s="167">
        <v>4000</v>
      </c>
      <c r="DB57" s="167">
        <v>4000</v>
      </c>
      <c r="DC57" s="167">
        <v>4000</v>
      </c>
      <c r="DD57" s="167">
        <v>4000</v>
      </c>
      <c r="DE57" s="167">
        <v>4000</v>
      </c>
      <c r="DF57" s="167">
        <v>4000</v>
      </c>
      <c r="DG57" s="167">
        <v>4000</v>
      </c>
      <c r="DH57" s="167">
        <v>4000</v>
      </c>
      <c r="DI57" s="167">
        <v>4000</v>
      </c>
      <c r="DJ57" s="167">
        <v>4000</v>
      </c>
      <c r="DK57" s="167">
        <v>4000</v>
      </c>
      <c r="DL57" s="167">
        <v>4000</v>
      </c>
      <c r="DM57" s="167">
        <v>4000</v>
      </c>
      <c r="DN57" s="167">
        <v>4000</v>
      </c>
      <c r="DO57" s="167">
        <v>4000</v>
      </c>
      <c r="DP57" s="167">
        <v>4000</v>
      </c>
      <c r="DQ57" s="167">
        <v>4000</v>
      </c>
      <c r="DR57" s="167">
        <v>4000</v>
      </c>
      <c r="DS57" s="167">
        <v>4000</v>
      </c>
      <c r="DT57" s="167">
        <v>4000</v>
      </c>
      <c r="DU57" s="167">
        <v>4000</v>
      </c>
      <c r="DV57" s="167">
        <v>4000</v>
      </c>
      <c r="DW57" s="167">
        <v>4000</v>
      </c>
      <c r="DX57" s="167">
        <v>4000</v>
      </c>
      <c r="DY57" s="167">
        <v>4000</v>
      </c>
      <c r="DZ57" s="167">
        <v>4000</v>
      </c>
      <c r="EA57" s="167">
        <v>4000</v>
      </c>
      <c r="EB57" s="167">
        <v>4000</v>
      </c>
      <c r="EC57" s="167">
        <v>4000</v>
      </c>
      <c r="ED57" s="167">
        <v>4000</v>
      </c>
      <c r="EE57" s="167">
        <v>4000</v>
      </c>
      <c r="EF57" s="167">
        <v>4000</v>
      </c>
      <c r="EG57" s="167">
        <v>4000</v>
      </c>
      <c r="EH57" s="167">
        <v>4000</v>
      </c>
      <c r="EI57" s="167">
        <v>4000</v>
      </c>
      <c r="EJ57" s="167">
        <v>4000</v>
      </c>
      <c r="EK57" s="167">
        <v>4000</v>
      </c>
      <c r="EL57" s="167">
        <v>4000</v>
      </c>
      <c r="EM57" s="167">
        <v>4000</v>
      </c>
      <c r="EN57" s="167">
        <v>4000</v>
      </c>
      <c r="EO57" s="167">
        <v>4000</v>
      </c>
      <c r="EP57" t="str">
        <f t="shared" si="0"/>
        <v>1y 107d</v>
      </c>
    </row>
    <row r="58" spans="2:154" x14ac:dyDescent="0.25">
      <c r="B58" s="9">
        <v>55</v>
      </c>
      <c r="D58">
        <v>4969914.0824973295</v>
      </c>
      <c r="E58" s="12">
        <v>13177946139.082008</v>
      </c>
      <c r="F58" s="12">
        <v>3361159107.2384124</v>
      </c>
      <c r="G58" s="12">
        <v>0</v>
      </c>
      <c r="H58" s="12">
        <v>9283720.2325697318</v>
      </c>
      <c r="I58" s="12">
        <v>-17028209191.774885</v>
      </c>
      <c r="J58" s="12">
        <v>9903697334.5885296</v>
      </c>
      <c r="K58" s="12">
        <v>5101333.6342071341</v>
      </c>
      <c r="L58" s="12">
        <v>2509893.198609232</v>
      </c>
      <c r="M58" s="12">
        <v>-3861832376.4262714</v>
      </c>
      <c r="N58" s="12">
        <v>15747189264.999493</v>
      </c>
      <c r="O58" s="12"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G58" s="20">
        <v>0</v>
      </c>
      <c r="AH58" s="20">
        <v>0</v>
      </c>
      <c r="AI58" s="20">
        <v>0</v>
      </c>
      <c r="AS58" s="6">
        <v>11701782.655268259</v>
      </c>
      <c r="AT58" s="167">
        <v>4000</v>
      </c>
      <c r="AU58" s="167">
        <v>4000</v>
      </c>
      <c r="AV58" s="167">
        <v>4000</v>
      </c>
      <c r="AW58" s="167">
        <v>4000</v>
      </c>
      <c r="AX58" s="167">
        <v>4000</v>
      </c>
      <c r="AY58" s="167">
        <v>4000</v>
      </c>
      <c r="AZ58" s="167">
        <v>4000</v>
      </c>
      <c r="BA58" s="167">
        <v>4000</v>
      </c>
      <c r="BB58" s="167">
        <v>4000</v>
      </c>
      <c r="BC58" s="167">
        <v>4000</v>
      </c>
      <c r="BD58" s="167">
        <v>4000</v>
      </c>
      <c r="BE58" s="167">
        <v>4000</v>
      </c>
      <c r="BF58" s="167">
        <v>4000</v>
      </c>
      <c r="BG58" s="167">
        <v>4000</v>
      </c>
      <c r="BH58" s="167">
        <v>4000</v>
      </c>
      <c r="BI58" s="167">
        <v>4000</v>
      </c>
      <c r="BJ58" s="167">
        <v>4000</v>
      </c>
      <c r="BK58" s="167">
        <v>4000</v>
      </c>
      <c r="BL58" s="167">
        <v>4000</v>
      </c>
      <c r="BM58" s="167">
        <v>4000</v>
      </c>
      <c r="BN58" s="167">
        <v>4000</v>
      </c>
      <c r="BO58" s="167">
        <v>4000</v>
      </c>
      <c r="BP58" s="167">
        <v>4000</v>
      </c>
      <c r="BQ58" s="167">
        <v>4000</v>
      </c>
      <c r="BR58" s="167">
        <v>4000</v>
      </c>
      <c r="BS58" s="167">
        <v>4000</v>
      </c>
      <c r="BT58" s="167">
        <v>4000</v>
      </c>
      <c r="BU58" s="167">
        <v>4000</v>
      </c>
      <c r="BV58" s="167">
        <v>3806.6641628454772</v>
      </c>
      <c r="BW58" s="167">
        <v>3600.5305085349701</v>
      </c>
      <c r="BX58" s="167">
        <v>3415.6332795913295</v>
      </c>
      <c r="BY58" s="167">
        <v>3250.5886274134709</v>
      </c>
      <c r="BZ58" s="167">
        <v>3104.2912325590469</v>
      </c>
      <c r="CA58" s="167">
        <v>2975.869415969184</v>
      </c>
      <c r="CB58" s="167">
        <v>2864.6481158809015</v>
      </c>
      <c r="CC58" s="167">
        <v>2770.1163290775103</v>
      </c>
      <c r="CD58" s="167">
        <v>2691.8977867512635</v>
      </c>
      <c r="CE58" s="167">
        <v>2629.7239375303852</v>
      </c>
      <c r="CF58" s="167">
        <v>2583.4086094737913</v>
      </c>
      <c r="CG58" s="167">
        <v>2552.8240516222932</v>
      </c>
      <c r="CH58" s="167">
        <v>2537.8784537425176</v>
      </c>
      <c r="CI58" s="167">
        <v>2538.4954614100952</v>
      </c>
      <c r="CJ58" s="167">
        <v>2554.5963902167809</v>
      </c>
      <c r="CK58" s="167">
        <v>2586.0855389539847</v>
      </c>
      <c r="CL58" s="167">
        <v>2632.8384559863571</v>
      </c>
      <c r="CM58" s="167">
        <v>2694.6928553157363</v>
      </c>
      <c r="CN58" s="167">
        <v>2771.4421881169919</v>
      </c>
      <c r="CO58" s="167">
        <v>2862.8321013405443</v>
      </c>
      <c r="CP58" s="167">
        <v>2968.561543036672</v>
      </c>
      <c r="CQ58" s="167">
        <v>3088.2781767150132</v>
      </c>
      <c r="CR58" s="167">
        <v>3221.595092124453</v>
      </c>
      <c r="CS58" s="167">
        <v>3368.0927716049073</v>
      </c>
      <c r="CT58" s="167">
        <v>3527.3407231643446</v>
      </c>
      <c r="CU58" s="167">
        <v>3698.947541599563</v>
      </c>
      <c r="CV58" s="167">
        <v>3882.7446745853485</v>
      </c>
      <c r="CW58" s="167">
        <v>4000</v>
      </c>
      <c r="CX58" s="167">
        <v>4000</v>
      </c>
      <c r="CY58" s="167">
        <v>4000</v>
      </c>
      <c r="CZ58" s="167">
        <v>4000</v>
      </c>
      <c r="DA58" s="167">
        <v>4000</v>
      </c>
      <c r="DB58" s="167">
        <v>4000</v>
      </c>
      <c r="DC58" s="167">
        <v>4000</v>
      </c>
      <c r="DD58" s="167">
        <v>4000</v>
      </c>
      <c r="DE58" s="167">
        <v>4000</v>
      </c>
      <c r="DF58" s="167">
        <v>4000</v>
      </c>
      <c r="DG58" s="167">
        <v>4000</v>
      </c>
      <c r="DH58" s="167">
        <v>4000</v>
      </c>
      <c r="DI58" s="167">
        <v>4000</v>
      </c>
      <c r="DJ58" s="167">
        <v>4000</v>
      </c>
      <c r="DK58" s="167">
        <v>4000</v>
      </c>
      <c r="DL58" s="167">
        <v>4000</v>
      </c>
      <c r="DM58" s="167">
        <v>4000</v>
      </c>
      <c r="DN58" s="167">
        <v>4000</v>
      </c>
      <c r="DO58" s="167">
        <v>4000</v>
      </c>
      <c r="DP58" s="167">
        <v>4000</v>
      </c>
      <c r="DQ58" s="167">
        <v>4000</v>
      </c>
      <c r="DR58" s="167">
        <v>4000</v>
      </c>
      <c r="DS58" s="167">
        <v>4000</v>
      </c>
      <c r="DT58" s="167">
        <v>4000</v>
      </c>
      <c r="DU58" s="167">
        <v>4000</v>
      </c>
      <c r="DV58" s="167">
        <v>4000</v>
      </c>
      <c r="DW58" s="167">
        <v>4000</v>
      </c>
      <c r="DX58" s="167">
        <v>4000</v>
      </c>
      <c r="DY58" s="167">
        <v>4000</v>
      </c>
      <c r="DZ58" s="167">
        <v>4000</v>
      </c>
      <c r="EA58" s="167">
        <v>4000</v>
      </c>
      <c r="EB58" s="167">
        <v>4000</v>
      </c>
      <c r="EC58" s="167">
        <v>4000</v>
      </c>
      <c r="ED58" s="167">
        <v>4000</v>
      </c>
      <c r="EE58" s="167">
        <v>4000</v>
      </c>
      <c r="EF58" s="167">
        <v>4000</v>
      </c>
      <c r="EG58" s="167">
        <v>4000</v>
      </c>
      <c r="EH58" s="167">
        <v>4000</v>
      </c>
      <c r="EI58" s="167">
        <v>4000</v>
      </c>
      <c r="EJ58" s="167">
        <v>4000</v>
      </c>
      <c r="EK58" s="167">
        <v>4000</v>
      </c>
      <c r="EL58" s="167">
        <v>4000</v>
      </c>
      <c r="EM58" s="167">
        <v>4000</v>
      </c>
      <c r="EN58" s="167">
        <v>4000</v>
      </c>
      <c r="EO58" s="167">
        <v>4000</v>
      </c>
      <c r="EP58" t="str">
        <f t="shared" si="0"/>
        <v>1y 116d</v>
      </c>
    </row>
    <row r="59" spans="2:154" x14ac:dyDescent="0.25">
      <c r="B59" s="9">
        <v>56</v>
      </c>
      <c r="D59">
        <v>5061949.528469502</v>
      </c>
      <c r="E59" s="13">
        <v>12940893546.027809</v>
      </c>
      <c r="F59" s="13">
        <v>4181976711.9263067</v>
      </c>
      <c r="G59" s="13">
        <v>0</v>
      </c>
      <c r="H59" s="13">
        <v>9440465.8816253431</v>
      </c>
      <c r="I59" s="13">
        <v>-17631409050.947777</v>
      </c>
      <c r="J59" s="12">
        <v>8822422302.9550915</v>
      </c>
      <c r="K59" s="12">
        <v>6351696.6292792149</v>
      </c>
      <c r="L59" s="12">
        <v>2568667.9725396605</v>
      </c>
      <c r="M59" s="12">
        <v>-4368094189.8244991</v>
      </c>
      <c r="N59" s="12">
        <v>15714092320.101549</v>
      </c>
      <c r="O59" s="12"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S59" s="6">
        <v>11880651.416692311</v>
      </c>
      <c r="AT59" s="167">
        <v>4000</v>
      </c>
      <c r="AU59" s="167">
        <v>4000</v>
      </c>
      <c r="AV59" s="167">
        <v>4000</v>
      </c>
      <c r="AW59" s="167">
        <v>4000</v>
      </c>
      <c r="AX59" s="167">
        <v>4000</v>
      </c>
      <c r="AY59" s="167">
        <v>4000</v>
      </c>
      <c r="AZ59" s="167">
        <v>4000</v>
      </c>
      <c r="BA59" s="167">
        <v>4000</v>
      </c>
      <c r="BB59" s="167">
        <v>4000</v>
      </c>
      <c r="BC59" s="167">
        <v>4000</v>
      </c>
      <c r="BD59" s="167">
        <v>4000</v>
      </c>
      <c r="BE59" s="167">
        <v>4000</v>
      </c>
      <c r="BF59" s="167">
        <v>4000</v>
      </c>
      <c r="BG59" s="167">
        <v>4000</v>
      </c>
      <c r="BH59" s="167">
        <v>4000</v>
      </c>
      <c r="BI59" s="167">
        <v>4000</v>
      </c>
      <c r="BJ59" s="167">
        <v>4000</v>
      </c>
      <c r="BK59" s="167">
        <v>4000</v>
      </c>
      <c r="BL59" s="167">
        <v>4000</v>
      </c>
      <c r="BM59" s="167">
        <v>4000</v>
      </c>
      <c r="BN59" s="167">
        <v>4000</v>
      </c>
      <c r="BO59" s="167">
        <v>4000</v>
      </c>
      <c r="BP59" s="167">
        <v>4000</v>
      </c>
      <c r="BQ59" s="167">
        <v>4000</v>
      </c>
      <c r="BR59" s="167">
        <v>4000</v>
      </c>
      <c r="BS59" s="167">
        <v>4000</v>
      </c>
      <c r="BT59" s="167">
        <v>4000</v>
      </c>
      <c r="BU59" s="167">
        <v>4000</v>
      </c>
      <c r="BV59" s="167">
        <v>3996.0827646463476</v>
      </c>
      <c r="BW59" s="167">
        <v>3768.3591755303387</v>
      </c>
      <c r="BX59" s="167">
        <v>3564.2684571637792</v>
      </c>
      <c r="BY59" s="167">
        <v>3382.0751847891061</v>
      </c>
      <c r="BZ59" s="167">
        <v>3220.3748882610007</v>
      </c>
      <c r="CA59" s="167">
        <v>3078.0398083757264</v>
      </c>
      <c r="CB59" s="167">
        <v>2954.1744457908308</v>
      </c>
      <c r="CC59" s="167">
        <v>2848.0770726292644</v>
      </c>
      <c r="CD59" s="167">
        <v>2759.2057026551333</v>
      </c>
      <c r="CE59" s="167">
        <v>2687.1473589231246</v>
      </c>
      <c r="CF59" s="167">
        <v>2631.5898081635605</v>
      </c>
      <c r="CG59" s="167">
        <v>2592.2952717080943</v>
      </c>
      <c r="CH59" s="167">
        <v>2569.0760130831072</v>
      </c>
      <c r="CI59" s="167">
        <v>2561.7721367759195</v>
      </c>
      <c r="CJ59" s="167">
        <v>2570.2322307827844</v>
      </c>
      <c r="CK59" s="167">
        <v>2594.2973387532438</v>
      </c>
      <c r="CL59" s="167">
        <v>2633.7881868163972</v>
      </c>
      <c r="CM59" s="167">
        <v>2688.4952239707445</v>
      </c>
      <c r="CN59" s="167">
        <v>2758.1712551489277</v>
      </c>
      <c r="CO59" s="167">
        <v>2842.5268111088162</v>
      </c>
      <c r="CP59" s="167">
        <v>2941.2283947779997</v>
      </c>
      <c r="CQ59" s="167">
        <v>3053.9008791073793</v>
      </c>
      <c r="CR59" s="167">
        <v>3180.124996251192</v>
      </c>
      <c r="CS59" s="167">
        <v>3319.4529658484571</v>
      </c>
      <c r="CT59" s="167">
        <v>3471.4109874415208</v>
      </c>
      <c r="CU59" s="167">
        <v>3635.5181409142187</v>
      </c>
      <c r="CV59" s="167">
        <v>3811.3272570455447</v>
      </c>
      <c r="CW59" s="167">
        <v>3998.5656887587702</v>
      </c>
      <c r="CX59" s="167">
        <v>4000</v>
      </c>
      <c r="CY59" s="167">
        <v>4000</v>
      </c>
      <c r="CZ59" s="167">
        <v>4000</v>
      </c>
      <c r="DA59" s="167">
        <v>4000</v>
      </c>
      <c r="DB59" s="167">
        <v>4000</v>
      </c>
      <c r="DC59" s="167">
        <v>4000</v>
      </c>
      <c r="DD59" s="167">
        <v>4000</v>
      </c>
      <c r="DE59" s="167">
        <v>4000</v>
      </c>
      <c r="DF59" s="167">
        <v>4000</v>
      </c>
      <c r="DG59" s="167">
        <v>4000</v>
      </c>
      <c r="DH59" s="167">
        <v>4000</v>
      </c>
      <c r="DI59" s="167">
        <v>4000</v>
      </c>
      <c r="DJ59" s="167">
        <v>4000</v>
      </c>
      <c r="DK59" s="167">
        <v>4000</v>
      </c>
      <c r="DL59" s="167">
        <v>4000</v>
      </c>
      <c r="DM59" s="167">
        <v>4000</v>
      </c>
      <c r="DN59" s="167">
        <v>4000</v>
      </c>
      <c r="DO59" s="167">
        <v>4000</v>
      </c>
      <c r="DP59" s="167">
        <v>4000</v>
      </c>
      <c r="DQ59" s="167">
        <v>4000</v>
      </c>
      <c r="DR59" s="167">
        <v>4000</v>
      </c>
      <c r="DS59" s="167">
        <v>4000</v>
      </c>
      <c r="DT59" s="167">
        <v>4000</v>
      </c>
      <c r="DU59" s="167">
        <v>4000</v>
      </c>
      <c r="DV59" s="167">
        <v>4000</v>
      </c>
      <c r="DW59" s="167">
        <v>4000</v>
      </c>
      <c r="DX59" s="167">
        <v>4000</v>
      </c>
      <c r="DY59" s="167">
        <v>4000</v>
      </c>
      <c r="DZ59" s="167">
        <v>4000</v>
      </c>
      <c r="EA59" s="167">
        <v>4000</v>
      </c>
      <c r="EB59" s="167">
        <v>4000</v>
      </c>
      <c r="EC59" s="167">
        <v>4000</v>
      </c>
      <c r="ED59" s="167">
        <v>4000</v>
      </c>
      <c r="EE59" s="167">
        <v>4000</v>
      </c>
      <c r="EF59" s="167">
        <v>4000</v>
      </c>
      <c r="EG59" s="167">
        <v>4000</v>
      </c>
      <c r="EH59" s="167">
        <v>4000</v>
      </c>
      <c r="EI59" s="167">
        <v>4000</v>
      </c>
      <c r="EJ59" s="167">
        <v>4000</v>
      </c>
      <c r="EK59" s="167">
        <v>4000</v>
      </c>
      <c r="EL59" s="167">
        <v>4000</v>
      </c>
      <c r="EM59" s="167">
        <v>4000</v>
      </c>
      <c r="EN59" s="167">
        <v>4000</v>
      </c>
      <c r="EO59" s="167">
        <v>4000</v>
      </c>
      <c r="EP59" t="str">
        <f t="shared" si="0"/>
        <v>1y 124d</v>
      </c>
    </row>
    <row r="60" spans="2:154" x14ac:dyDescent="0.25">
      <c r="B60" s="9">
        <v>57</v>
      </c>
      <c r="D60">
        <v>5153984.9744416745</v>
      </c>
      <c r="E60" s="12">
        <v>12652769158.279327</v>
      </c>
      <c r="F60" s="12">
        <v>4986289965.0956526</v>
      </c>
      <c r="G60" s="12">
        <v>0</v>
      </c>
      <c r="H60" s="12">
        <v>9597506.480171768</v>
      </c>
      <c r="I60" s="12">
        <v>-18169312352.371212</v>
      </c>
      <c r="J60" s="12">
        <v>7705872332.2077093</v>
      </c>
      <c r="K60" s="12">
        <v>7580479.9159038886</v>
      </c>
      <c r="L60" s="12">
        <v>2628143.248936634</v>
      </c>
      <c r="M60" s="12">
        <v>-4876239371.4615726</v>
      </c>
      <c r="N60" s="12">
        <v>15665671455.783369</v>
      </c>
      <c r="O60" s="12"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S60" s="6">
        <v>12059520.178116363</v>
      </c>
      <c r="AT60" s="167">
        <v>4000</v>
      </c>
      <c r="AU60" s="167">
        <v>4000</v>
      </c>
      <c r="AV60" s="167">
        <v>4000</v>
      </c>
      <c r="AW60" s="167">
        <v>4000</v>
      </c>
      <c r="AX60" s="167">
        <v>4000</v>
      </c>
      <c r="AY60" s="167">
        <v>4000</v>
      </c>
      <c r="AZ60" s="167">
        <v>4000</v>
      </c>
      <c r="BA60" s="167">
        <v>4000</v>
      </c>
      <c r="BB60" s="167">
        <v>4000</v>
      </c>
      <c r="BC60" s="167">
        <v>4000</v>
      </c>
      <c r="BD60" s="167">
        <v>4000</v>
      </c>
      <c r="BE60" s="167">
        <v>4000</v>
      </c>
      <c r="BF60" s="167">
        <v>4000</v>
      </c>
      <c r="BG60" s="167">
        <v>4000</v>
      </c>
      <c r="BH60" s="167">
        <v>4000</v>
      </c>
      <c r="BI60" s="167">
        <v>4000</v>
      </c>
      <c r="BJ60" s="167">
        <v>4000</v>
      </c>
      <c r="BK60" s="167">
        <v>4000</v>
      </c>
      <c r="BL60" s="167">
        <v>4000</v>
      </c>
      <c r="BM60" s="167">
        <v>4000</v>
      </c>
      <c r="BN60" s="167">
        <v>4000</v>
      </c>
      <c r="BO60" s="167">
        <v>4000</v>
      </c>
      <c r="BP60" s="167">
        <v>4000</v>
      </c>
      <c r="BQ60" s="167">
        <v>4000</v>
      </c>
      <c r="BR60" s="167">
        <v>4000</v>
      </c>
      <c r="BS60" s="167">
        <v>4000</v>
      </c>
      <c r="BT60" s="167">
        <v>4000</v>
      </c>
      <c r="BU60" s="167">
        <v>4000</v>
      </c>
      <c r="BV60" s="167">
        <v>4000</v>
      </c>
      <c r="BW60" s="167">
        <v>3952.6683246318498</v>
      </c>
      <c r="BX60" s="167">
        <v>3727.3735807228804</v>
      </c>
      <c r="BY60" s="167">
        <v>3526.3261192340215</v>
      </c>
      <c r="BZ60" s="167">
        <v>3347.7737039412814</v>
      </c>
      <c r="CA60" s="167">
        <v>3190.2924316219255</v>
      </c>
      <c r="CB60" s="167">
        <v>3052.7332521263597</v>
      </c>
      <c r="CC60" s="167">
        <v>2934.1762342991551</v>
      </c>
      <c r="CD60" s="167">
        <v>2833.8907593223657</v>
      </c>
      <c r="CE60" s="167">
        <v>2751.3002075349218</v>
      </c>
      <c r="CF60" s="167">
        <v>2685.9500721514787</v>
      </c>
      <c r="CG60" s="167">
        <v>2637.4787953895302</v>
      </c>
      <c r="CH60" s="167">
        <v>2605.5910115842266</v>
      </c>
      <c r="CI60" s="167">
        <v>2590.0333172359383</v>
      </c>
      <c r="CJ60" s="167">
        <v>2590.5730645325589</v>
      </c>
      <c r="CK60" s="167">
        <v>2606.9807038872768</v>
      </c>
      <c r="CL60" s="167">
        <v>2639.015726489783</v>
      </c>
      <c r="CM60" s="167">
        <v>2686.4157197733766</v>
      </c>
      <c r="CN60" s="167">
        <v>2748.8880723220959</v>
      </c>
      <c r="CO60" s="167">
        <v>2826.1043015611094</v>
      </c>
      <c r="CP60" s="167">
        <v>2917.697164350112</v>
      </c>
      <c r="CQ60" s="167">
        <v>3023.2620772966457</v>
      </c>
      <c r="CR60" s="167">
        <v>3142.3525069328548</v>
      </c>
      <c r="CS60" s="167">
        <v>3274.4950460115497</v>
      </c>
      <c r="CT60" s="167">
        <v>3419.1876214311005</v>
      </c>
      <c r="CU60" s="167">
        <v>3575.9100924811537</v>
      </c>
      <c r="CV60" s="167">
        <v>3744.1383614832885</v>
      </c>
      <c r="CW60" s="167">
        <v>3923.3755548194658</v>
      </c>
      <c r="CX60" s="167">
        <v>4000</v>
      </c>
      <c r="CY60" s="167">
        <v>4000</v>
      </c>
      <c r="CZ60" s="167">
        <v>4000</v>
      </c>
      <c r="DA60" s="167">
        <v>4000</v>
      </c>
      <c r="DB60" s="167">
        <v>4000</v>
      </c>
      <c r="DC60" s="167">
        <v>4000</v>
      </c>
      <c r="DD60" s="167">
        <v>4000</v>
      </c>
      <c r="DE60" s="167">
        <v>4000</v>
      </c>
      <c r="DF60" s="167">
        <v>4000</v>
      </c>
      <c r="DG60" s="167">
        <v>4000</v>
      </c>
      <c r="DH60" s="167">
        <v>4000</v>
      </c>
      <c r="DI60" s="167">
        <v>4000</v>
      </c>
      <c r="DJ60" s="167">
        <v>4000</v>
      </c>
      <c r="DK60" s="167">
        <v>4000</v>
      </c>
      <c r="DL60" s="167">
        <v>4000</v>
      </c>
      <c r="DM60" s="167">
        <v>4000</v>
      </c>
      <c r="DN60" s="167">
        <v>4000</v>
      </c>
      <c r="DO60" s="167">
        <v>4000</v>
      </c>
      <c r="DP60" s="167">
        <v>4000</v>
      </c>
      <c r="DQ60" s="167">
        <v>4000</v>
      </c>
      <c r="DR60" s="167">
        <v>4000</v>
      </c>
      <c r="DS60" s="167">
        <v>4000</v>
      </c>
      <c r="DT60" s="167">
        <v>4000</v>
      </c>
      <c r="DU60" s="167">
        <v>4000</v>
      </c>
      <c r="DV60" s="167">
        <v>4000</v>
      </c>
      <c r="DW60" s="167">
        <v>4000</v>
      </c>
      <c r="DX60" s="167">
        <v>4000</v>
      </c>
      <c r="DY60" s="167">
        <v>4000</v>
      </c>
      <c r="DZ60" s="167">
        <v>4000</v>
      </c>
      <c r="EA60" s="167">
        <v>4000</v>
      </c>
      <c r="EB60" s="167">
        <v>4000</v>
      </c>
      <c r="EC60" s="167">
        <v>4000</v>
      </c>
      <c r="ED60" s="167">
        <v>4000</v>
      </c>
      <c r="EE60" s="167">
        <v>4000</v>
      </c>
      <c r="EF60" s="167">
        <v>4000</v>
      </c>
      <c r="EG60" s="167">
        <v>4000</v>
      </c>
      <c r="EH60" s="167">
        <v>4000</v>
      </c>
      <c r="EI60" s="167">
        <v>4000</v>
      </c>
      <c r="EJ60" s="167">
        <v>4000</v>
      </c>
      <c r="EK60" s="167">
        <v>4000</v>
      </c>
      <c r="EL60" s="167">
        <v>4000</v>
      </c>
      <c r="EM60" s="167">
        <v>4000</v>
      </c>
      <c r="EN60" s="167">
        <v>4000</v>
      </c>
      <c r="EO60" s="167">
        <v>4000</v>
      </c>
      <c r="EP60" t="str">
        <f t="shared" si="0"/>
        <v>1y 132d</v>
      </c>
    </row>
    <row r="61" spans="2:154" x14ac:dyDescent="0.25">
      <c r="B61" s="9">
        <v>58</v>
      </c>
      <c r="D61">
        <v>5246020.4204138471</v>
      </c>
      <c r="E61" s="12">
        <v>12314710071.163496</v>
      </c>
      <c r="F61" s="12">
        <v>5770924609.7919617</v>
      </c>
      <c r="G61" s="12">
        <v>0</v>
      </c>
      <c r="H61" s="12">
        <v>9754899.8144082762</v>
      </c>
      <c r="I61" s="12">
        <v>-18639882548.769592</v>
      </c>
      <c r="J61" s="12">
        <v>6557746002.0957289</v>
      </c>
      <c r="K61" s="12">
        <v>8783426.1647901628</v>
      </c>
      <c r="L61" s="12">
        <v>2688330.5567754433</v>
      </c>
      <c r="M61" s="12">
        <v>-5385807055.7527905</v>
      </c>
      <c r="N61" s="12">
        <v>15601698466.801851</v>
      </c>
      <c r="O61" s="12"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S61" s="6">
        <v>12238388.939540414</v>
      </c>
      <c r="AT61" s="167">
        <v>4000</v>
      </c>
      <c r="AU61" s="167">
        <v>4000</v>
      </c>
      <c r="AV61" s="167">
        <v>4000</v>
      </c>
      <c r="AW61" s="167">
        <v>4000</v>
      </c>
      <c r="AX61" s="167">
        <v>4000</v>
      </c>
      <c r="AY61" s="167">
        <v>4000</v>
      </c>
      <c r="AZ61" s="167">
        <v>4000</v>
      </c>
      <c r="BA61" s="167">
        <v>4000</v>
      </c>
      <c r="BB61" s="167">
        <v>4000</v>
      </c>
      <c r="BC61" s="167">
        <v>4000</v>
      </c>
      <c r="BD61" s="167">
        <v>4000</v>
      </c>
      <c r="BE61" s="167">
        <v>4000</v>
      </c>
      <c r="BF61" s="167">
        <v>4000</v>
      </c>
      <c r="BG61" s="167">
        <v>4000</v>
      </c>
      <c r="BH61" s="167">
        <v>4000</v>
      </c>
      <c r="BI61" s="167">
        <v>4000</v>
      </c>
      <c r="BJ61" s="167">
        <v>4000</v>
      </c>
      <c r="BK61" s="167">
        <v>4000</v>
      </c>
      <c r="BL61" s="167">
        <v>4000</v>
      </c>
      <c r="BM61" s="167">
        <v>4000</v>
      </c>
      <c r="BN61" s="167">
        <v>4000</v>
      </c>
      <c r="BO61" s="167">
        <v>4000</v>
      </c>
      <c r="BP61" s="167">
        <v>4000</v>
      </c>
      <c r="BQ61" s="167">
        <v>4000</v>
      </c>
      <c r="BR61" s="167">
        <v>4000</v>
      </c>
      <c r="BS61" s="167">
        <v>4000</v>
      </c>
      <c r="BT61" s="167">
        <v>4000</v>
      </c>
      <c r="BU61" s="167">
        <v>4000</v>
      </c>
      <c r="BV61" s="167">
        <v>4000</v>
      </c>
      <c r="BW61" s="167">
        <v>4000</v>
      </c>
      <c r="BX61" s="167">
        <v>3906.7761140863486</v>
      </c>
      <c r="BY61" s="167">
        <v>3684.9155954401481</v>
      </c>
      <c r="BZ61" s="167">
        <v>3487.8492275885519</v>
      </c>
      <c r="CA61" s="167">
        <v>3313.8097393125809</v>
      </c>
      <c r="CB61" s="167">
        <v>3161.3555613417639</v>
      </c>
      <c r="CC61" s="167">
        <v>3029.3163033282344</v>
      </c>
      <c r="CD61" s="167">
        <v>2916.74590162082</v>
      </c>
      <c r="CE61" s="167">
        <v>2822.881693095449</v>
      </c>
      <c r="CF61" s="167">
        <v>2747.1080761365561</v>
      </c>
      <c r="CG61" s="167">
        <v>2688.9238116451952</v>
      </c>
      <c r="CH61" s="167">
        <v>2647.9124146973977</v>
      </c>
      <c r="CI61" s="167">
        <v>2623.7155186528398</v>
      </c>
      <c r="CJ61" s="167">
        <v>2616.0095137435701</v>
      </c>
      <c r="CK61" s="167">
        <v>2624.4859490955168</v>
      </c>
      <c r="CL61" s="167">
        <v>2648.835879999604</v>
      </c>
      <c r="CM61" s="167">
        <v>2688.7377333929644</v>
      </c>
      <c r="CN61" s="167">
        <v>2743.8480333302405</v>
      </c>
      <c r="CO61" s="167">
        <v>2813.7947062434978</v>
      </c>
      <c r="CP61" s="167">
        <v>2898.1730714173373</v>
      </c>
      <c r="CQ61" s="167">
        <v>2996.5463447234056</v>
      </c>
      <c r="CR61" s="167">
        <v>3108.4390930358163</v>
      </c>
      <c r="CS61" s="167">
        <v>3233.352506377611</v>
      </c>
      <c r="CT61" s="167">
        <v>3370.7601752489327</v>
      </c>
      <c r="CU61" s="167">
        <v>3520.1161296939472</v>
      </c>
      <c r="CV61" s="167">
        <v>3680.862270488306</v>
      </c>
      <c r="CW61" s="167">
        <v>3852.4395317456911</v>
      </c>
      <c r="CX61" s="167">
        <v>4000</v>
      </c>
      <c r="CY61" s="167">
        <v>4000</v>
      </c>
      <c r="CZ61" s="167">
        <v>4000</v>
      </c>
      <c r="DA61" s="167">
        <v>4000</v>
      </c>
      <c r="DB61" s="167">
        <v>4000</v>
      </c>
      <c r="DC61" s="167">
        <v>4000</v>
      </c>
      <c r="DD61" s="167">
        <v>4000</v>
      </c>
      <c r="DE61" s="167">
        <v>4000</v>
      </c>
      <c r="DF61" s="167">
        <v>4000</v>
      </c>
      <c r="DG61" s="167">
        <v>4000</v>
      </c>
      <c r="DH61" s="167">
        <v>4000</v>
      </c>
      <c r="DI61" s="167">
        <v>4000</v>
      </c>
      <c r="DJ61" s="167">
        <v>4000</v>
      </c>
      <c r="DK61" s="167">
        <v>4000</v>
      </c>
      <c r="DL61" s="167">
        <v>4000</v>
      </c>
      <c r="DM61" s="167">
        <v>4000</v>
      </c>
      <c r="DN61" s="167">
        <v>4000</v>
      </c>
      <c r="DO61" s="167">
        <v>4000</v>
      </c>
      <c r="DP61" s="167">
        <v>4000</v>
      </c>
      <c r="DQ61" s="167">
        <v>4000</v>
      </c>
      <c r="DR61" s="167">
        <v>4000</v>
      </c>
      <c r="DS61" s="167">
        <v>4000</v>
      </c>
      <c r="DT61" s="167">
        <v>4000</v>
      </c>
      <c r="DU61" s="167">
        <v>4000</v>
      </c>
      <c r="DV61" s="167">
        <v>4000</v>
      </c>
      <c r="DW61" s="167">
        <v>4000</v>
      </c>
      <c r="DX61" s="167">
        <v>4000</v>
      </c>
      <c r="DY61" s="167">
        <v>4000</v>
      </c>
      <c r="DZ61" s="167">
        <v>4000</v>
      </c>
      <c r="EA61" s="167">
        <v>4000</v>
      </c>
      <c r="EB61" s="167">
        <v>4000</v>
      </c>
      <c r="EC61" s="167">
        <v>4000</v>
      </c>
      <c r="ED61" s="167">
        <v>4000</v>
      </c>
      <c r="EE61" s="167">
        <v>4000</v>
      </c>
      <c r="EF61" s="167">
        <v>4000</v>
      </c>
      <c r="EG61" s="167">
        <v>4000</v>
      </c>
      <c r="EH61" s="167">
        <v>4000</v>
      </c>
      <c r="EI61" s="167">
        <v>4000</v>
      </c>
      <c r="EJ61" s="167">
        <v>4000</v>
      </c>
      <c r="EK61" s="167">
        <v>4000</v>
      </c>
      <c r="EL61" s="167">
        <v>4000</v>
      </c>
      <c r="EM61" s="167">
        <v>4000</v>
      </c>
      <c r="EN61" s="167">
        <v>4000</v>
      </c>
      <c r="EO61" s="167">
        <v>4000</v>
      </c>
      <c r="EP61" t="str">
        <f t="shared" si="0"/>
        <v>1y 141d</v>
      </c>
    </row>
    <row r="62" spans="2:154" x14ac:dyDescent="0.25">
      <c r="B62" s="9">
        <v>59</v>
      </c>
      <c r="D62">
        <v>5338055.8663860196</v>
      </c>
      <c r="E62" s="12">
        <v>11928050449.452656</v>
      </c>
      <c r="F62" s="12">
        <v>6532784051.5380907</v>
      </c>
      <c r="G62" s="12">
        <v>0</v>
      </c>
      <c r="H62" s="12">
        <v>9912702.8502171542</v>
      </c>
      <c r="I62" s="12">
        <v>-19041263565.167103</v>
      </c>
      <c r="J62" s="12">
        <v>5381859559.5809231</v>
      </c>
      <c r="K62" s="12">
        <v>9956322.6243077405</v>
      </c>
      <c r="L62" s="12">
        <v>2749240.9844426136</v>
      </c>
      <c r="M62" s="12">
        <v>-5896318079.9554882</v>
      </c>
      <c r="N62" s="12">
        <v>15521956158.247812</v>
      </c>
      <c r="O62" s="12"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S62" s="6">
        <v>12417257.700964466</v>
      </c>
      <c r="AT62" s="167">
        <v>4000</v>
      </c>
      <c r="AU62" s="167">
        <v>4000</v>
      </c>
      <c r="AV62" s="167">
        <v>4000</v>
      </c>
      <c r="AW62" s="167">
        <v>4000</v>
      </c>
      <c r="AX62" s="167">
        <v>4000</v>
      </c>
      <c r="AY62" s="167">
        <v>4000</v>
      </c>
      <c r="AZ62" s="167">
        <v>4000</v>
      </c>
      <c r="BA62" s="167">
        <v>4000</v>
      </c>
      <c r="BB62" s="167">
        <v>4000</v>
      </c>
      <c r="BC62" s="167">
        <v>4000</v>
      </c>
      <c r="BD62" s="167">
        <v>4000</v>
      </c>
      <c r="BE62" s="167">
        <v>4000</v>
      </c>
      <c r="BF62" s="167">
        <v>4000</v>
      </c>
      <c r="BG62" s="167">
        <v>4000</v>
      </c>
      <c r="BH62" s="167">
        <v>4000</v>
      </c>
      <c r="BI62" s="167">
        <v>4000</v>
      </c>
      <c r="BJ62" s="167">
        <v>4000</v>
      </c>
      <c r="BK62" s="167">
        <v>4000</v>
      </c>
      <c r="BL62" s="167">
        <v>4000</v>
      </c>
      <c r="BM62" s="167">
        <v>4000</v>
      </c>
      <c r="BN62" s="167">
        <v>4000</v>
      </c>
      <c r="BO62" s="167">
        <v>4000</v>
      </c>
      <c r="BP62" s="167">
        <v>4000</v>
      </c>
      <c r="BQ62" s="167">
        <v>4000</v>
      </c>
      <c r="BR62" s="167">
        <v>4000</v>
      </c>
      <c r="BS62" s="167">
        <v>4000</v>
      </c>
      <c r="BT62" s="167">
        <v>4000</v>
      </c>
      <c r="BU62" s="167">
        <v>4000</v>
      </c>
      <c r="BV62" s="167">
        <v>4000</v>
      </c>
      <c r="BW62" s="167">
        <v>4000</v>
      </c>
      <c r="BX62" s="167">
        <v>4000</v>
      </c>
      <c r="BY62" s="167">
        <v>3859.6733911583124</v>
      </c>
      <c r="BZ62" s="167">
        <v>3642.1807164532365</v>
      </c>
      <c r="CA62" s="167">
        <v>3449.9604677567095</v>
      </c>
      <c r="CB62" s="167">
        <v>3281.2325891304372</v>
      </c>
      <c r="CC62" s="167">
        <v>3134.5382468524049</v>
      </c>
      <c r="CD62" s="167">
        <v>3008.6844414356046</v>
      </c>
      <c r="CE62" s="167">
        <v>2902.6962438168421</v>
      </c>
      <c r="CF62" s="167">
        <v>2815.775008593886</v>
      </c>
      <c r="CG62" s="167">
        <v>2747.2613422288232</v>
      </c>
      <c r="CH62" s="167">
        <v>2696.6020206778367</v>
      </c>
      <c r="CI62" s="167">
        <v>2663.3204815021681</v>
      </c>
      <c r="CJ62" s="167">
        <v>2646.9909535009065</v>
      </c>
      <c r="CK62" s="167">
        <v>2647.2165905581587</v>
      </c>
      <c r="CL62" s="167">
        <v>2663.6118713214178</v>
      </c>
      <c r="CM62" s="167">
        <v>2695.7889743942064</v>
      </c>
      <c r="CN62" s="167">
        <v>2743.3473831026977</v>
      </c>
      <c r="CO62" s="167">
        <v>2805.866154302822</v>
      </c>
      <c r="CP62" s="167">
        <v>2882.8987883399059</v>
      </c>
      <c r="CQ62" s="167">
        <v>2973.9707852910165</v>
      </c>
      <c r="CR62" s="167">
        <v>3078.5812329680102</v>
      </c>
      <c r="CS62" s="167">
        <v>3196.1983191751742</v>
      </c>
      <c r="CT62" s="167">
        <v>3326.2734055186038</v>
      </c>
      <c r="CU62" s="167">
        <v>3468.237983130859</v>
      </c>
      <c r="CV62" s="167">
        <v>3621.5109935689247</v>
      </c>
      <c r="CW62" s="167">
        <v>3785.5051415960347</v>
      </c>
      <c r="CX62" s="167">
        <v>3959.6354420522771</v>
      </c>
      <c r="CY62" s="167">
        <v>4000</v>
      </c>
      <c r="CZ62" s="167">
        <v>4000</v>
      </c>
      <c r="DA62" s="167">
        <v>4000</v>
      </c>
      <c r="DB62" s="167">
        <v>4000</v>
      </c>
      <c r="DC62" s="167">
        <v>4000</v>
      </c>
      <c r="DD62" s="167">
        <v>4000</v>
      </c>
      <c r="DE62" s="167">
        <v>4000</v>
      </c>
      <c r="DF62" s="167">
        <v>4000</v>
      </c>
      <c r="DG62" s="167">
        <v>4000</v>
      </c>
      <c r="DH62" s="167">
        <v>4000</v>
      </c>
      <c r="DI62" s="167">
        <v>4000</v>
      </c>
      <c r="DJ62" s="167">
        <v>4000</v>
      </c>
      <c r="DK62" s="167">
        <v>4000</v>
      </c>
      <c r="DL62" s="167">
        <v>4000</v>
      </c>
      <c r="DM62" s="167">
        <v>4000</v>
      </c>
      <c r="DN62" s="167">
        <v>4000</v>
      </c>
      <c r="DO62" s="167">
        <v>4000</v>
      </c>
      <c r="DP62" s="167">
        <v>4000</v>
      </c>
      <c r="DQ62" s="167">
        <v>4000</v>
      </c>
      <c r="DR62" s="167">
        <v>4000</v>
      </c>
      <c r="DS62" s="167">
        <v>4000</v>
      </c>
      <c r="DT62" s="167">
        <v>4000</v>
      </c>
      <c r="DU62" s="167">
        <v>4000</v>
      </c>
      <c r="DV62" s="167">
        <v>4000</v>
      </c>
      <c r="DW62" s="167">
        <v>4000</v>
      </c>
      <c r="DX62" s="167">
        <v>4000</v>
      </c>
      <c r="DY62" s="167">
        <v>4000</v>
      </c>
      <c r="DZ62" s="167">
        <v>4000</v>
      </c>
      <c r="EA62" s="167">
        <v>4000</v>
      </c>
      <c r="EB62" s="167">
        <v>4000</v>
      </c>
      <c r="EC62" s="167">
        <v>4000</v>
      </c>
      <c r="ED62" s="167">
        <v>4000</v>
      </c>
      <c r="EE62" s="167">
        <v>4000</v>
      </c>
      <c r="EF62" s="167">
        <v>4000</v>
      </c>
      <c r="EG62" s="167">
        <v>4000</v>
      </c>
      <c r="EH62" s="167">
        <v>4000</v>
      </c>
      <c r="EI62" s="167">
        <v>4000</v>
      </c>
      <c r="EJ62" s="167">
        <v>4000</v>
      </c>
      <c r="EK62" s="167">
        <v>4000</v>
      </c>
      <c r="EL62" s="167">
        <v>4000</v>
      </c>
      <c r="EM62" s="167">
        <v>4000</v>
      </c>
      <c r="EN62" s="167">
        <v>4000</v>
      </c>
      <c r="EO62" s="167">
        <v>4000</v>
      </c>
      <c r="EP62" t="str">
        <f t="shared" si="0"/>
        <v>1y 149d</v>
      </c>
    </row>
    <row r="63" spans="2:154" x14ac:dyDescent="0.25">
      <c r="B63" s="9">
        <v>60</v>
      </c>
      <c r="D63">
        <v>5430091.3123581922</v>
      </c>
      <c r="E63" s="12">
        <v>11494316262.025721</v>
      </c>
      <c r="F63" s="12">
        <v>7268861579.1779394</v>
      </c>
      <c r="G63" s="12">
        <v>0</v>
      </c>
      <c r="H63" s="12">
        <v>10070971.585977256</v>
      </c>
      <c r="I63" s="12">
        <v>-19371786592.948757</v>
      </c>
      <c r="J63" s="12">
        <v>4182141865.388166</v>
      </c>
      <c r="K63" s="12">
        <v>11095009.881758934</v>
      </c>
      <c r="L63" s="12">
        <v>2810885.138089499</v>
      </c>
      <c r="M63" s="12">
        <v>-6407274924.9034033</v>
      </c>
      <c r="N63" s="12">
        <v>15426239537.811859</v>
      </c>
      <c r="O63" s="12"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S63" s="6">
        <v>12596126.462388517</v>
      </c>
      <c r="AT63" s="167">
        <v>4000</v>
      </c>
      <c r="AU63" s="167">
        <v>4000</v>
      </c>
      <c r="AV63" s="167">
        <v>4000</v>
      </c>
      <c r="AW63" s="167">
        <v>4000</v>
      </c>
      <c r="AX63" s="167">
        <v>4000</v>
      </c>
      <c r="AY63" s="167">
        <v>4000</v>
      </c>
      <c r="AZ63" s="167">
        <v>4000</v>
      </c>
      <c r="BA63" s="167">
        <v>4000</v>
      </c>
      <c r="BB63" s="167">
        <v>4000</v>
      </c>
      <c r="BC63" s="167">
        <v>4000</v>
      </c>
      <c r="BD63" s="167">
        <v>4000</v>
      </c>
      <c r="BE63" s="167">
        <v>4000</v>
      </c>
      <c r="BF63" s="167">
        <v>4000</v>
      </c>
      <c r="BG63" s="167">
        <v>4000</v>
      </c>
      <c r="BH63" s="167">
        <v>4000</v>
      </c>
      <c r="BI63" s="167">
        <v>4000</v>
      </c>
      <c r="BJ63" s="167">
        <v>4000</v>
      </c>
      <c r="BK63" s="167">
        <v>4000</v>
      </c>
      <c r="BL63" s="167">
        <v>4000</v>
      </c>
      <c r="BM63" s="167">
        <v>4000</v>
      </c>
      <c r="BN63" s="167">
        <v>4000</v>
      </c>
      <c r="BO63" s="167">
        <v>4000</v>
      </c>
      <c r="BP63" s="167">
        <v>4000</v>
      </c>
      <c r="BQ63" s="167">
        <v>4000</v>
      </c>
      <c r="BR63" s="167">
        <v>4000</v>
      </c>
      <c r="BS63" s="167">
        <v>4000</v>
      </c>
      <c r="BT63" s="167">
        <v>4000</v>
      </c>
      <c r="BU63" s="167">
        <v>4000</v>
      </c>
      <c r="BV63" s="167">
        <v>4000</v>
      </c>
      <c r="BW63" s="167">
        <v>4000</v>
      </c>
      <c r="BX63" s="167">
        <v>4000</v>
      </c>
      <c r="BY63" s="167">
        <v>4000</v>
      </c>
      <c r="BZ63" s="167">
        <v>3812.6084616633525</v>
      </c>
      <c r="CA63" s="167">
        <v>3600.336212985786</v>
      </c>
      <c r="CB63" s="167">
        <v>3413.7467298186402</v>
      </c>
      <c r="CC63" s="167">
        <v>3251.0478756620214</v>
      </c>
      <c r="CD63" s="167">
        <v>3110.7625937616181</v>
      </c>
      <c r="CE63" s="167">
        <v>2991.6728634866017</v>
      </c>
      <c r="CF63" s="167">
        <v>2892.77128180821</v>
      </c>
      <c r="CG63" s="167">
        <v>2813.2187398677506</v>
      </c>
      <c r="CH63" s="167">
        <v>2752.3071063433927</v>
      </c>
      <c r="CI63" s="167">
        <v>2709.4262677482607</v>
      </c>
      <c r="CJ63" s="167">
        <v>2684.0353191720674</v>
      </c>
      <c r="CK63" s="167">
        <v>2675.6380740043733</v>
      </c>
      <c r="CL63" s="167">
        <v>2683.763143854042</v>
      </c>
      <c r="CM63" s="167">
        <v>2707.948448721123</v>
      </c>
      <c r="CN63" s="167">
        <v>2747.7294494724179</v>
      </c>
      <c r="CO63" s="167">
        <v>2802.6303007123006</v>
      </c>
      <c r="CP63" s="167">
        <v>2872.1575906369249</v>
      </c>
      <c r="CQ63" s="167">
        <v>2955.796711965022</v>
      </c>
      <c r="CR63" s="167">
        <v>3053.0125368843201</v>
      </c>
      <c r="CS63" s="167">
        <v>3163.2431073178941</v>
      </c>
      <c r="CT63" s="167">
        <v>3285.9142137567528</v>
      </c>
      <c r="CU63" s="167">
        <v>3420.4346593785399</v>
      </c>
      <c r="CV63" s="167">
        <v>3566.2028746069573</v>
      </c>
      <c r="CW63" s="167">
        <v>3722.6117072175784</v>
      </c>
      <c r="CX63" s="167">
        <v>3889.0537219806429</v>
      </c>
      <c r="CY63" s="167">
        <v>4000</v>
      </c>
      <c r="CZ63" s="167">
        <v>4000</v>
      </c>
      <c r="DA63" s="167">
        <v>4000</v>
      </c>
      <c r="DB63" s="167">
        <v>4000</v>
      </c>
      <c r="DC63" s="167">
        <v>4000</v>
      </c>
      <c r="DD63" s="167">
        <v>4000</v>
      </c>
      <c r="DE63" s="167">
        <v>4000</v>
      </c>
      <c r="DF63" s="167">
        <v>4000</v>
      </c>
      <c r="DG63" s="167">
        <v>4000</v>
      </c>
      <c r="DH63" s="167">
        <v>4000</v>
      </c>
      <c r="DI63" s="167">
        <v>4000</v>
      </c>
      <c r="DJ63" s="167">
        <v>4000</v>
      </c>
      <c r="DK63" s="167">
        <v>4000</v>
      </c>
      <c r="DL63" s="167">
        <v>4000</v>
      </c>
      <c r="DM63" s="167">
        <v>4000</v>
      </c>
      <c r="DN63" s="167">
        <v>4000</v>
      </c>
      <c r="DO63" s="167">
        <v>4000</v>
      </c>
      <c r="DP63" s="167">
        <v>4000</v>
      </c>
      <c r="DQ63" s="167">
        <v>4000</v>
      </c>
      <c r="DR63" s="167">
        <v>4000</v>
      </c>
      <c r="DS63" s="167">
        <v>4000</v>
      </c>
      <c r="DT63" s="167">
        <v>4000</v>
      </c>
      <c r="DU63" s="167">
        <v>4000</v>
      </c>
      <c r="DV63" s="167">
        <v>4000</v>
      </c>
      <c r="DW63" s="167">
        <v>4000</v>
      </c>
      <c r="DX63" s="167">
        <v>4000</v>
      </c>
      <c r="DY63" s="167">
        <v>4000</v>
      </c>
      <c r="DZ63" s="167">
        <v>4000</v>
      </c>
      <c r="EA63" s="167">
        <v>4000</v>
      </c>
      <c r="EB63" s="167">
        <v>4000</v>
      </c>
      <c r="EC63" s="167">
        <v>4000</v>
      </c>
      <c r="ED63" s="167">
        <v>4000</v>
      </c>
      <c r="EE63" s="167">
        <v>4000</v>
      </c>
      <c r="EF63" s="167">
        <v>4000</v>
      </c>
      <c r="EG63" s="167">
        <v>4000</v>
      </c>
      <c r="EH63" s="167">
        <v>4000</v>
      </c>
      <c r="EI63" s="167">
        <v>4000</v>
      </c>
      <c r="EJ63" s="167">
        <v>4000</v>
      </c>
      <c r="EK63" s="167">
        <v>4000</v>
      </c>
      <c r="EL63" s="167">
        <v>4000</v>
      </c>
      <c r="EM63" s="167">
        <v>4000</v>
      </c>
      <c r="EN63" s="167">
        <v>4000</v>
      </c>
      <c r="EO63" s="167">
        <v>4000</v>
      </c>
      <c r="EP63" t="str">
        <f t="shared" si="0"/>
        <v>1y 157d</v>
      </c>
    </row>
    <row r="64" spans="2:154" x14ac:dyDescent="0.25">
      <c r="B64" s="9">
        <v>61</v>
      </c>
      <c r="D64">
        <v>5522126.7583303647</v>
      </c>
      <c r="E64" s="12">
        <v>11015219259.566166</v>
      </c>
      <c r="F64" s="12">
        <v>7976252230.9917431</v>
      </c>
      <c r="G64" s="12">
        <v>0</v>
      </c>
      <c r="H64" s="12">
        <v>10229760.901083235</v>
      </c>
      <c r="I64" s="12">
        <v>-19629977276.684589</v>
      </c>
      <c r="J64" s="12">
        <v>2962628955.6774778</v>
      </c>
      <c r="K64" s="12">
        <v>12195391.200406468</v>
      </c>
      <c r="L64" s="12">
        <v>2873273.0983537696</v>
      </c>
      <c r="M64" s="12">
        <v>-6918161726.1342754</v>
      </c>
      <c r="N64" s="12">
        <v>15314357052.743103</v>
      </c>
      <c r="O64" s="12"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S64" s="6">
        <v>12774995.223812569</v>
      </c>
      <c r="AT64" s="167">
        <v>4000</v>
      </c>
      <c r="AU64" s="167">
        <v>4000</v>
      </c>
      <c r="AV64" s="167">
        <v>4000</v>
      </c>
      <c r="AW64" s="167">
        <v>4000</v>
      </c>
      <c r="AX64" s="167">
        <v>4000</v>
      </c>
      <c r="AY64" s="167">
        <v>4000</v>
      </c>
      <c r="AZ64" s="167">
        <v>4000</v>
      </c>
      <c r="BA64" s="167">
        <v>4000</v>
      </c>
      <c r="BB64" s="167">
        <v>4000</v>
      </c>
      <c r="BC64" s="167">
        <v>4000</v>
      </c>
      <c r="BD64" s="167">
        <v>4000</v>
      </c>
      <c r="BE64" s="167">
        <v>4000</v>
      </c>
      <c r="BF64" s="167">
        <v>4000</v>
      </c>
      <c r="BG64" s="167">
        <v>4000</v>
      </c>
      <c r="BH64" s="167">
        <v>4000</v>
      </c>
      <c r="BI64" s="167">
        <v>4000</v>
      </c>
      <c r="BJ64" s="167">
        <v>4000</v>
      </c>
      <c r="BK64" s="167">
        <v>4000</v>
      </c>
      <c r="BL64" s="167">
        <v>4000</v>
      </c>
      <c r="BM64" s="167">
        <v>4000</v>
      </c>
      <c r="BN64" s="167">
        <v>4000</v>
      </c>
      <c r="BO64" s="167">
        <v>4000</v>
      </c>
      <c r="BP64" s="167">
        <v>4000</v>
      </c>
      <c r="BQ64" s="167">
        <v>4000</v>
      </c>
      <c r="BR64" s="167">
        <v>4000</v>
      </c>
      <c r="BS64" s="167">
        <v>4000</v>
      </c>
      <c r="BT64" s="167">
        <v>4000</v>
      </c>
      <c r="BU64" s="167">
        <v>4000</v>
      </c>
      <c r="BV64" s="167">
        <v>4000</v>
      </c>
      <c r="BW64" s="167">
        <v>4000</v>
      </c>
      <c r="BX64" s="167">
        <v>4000</v>
      </c>
      <c r="BY64" s="167">
        <v>4000</v>
      </c>
      <c r="BZ64" s="167">
        <v>4000</v>
      </c>
      <c r="CA64" s="167">
        <v>3766.7964713361216</v>
      </c>
      <c r="CB64" s="167">
        <v>3560.5096440732768</v>
      </c>
      <c r="CC64" s="167">
        <v>3380.2481743971789</v>
      </c>
      <c r="CD64" s="167">
        <v>3224.2070403221492</v>
      </c>
      <c r="CE64" s="167">
        <v>3090.8887434701064</v>
      </c>
      <c r="CF64" s="167">
        <v>2979.0468594450867</v>
      </c>
      <c r="CG64" s="167">
        <v>2887.6372764664256</v>
      </c>
      <c r="CH64" s="167">
        <v>2815.7757225388905</v>
      </c>
      <c r="CI64" s="167">
        <v>2762.7006354769883</v>
      </c>
      <c r="CJ64" s="167">
        <v>2727.7408780140522</v>
      </c>
      <c r="CK64" s="167">
        <v>2710.288211969706</v>
      </c>
      <c r="CL64" s="167">
        <v>2709.7746709377843</v>
      </c>
      <c r="CM64" s="167">
        <v>2725.6547875777101</v>
      </c>
      <c r="CN64" s="167">
        <v>2757.3920949250087</v>
      </c>
      <c r="CO64" s="167">
        <v>2804.4489810048708</v>
      </c>
      <c r="CP64" s="167">
        <v>2866.2792555670067</v>
      </c>
      <c r="CQ64" s="167">
        <v>2942.3233021557612</v>
      </c>
      <c r="CR64" s="167">
        <v>3032.0077747126397</v>
      </c>
      <c r="CS64" s="167">
        <v>3134.7373270618264</v>
      </c>
      <c r="CT64" s="167">
        <v>3249.9097389212602</v>
      </c>
      <c r="CU64" s="167">
        <v>3376.9095240709576</v>
      </c>
      <c r="CV64" s="167">
        <v>3515.114159424757</v>
      </c>
      <c r="CW64" s="167">
        <v>3663.8981808183826</v>
      </c>
      <c r="CX64" s="167">
        <v>3822.6374613347944</v>
      </c>
      <c r="CY64" s="167">
        <v>3990.7136685881715</v>
      </c>
      <c r="CZ64" s="167">
        <v>4000</v>
      </c>
      <c r="DA64" s="167">
        <v>4000</v>
      </c>
      <c r="DB64" s="167">
        <v>4000</v>
      </c>
      <c r="DC64" s="167">
        <v>4000</v>
      </c>
      <c r="DD64" s="167">
        <v>4000</v>
      </c>
      <c r="DE64" s="167">
        <v>4000</v>
      </c>
      <c r="DF64" s="167">
        <v>4000</v>
      </c>
      <c r="DG64" s="167">
        <v>4000</v>
      </c>
      <c r="DH64" s="167">
        <v>4000</v>
      </c>
      <c r="DI64" s="167">
        <v>4000</v>
      </c>
      <c r="DJ64" s="167">
        <v>4000</v>
      </c>
      <c r="DK64" s="167">
        <v>4000</v>
      </c>
      <c r="DL64" s="167">
        <v>4000</v>
      </c>
      <c r="DM64" s="167">
        <v>4000</v>
      </c>
      <c r="DN64" s="167">
        <v>4000</v>
      </c>
      <c r="DO64" s="167">
        <v>4000</v>
      </c>
      <c r="DP64" s="167">
        <v>4000</v>
      </c>
      <c r="DQ64" s="167">
        <v>4000</v>
      </c>
      <c r="DR64" s="167">
        <v>4000</v>
      </c>
      <c r="DS64" s="167">
        <v>4000</v>
      </c>
      <c r="DT64" s="167">
        <v>4000</v>
      </c>
      <c r="DU64" s="167">
        <v>4000</v>
      </c>
      <c r="DV64" s="167">
        <v>4000</v>
      </c>
      <c r="DW64" s="167">
        <v>4000</v>
      </c>
      <c r="DX64" s="167">
        <v>4000</v>
      </c>
      <c r="DY64" s="167">
        <v>4000</v>
      </c>
      <c r="DZ64" s="167">
        <v>4000</v>
      </c>
      <c r="EA64" s="167">
        <v>4000</v>
      </c>
      <c r="EB64" s="167">
        <v>4000</v>
      </c>
      <c r="EC64" s="167">
        <v>4000</v>
      </c>
      <c r="ED64" s="167">
        <v>4000</v>
      </c>
      <c r="EE64" s="167">
        <v>4000</v>
      </c>
      <c r="EF64" s="167">
        <v>4000</v>
      </c>
      <c r="EG64" s="167">
        <v>4000</v>
      </c>
      <c r="EH64" s="167">
        <v>4000</v>
      </c>
      <c r="EI64" s="167">
        <v>4000</v>
      </c>
      <c r="EJ64" s="167">
        <v>4000</v>
      </c>
      <c r="EK64" s="167">
        <v>4000</v>
      </c>
      <c r="EL64" s="167">
        <v>4000</v>
      </c>
      <c r="EM64" s="167">
        <v>4000</v>
      </c>
      <c r="EN64" s="167">
        <v>4000</v>
      </c>
      <c r="EO64" s="167">
        <v>4000</v>
      </c>
      <c r="EP64" t="str">
        <f t="shared" si="0"/>
        <v>1y 165d</v>
      </c>
    </row>
    <row r="65" spans="2:146" x14ac:dyDescent="0.25">
      <c r="B65" s="9">
        <v>62</v>
      </c>
      <c r="D65">
        <v>5614162.2043025373</v>
      </c>
      <c r="E65" s="12">
        <v>10492650219.064095</v>
      </c>
      <c r="F65" s="12">
        <v>8652164259.2528458</v>
      </c>
      <c r="G65" s="12">
        <v>0</v>
      </c>
      <c r="H65" s="12">
        <v>10389124.399780903</v>
      </c>
      <c r="I65" s="12">
        <v>-19814563277.289944</v>
      </c>
      <c r="J65" s="12">
        <v>1727458119.6868727</v>
      </c>
      <c r="K65" s="12">
        <v>13253442.494256863</v>
      </c>
      <c r="L65" s="12">
        <v>2936414.375529557</v>
      </c>
      <c r="M65" s="12">
        <v>-7428444361.3335438</v>
      </c>
      <c r="N65" s="12">
        <v>15186131868.44998</v>
      </c>
      <c r="O65" s="12"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S65" s="6">
        <v>12953863.985236621</v>
      </c>
      <c r="AT65" s="167">
        <v>4000</v>
      </c>
      <c r="AU65" s="167">
        <v>4000</v>
      </c>
      <c r="AV65" s="167">
        <v>4000</v>
      </c>
      <c r="AW65" s="167">
        <v>4000</v>
      </c>
      <c r="AX65" s="167">
        <v>4000</v>
      </c>
      <c r="AY65" s="167">
        <v>4000</v>
      </c>
      <c r="AZ65" s="167">
        <v>4000</v>
      </c>
      <c r="BA65" s="167">
        <v>4000</v>
      </c>
      <c r="BB65" s="167">
        <v>4000</v>
      </c>
      <c r="BC65" s="167">
        <v>4000</v>
      </c>
      <c r="BD65" s="167">
        <v>4000</v>
      </c>
      <c r="BE65" s="167">
        <v>4000</v>
      </c>
      <c r="BF65" s="167">
        <v>4000</v>
      </c>
      <c r="BG65" s="167">
        <v>4000</v>
      </c>
      <c r="BH65" s="167">
        <v>4000</v>
      </c>
      <c r="BI65" s="167">
        <v>4000</v>
      </c>
      <c r="BJ65" s="167">
        <v>4000</v>
      </c>
      <c r="BK65" s="167">
        <v>4000</v>
      </c>
      <c r="BL65" s="167">
        <v>4000</v>
      </c>
      <c r="BM65" s="167">
        <v>4000</v>
      </c>
      <c r="BN65" s="167">
        <v>4000</v>
      </c>
      <c r="BO65" s="167">
        <v>4000</v>
      </c>
      <c r="BP65" s="167">
        <v>4000</v>
      </c>
      <c r="BQ65" s="167">
        <v>4000</v>
      </c>
      <c r="BR65" s="167">
        <v>4000</v>
      </c>
      <c r="BS65" s="167">
        <v>4000</v>
      </c>
      <c r="BT65" s="167">
        <v>4000</v>
      </c>
      <c r="BU65" s="167">
        <v>4000</v>
      </c>
      <c r="BV65" s="167">
        <v>4000</v>
      </c>
      <c r="BW65" s="167">
        <v>4000</v>
      </c>
      <c r="BX65" s="167">
        <v>4000</v>
      </c>
      <c r="BY65" s="167">
        <v>4000</v>
      </c>
      <c r="BZ65" s="167">
        <v>4000</v>
      </c>
      <c r="CA65" s="167">
        <v>3951.5243782411717</v>
      </c>
      <c r="CB65" s="167">
        <v>3723.4093197283401</v>
      </c>
      <c r="CC65" s="167">
        <v>3523.7791626980706</v>
      </c>
      <c r="CD65" s="167">
        <v>3350.4488284095933</v>
      </c>
      <c r="CE65" s="167">
        <v>3201.5982225433977</v>
      </c>
      <c r="CF65" s="167">
        <v>3075.7061176518446</v>
      </c>
      <c r="CG65" s="167">
        <v>2971.4935925200202</v>
      </c>
      <c r="CH65" s="167">
        <v>2887.8752928889444</v>
      </c>
      <c r="CI65" s="167">
        <v>2823.9172485412564</v>
      </c>
      <c r="CJ65" s="167">
        <v>2778.8004386837579</v>
      </c>
      <c r="CK65" s="167">
        <v>2751.78972738835</v>
      </c>
      <c r="CL65" s="167">
        <v>2742.2081082811255</v>
      </c>
      <c r="CM65" s="167">
        <v>2749.4162113361681</v>
      </c>
      <c r="CN65" s="167">
        <v>2772.7966340717358</v>
      </c>
      <c r="CO65" s="167">
        <v>2811.7421915154441</v>
      </c>
      <c r="CP65" s="167">
        <v>2865.647190109913</v>
      </c>
      <c r="CQ65" s="167">
        <v>2933.9013210151929</v>
      </c>
      <c r="CR65" s="167">
        <v>3015.8861263483614</v>
      </c>
      <c r="CS65" s="167">
        <v>3110.9755707847203</v>
      </c>
      <c r="CT65" s="167">
        <v>3218.5297516556616</v>
      </c>
      <c r="CU65" s="167">
        <v>3337.9086840866503</v>
      </c>
      <c r="CV65" s="167">
        <v>3468.4672265501567</v>
      </c>
      <c r="CW65" s="167">
        <v>3609.5608643329278</v>
      </c>
      <c r="CX65" s="167">
        <v>3760.5494822676792</v>
      </c>
      <c r="CY65" s="167">
        <v>3920.80116996982</v>
      </c>
      <c r="CZ65" s="167">
        <v>4000</v>
      </c>
      <c r="DA65" s="167">
        <v>4000</v>
      </c>
      <c r="DB65" s="167">
        <v>4000</v>
      </c>
      <c r="DC65" s="167">
        <v>4000</v>
      </c>
      <c r="DD65" s="167">
        <v>4000</v>
      </c>
      <c r="DE65" s="167">
        <v>4000</v>
      </c>
      <c r="DF65" s="167">
        <v>4000</v>
      </c>
      <c r="DG65" s="167">
        <v>4000</v>
      </c>
      <c r="DH65" s="167">
        <v>4000</v>
      </c>
      <c r="DI65" s="167">
        <v>4000</v>
      </c>
      <c r="DJ65" s="167">
        <v>4000</v>
      </c>
      <c r="DK65" s="167">
        <v>4000</v>
      </c>
      <c r="DL65" s="167">
        <v>4000</v>
      </c>
      <c r="DM65" s="167">
        <v>4000</v>
      </c>
      <c r="DN65" s="167">
        <v>4000</v>
      </c>
      <c r="DO65" s="167">
        <v>4000</v>
      </c>
      <c r="DP65" s="167">
        <v>4000</v>
      </c>
      <c r="DQ65" s="167">
        <v>4000</v>
      </c>
      <c r="DR65" s="167">
        <v>4000</v>
      </c>
      <c r="DS65" s="167">
        <v>4000</v>
      </c>
      <c r="DT65" s="167">
        <v>4000</v>
      </c>
      <c r="DU65" s="167">
        <v>4000</v>
      </c>
      <c r="DV65" s="167">
        <v>4000</v>
      </c>
      <c r="DW65" s="167">
        <v>4000</v>
      </c>
      <c r="DX65" s="167">
        <v>4000</v>
      </c>
      <c r="DY65" s="167">
        <v>4000</v>
      </c>
      <c r="DZ65" s="167">
        <v>4000</v>
      </c>
      <c r="EA65" s="167">
        <v>4000</v>
      </c>
      <c r="EB65" s="167">
        <v>4000</v>
      </c>
      <c r="EC65" s="167">
        <v>4000</v>
      </c>
      <c r="ED65" s="167">
        <v>4000</v>
      </c>
      <c r="EE65" s="167">
        <v>4000</v>
      </c>
      <c r="EF65" s="167">
        <v>4000</v>
      </c>
      <c r="EG65" s="167">
        <v>4000</v>
      </c>
      <c r="EH65" s="167">
        <v>4000</v>
      </c>
      <c r="EI65" s="167">
        <v>4000</v>
      </c>
      <c r="EJ65" s="167">
        <v>4000</v>
      </c>
      <c r="EK65" s="167">
        <v>4000</v>
      </c>
      <c r="EL65" s="167">
        <v>4000</v>
      </c>
      <c r="EM65" s="167">
        <v>4000</v>
      </c>
      <c r="EN65" s="167">
        <v>4000</v>
      </c>
      <c r="EO65" s="167">
        <v>4000</v>
      </c>
      <c r="EP65" t="str">
        <f t="shared" si="0"/>
        <v>1y 174d</v>
      </c>
    </row>
    <row r="66" spans="2:146" x14ac:dyDescent="0.25">
      <c r="B66" s="9">
        <v>63</v>
      </c>
      <c r="D66">
        <v>5706197.6502747098</v>
      </c>
      <c r="E66" s="12">
        <v>9928671481.7832851</v>
      </c>
      <c r="F66" s="12">
        <v>9293930147.9805317</v>
      </c>
      <c r="G66" s="12">
        <v>0</v>
      </c>
      <c r="H66" s="12">
        <v>10549114.250022741</v>
      </c>
      <c r="I66" s="12">
        <v>-19924482182.062538</v>
      </c>
      <c r="J66" s="12">
        <v>480861393.07741129</v>
      </c>
      <c r="K66" s="12">
        <v>14265222.99386861</v>
      </c>
      <c r="L66" s="12">
        <v>3000317.8632851718</v>
      </c>
      <c r="M66" s="12">
        <v>-7937570620.0431976</v>
      </c>
      <c r="N66" s="12">
        <v>15041403185.096893</v>
      </c>
      <c r="O66" s="12"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S66" s="6">
        <v>13132732.746660672</v>
      </c>
      <c r="AT66" s="167">
        <v>4000</v>
      </c>
      <c r="AU66" s="167">
        <v>4000</v>
      </c>
      <c r="AV66" s="167">
        <v>4000</v>
      </c>
      <c r="AW66" s="167">
        <v>4000</v>
      </c>
      <c r="AX66" s="167">
        <v>4000</v>
      </c>
      <c r="AY66" s="167">
        <v>4000</v>
      </c>
      <c r="AZ66" s="167">
        <v>4000</v>
      </c>
      <c r="BA66" s="167">
        <v>4000</v>
      </c>
      <c r="BB66" s="167">
        <v>4000</v>
      </c>
      <c r="BC66" s="167">
        <v>4000</v>
      </c>
      <c r="BD66" s="167">
        <v>4000</v>
      </c>
      <c r="BE66" s="167">
        <v>4000</v>
      </c>
      <c r="BF66" s="167">
        <v>4000</v>
      </c>
      <c r="BG66" s="167">
        <v>4000</v>
      </c>
      <c r="BH66" s="167">
        <v>4000</v>
      </c>
      <c r="BI66" s="167">
        <v>4000</v>
      </c>
      <c r="BJ66" s="167">
        <v>4000</v>
      </c>
      <c r="BK66" s="167">
        <v>4000</v>
      </c>
      <c r="BL66" s="167">
        <v>4000</v>
      </c>
      <c r="BM66" s="167">
        <v>4000</v>
      </c>
      <c r="BN66" s="167">
        <v>4000</v>
      </c>
      <c r="BO66" s="167">
        <v>4000</v>
      </c>
      <c r="BP66" s="167">
        <v>4000</v>
      </c>
      <c r="BQ66" s="167">
        <v>4000</v>
      </c>
      <c r="BR66" s="167">
        <v>4000</v>
      </c>
      <c r="BS66" s="167">
        <v>4000</v>
      </c>
      <c r="BT66" s="167">
        <v>4000</v>
      </c>
      <c r="BU66" s="167">
        <v>4000</v>
      </c>
      <c r="BV66" s="167">
        <v>4000</v>
      </c>
      <c r="BW66" s="167">
        <v>4000</v>
      </c>
      <c r="BX66" s="167">
        <v>4000</v>
      </c>
      <c r="BY66" s="167">
        <v>4000</v>
      </c>
      <c r="BZ66" s="167">
        <v>4000</v>
      </c>
      <c r="CA66" s="167">
        <v>4000</v>
      </c>
      <c r="CB66" s="167">
        <v>3904.6685279813378</v>
      </c>
      <c r="CC66" s="167">
        <v>3683.5673154226088</v>
      </c>
      <c r="CD66" s="167">
        <v>3491.1652980138042</v>
      </c>
      <c r="CE66" s="167">
        <v>3325.2685075606241</v>
      </c>
      <c r="CF66" s="167">
        <v>3184.0384208594578</v>
      </c>
      <c r="CG66" s="167">
        <v>3065.9259983041775</v>
      </c>
      <c r="CH66" s="167">
        <v>2969.6153509278629</v>
      </c>
      <c r="CI66" s="167">
        <v>2893.9754302200677</v>
      </c>
      <c r="CJ66" s="167">
        <v>2838.0186027914224</v>
      </c>
      <c r="CK66" s="167">
        <v>2800.8654138223883</v>
      </c>
      <c r="CL66" s="167">
        <v>2781.7152133246782</v>
      </c>
      <c r="CM66" s="167">
        <v>2779.8224849586563</v>
      </c>
      <c r="CN66" s="167">
        <v>2794.4785234681376</v>
      </c>
      <c r="CO66" s="167">
        <v>2824.9976582442268</v>
      </c>
      <c r="CP66" s="167">
        <v>2870.7069966559238</v>
      </c>
      <c r="CQ66" s="167">
        <v>2930.938974701271</v>
      </c>
      <c r="CR66" s="167">
        <v>3005.0264894164657</v>
      </c>
      <c r="CS66" s="167">
        <v>3092.3024175645428</v>
      </c>
      <c r="CT66" s="167">
        <v>3192.0913165885613</v>
      </c>
      <c r="CU66" s="167">
        <v>3303.7237548124631</v>
      </c>
      <c r="CV66" s="167">
        <v>3426.5296142489187</v>
      </c>
      <c r="CW66" s="167">
        <v>3559.8436087900654</v>
      </c>
      <c r="CX66" s="167">
        <v>3703.0086414891321</v>
      </c>
      <c r="CY66" s="167">
        <v>3855.3792328297704</v>
      </c>
      <c r="CZ66" s="167">
        <v>4000</v>
      </c>
      <c r="DA66" s="167">
        <v>4000</v>
      </c>
      <c r="DB66" s="167">
        <v>4000</v>
      </c>
      <c r="DC66" s="167">
        <v>4000</v>
      </c>
      <c r="DD66" s="167">
        <v>4000</v>
      </c>
      <c r="DE66" s="167">
        <v>4000</v>
      </c>
      <c r="DF66" s="167">
        <v>4000</v>
      </c>
      <c r="DG66" s="167">
        <v>4000</v>
      </c>
      <c r="DH66" s="167">
        <v>4000</v>
      </c>
      <c r="DI66" s="167">
        <v>4000</v>
      </c>
      <c r="DJ66" s="167">
        <v>4000</v>
      </c>
      <c r="DK66" s="167">
        <v>4000</v>
      </c>
      <c r="DL66" s="167">
        <v>4000</v>
      </c>
      <c r="DM66" s="167">
        <v>4000</v>
      </c>
      <c r="DN66" s="167">
        <v>4000</v>
      </c>
      <c r="DO66" s="167">
        <v>4000</v>
      </c>
      <c r="DP66" s="167">
        <v>4000</v>
      </c>
      <c r="DQ66" s="167">
        <v>4000</v>
      </c>
      <c r="DR66" s="167">
        <v>4000</v>
      </c>
      <c r="DS66" s="167">
        <v>4000</v>
      </c>
      <c r="DT66" s="167">
        <v>4000</v>
      </c>
      <c r="DU66" s="167">
        <v>4000</v>
      </c>
      <c r="DV66" s="167">
        <v>4000</v>
      </c>
      <c r="DW66" s="167">
        <v>4000</v>
      </c>
      <c r="DX66" s="167">
        <v>4000</v>
      </c>
      <c r="DY66" s="167">
        <v>4000</v>
      </c>
      <c r="DZ66" s="167">
        <v>4000</v>
      </c>
      <c r="EA66" s="167">
        <v>4000</v>
      </c>
      <c r="EB66" s="167">
        <v>4000</v>
      </c>
      <c r="EC66" s="167">
        <v>4000</v>
      </c>
      <c r="ED66" s="167">
        <v>4000</v>
      </c>
      <c r="EE66" s="167">
        <v>4000</v>
      </c>
      <c r="EF66" s="167">
        <v>4000</v>
      </c>
      <c r="EG66" s="167">
        <v>4000</v>
      </c>
      <c r="EH66" s="167">
        <v>4000</v>
      </c>
      <c r="EI66" s="167">
        <v>4000</v>
      </c>
      <c r="EJ66" s="167">
        <v>4000</v>
      </c>
      <c r="EK66" s="167">
        <v>4000</v>
      </c>
      <c r="EL66" s="167">
        <v>4000</v>
      </c>
      <c r="EM66" s="167">
        <v>4000</v>
      </c>
      <c r="EN66" s="167">
        <v>4000</v>
      </c>
      <c r="EO66" s="167">
        <v>4000</v>
      </c>
      <c r="EP66" t="str">
        <f t="shared" si="0"/>
        <v>1y 182d</v>
      </c>
    </row>
    <row r="67" spans="2:146" x14ac:dyDescent="0.25">
      <c r="B67" s="9">
        <v>64</v>
      </c>
      <c r="D67">
        <v>5798233.0962468833</v>
      </c>
      <c r="E67" s="12">
        <v>9325508814.1424084</v>
      </c>
      <c r="F67" s="12">
        <v>9899017140.4069386</v>
      </c>
      <c r="G67" s="12">
        <v>0</v>
      </c>
      <c r="H67" s="12">
        <v>10709781.017153939</v>
      </c>
      <c r="I67" s="12">
        <v>-19958889718.518131</v>
      </c>
      <c r="J67" s="12">
        <v>-772841633.15359521</v>
      </c>
      <c r="K67" s="12">
        <v>15226886.646357674</v>
      </c>
      <c r="L67" s="12">
        <v>3064991.7910465668</v>
      </c>
      <c r="M67" s="12">
        <v>-8444970461.556901</v>
      </c>
      <c r="N67" s="12">
        <v>14880027587.923395</v>
      </c>
      <c r="O67" s="12"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S67" s="6">
        <v>13311601.508084724</v>
      </c>
      <c r="AT67" s="167">
        <v>4000</v>
      </c>
      <c r="AU67" s="167">
        <v>4000</v>
      </c>
      <c r="AV67" s="167">
        <v>4000</v>
      </c>
      <c r="AW67" s="167">
        <v>4000</v>
      </c>
      <c r="AX67" s="167">
        <v>4000</v>
      </c>
      <c r="AY67" s="167">
        <v>4000</v>
      </c>
      <c r="AZ67" s="167">
        <v>4000</v>
      </c>
      <c r="BA67" s="167">
        <v>4000</v>
      </c>
      <c r="BB67" s="167">
        <v>4000</v>
      </c>
      <c r="BC67" s="167">
        <v>4000</v>
      </c>
      <c r="BD67" s="167">
        <v>4000</v>
      </c>
      <c r="BE67" s="167">
        <v>4000</v>
      </c>
      <c r="BF67" s="167">
        <v>4000</v>
      </c>
      <c r="BG67" s="167">
        <v>4000</v>
      </c>
      <c r="BH67" s="167">
        <v>4000</v>
      </c>
      <c r="BI67" s="167">
        <v>4000</v>
      </c>
      <c r="BJ67" s="167">
        <v>4000</v>
      </c>
      <c r="BK67" s="167">
        <v>4000</v>
      </c>
      <c r="BL67" s="167">
        <v>4000</v>
      </c>
      <c r="BM67" s="167">
        <v>4000</v>
      </c>
      <c r="BN67" s="167">
        <v>4000</v>
      </c>
      <c r="BO67" s="167">
        <v>4000</v>
      </c>
      <c r="BP67" s="167">
        <v>4000</v>
      </c>
      <c r="BQ67" s="167">
        <v>4000</v>
      </c>
      <c r="BR67" s="167">
        <v>4000</v>
      </c>
      <c r="BS67" s="167">
        <v>4000</v>
      </c>
      <c r="BT67" s="167">
        <v>4000</v>
      </c>
      <c r="BU67" s="167">
        <v>4000</v>
      </c>
      <c r="BV67" s="167">
        <v>4000</v>
      </c>
      <c r="BW67" s="167">
        <v>4000</v>
      </c>
      <c r="BX67" s="167">
        <v>4000</v>
      </c>
      <c r="BY67" s="167">
        <v>4000</v>
      </c>
      <c r="BZ67" s="167">
        <v>4000</v>
      </c>
      <c r="CA67" s="167">
        <v>4000</v>
      </c>
      <c r="CB67" s="167">
        <v>4000</v>
      </c>
      <c r="CC67" s="167">
        <v>3861.8871769651196</v>
      </c>
      <c r="CD67" s="167">
        <v>3648.332239603074</v>
      </c>
      <c r="CE67" s="167">
        <v>3463.6239918688007</v>
      </c>
      <c r="CF67" s="167">
        <v>3305.5559448060212</v>
      </c>
      <c r="CG67" s="167">
        <v>3172.2669079263896</v>
      </c>
      <c r="CH67" s="167">
        <v>3062.1754904897921</v>
      </c>
      <c r="CI67" s="167">
        <v>2973.924368240866</v>
      </c>
      <c r="CJ67" s="167">
        <v>2906.332829611646</v>
      </c>
      <c r="CK67" s="167">
        <v>2858.3565671667207</v>
      </c>
      <c r="CL67" s="167">
        <v>2829.0540800787257</v>
      </c>
      <c r="CM67" s="167">
        <v>2817.5593202277996</v>
      </c>
      <c r="CN67" s="167">
        <v>2823.060207981825</v>
      </c>
      <c r="CO67" s="167">
        <v>2844.7823254510204</v>
      </c>
      <c r="CP67" s="167">
        <v>2881.9767568429752</v>
      </c>
      <c r="CQ67" s="167">
        <v>2933.9111183257564</v>
      </c>
      <c r="CR67" s="167">
        <v>2999.8632769015394</v>
      </c>
      <c r="CS67" s="167">
        <v>3079.1197306849958</v>
      </c>
      <c r="CT67" s="167">
        <v>3170.9651072939187</v>
      </c>
      <c r="CU67" s="167">
        <v>3274.6969653808965</v>
      </c>
      <c r="CV67" s="167">
        <v>3389.617309720918</v>
      </c>
      <c r="CW67" s="167">
        <v>3515.0377747418502</v>
      </c>
      <c r="CX67" s="167">
        <v>3650.2825289204461</v>
      </c>
      <c r="CY67" s="167">
        <v>3794.69134288845</v>
      </c>
      <c r="CZ67" s="167">
        <v>3947.6226657601783</v>
      </c>
      <c r="DA67" s="167">
        <v>4000</v>
      </c>
      <c r="DB67" s="167">
        <v>4000</v>
      </c>
      <c r="DC67" s="167">
        <v>4000</v>
      </c>
      <c r="DD67" s="167">
        <v>4000</v>
      </c>
      <c r="DE67" s="167">
        <v>4000</v>
      </c>
      <c r="DF67" s="167">
        <v>4000</v>
      </c>
      <c r="DG67" s="167">
        <v>4000</v>
      </c>
      <c r="DH67" s="167">
        <v>4000</v>
      </c>
      <c r="DI67" s="167">
        <v>4000</v>
      </c>
      <c r="DJ67" s="167">
        <v>4000</v>
      </c>
      <c r="DK67" s="167">
        <v>4000</v>
      </c>
      <c r="DL67" s="167">
        <v>4000</v>
      </c>
      <c r="DM67" s="167">
        <v>4000</v>
      </c>
      <c r="DN67" s="167">
        <v>4000</v>
      </c>
      <c r="DO67" s="167">
        <v>4000</v>
      </c>
      <c r="DP67" s="167">
        <v>4000</v>
      </c>
      <c r="DQ67" s="167">
        <v>4000</v>
      </c>
      <c r="DR67" s="167">
        <v>4000</v>
      </c>
      <c r="DS67" s="167">
        <v>4000</v>
      </c>
      <c r="DT67" s="167">
        <v>4000</v>
      </c>
      <c r="DU67" s="167">
        <v>4000</v>
      </c>
      <c r="DV67" s="167">
        <v>4000</v>
      </c>
      <c r="DW67" s="167">
        <v>4000</v>
      </c>
      <c r="DX67" s="167">
        <v>4000</v>
      </c>
      <c r="DY67" s="167">
        <v>4000</v>
      </c>
      <c r="DZ67" s="167">
        <v>4000</v>
      </c>
      <c r="EA67" s="167">
        <v>4000</v>
      </c>
      <c r="EB67" s="167">
        <v>4000</v>
      </c>
      <c r="EC67" s="167">
        <v>4000</v>
      </c>
      <c r="ED67" s="167">
        <v>4000</v>
      </c>
      <c r="EE67" s="167">
        <v>4000</v>
      </c>
      <c r="EF67" s="167">
        <v>4000</v>
      </c>
      <c r="EG67" s="167">
        <v>4000</v>
      </c>
      <c r="EH67" s="167">
        <v>4000</v>
      </c>
      <c r="EI67" s="167">
        <v>4000</v>
      </c>
      <c r="EJ67" s="167">
        <v>4000</v>
      </c>
      <c r="EK67" s="167">
        <v>4000</v>
      </c>
      <c r="EL67" s="167">
        <v>4000</v>
      </c>
      <c r="EM67" s="167">
        <v>4000</v>
      </c>
      <c r="EN67" s="167">
        <v>4000</v>
      </c>
      <c r="EO67" s="167">
        <v>4000</v>
      </c>
      <c r="EP67" t="str">
        <f t="shared" si="0"/>
        <v>1y 190d</v>
      </c>
    </row>
    <row r="68" spans="2:146" x14ac:dyDescent="0.25">
      <c r="B68" s="9">
        <v>65</v>
      </c>
      <c r="D68">
        <v>5890268.5422190549</v>
      </c>
      <c r="E68" s="12">
        <v>8685542623.631834</v>
      </c>
      <c r="F68" s="12">
        <v>10465037234.610912</v>
      </c>
      <c r="G68" s="12">
        <v>0</v>
      </c>
      <c r="H68" s="12">
        <v>10871173.492359076</v>
      </c>
      <c r="I68" s="12">
        <v>-19917168214.805519</v>
      </c>
      <c r="J68" s="12">
        <v>-2029251786.7981761</v>
      </c>
      <c r="K68" s="12">
        <v>16134694.281252921</v>
      </c>
      <c r="L68" s="12">
        <v>3130443.6751850578</v>
      </c>
      <c r="M68" s="12">
        <v>-8950056366.8347034</v>
      </c>
      <c r="N68" s="12">
        <v>14701880426.357378</v>
      </c>
      <c r="O68" s="12"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S68" s="6">
        <v>13490470.269508775</v>
      </c>
      <c r="AT68" s="167">
        <v>4000</v>
      </c>
      <c r="AU68" s="167">
        <v>4000</v>
      </c>
      <c r="AV68" s="167">
        <v>4000</v>
      </c>
      <c r="AW68" s="167">
        <v>4000</v>
      </c>
      <c r="AX68" s="167">
        <v>4000</v>
      </c>
      <c r="AY68" s="167">
        <v>4000</v>
      </c>
      <c r="AZ68" s="167">
        <v>4000</v>
      </c>
      <c r="BA68" s="167">
        <v>4000</v>
      </c>
      <c r="BB68" s="167">
        <v>4000</v>
      </c>
      <c r="BC68" s="167">
        <v>4000</v>
      </c>
      <c r="BD68" s="167">
        <v>4000</v>
      </c>
      <c r="BE68" s="167">
        <v>4000</v>
      </c>
      <c r="BF68" s="167">
        <v>4000</v>
      </c>
      <c r="BG68" s="167">
        <v>4000</v>
      </c>
      <c r="BH68" s="167">
        <v>4000</v>
      </c>
      <c r="BI68" s="167">
        <v>4000</v>
      </c>
      <c r="BJ68" s="167">
        <v>4000</v>
      </c>
      <c r="BK68" s="167">
        <v>4000</v>
      </c>
      <c r="BL68" s="167">
        <v>4000</v>
      </c>
      <c r="BM68" s="167">
        <v>4000</v>
      </c>
      <c r="BN68" s="167">
        <v>4000</v>
      </c>
      <c r="BO68" s="167">
        <v>4000</v>
      </c>
      <c r="BP68" s="167">
        <v>4000</v>
      </c>
      <c r="BQ68" s="167">
        <v>4000</v>
      </c>
      <c r="BR68" s="167">
        <v>4000</v>
      </c>
      <c r="BS68" s="167">
        <v>4000</v>
      </c>
      <c r="BT68" s="167">
        <v>4000</v>
      </c>
      <c r="BU68" s="167">
        <v>4000</v>
      </c>
      <c r="BV68" s="167">
        <v>4000</v>
      </c>
      <c r="BW68" s="167">
        <v>4000</v>
      </c>
      <c r="BX68" s="167">
        <v>4000</v>
      </c>
      <c r="BY68" s="167">
        <v>4000</v>
      </c>
      <c r="BZ68" s="167">
        <v>4000</v>
      </c>
      <c r="CA68" s="167">
        <v>4000</v>
      </c>
      <c r="CB68" s="167">
        <v>4000</v>
      </c>
      <c r="CC68" s="167">
        <v>4000</v>
      </c>
      <c r="CD68" s="167">
        <v>3824.2891590740173</v>
      </c>
      <c r="CE68" s="167">
        <v>3618.7015717053182</v>
      </c>
      <c r="CF68" s="167">
        <v>3442.0407468265003</v>
      </c>
      <c r="CG68" s="167">
        <v>3292.083073922633</v>
      </c>
      <c r="CH68" s="167">
        <v>3166.939923092862</v>
      </c>
      <c r="CI68" s="167">
        <v>3064.9929410067834</v>
      </c>
      <c r="CJ68" s="167">
        <v>2984.8393025065748</v>
      </c>
      <c r="CK68" s="167">
        <v>2925.2455283759127</v>
      </c>
      <c r="CL68" s="167">
        <v>2885.1088978856692</v>
      </c>
      <c r="CM68" s="167">
        <v>2863.4258133497888</v>
      </c>
      <c r="CN68" s="167">
        <v>2859.2666121893772</v>
      </c>
      <c r="CO68" s="167">
        <v>2871.7561783745768</v>
      </c>
      <c r="CP68" s="167">
        <v>2900.0593896381115</v>
      </c>
      <c r="CQ68" s="167">
        <v>2943.3703155408598</v>
      </c>
      <c r="CR68" s="167">
        <v>3000.9043788913878</v>
      </c>
      <c r="CS68" s="167">
        <v>3071.8931267001972</v>
      </c>
      <c r="CT68" s="167">
        <v>3155.5832629444676</v>
      </c>
      <c r="CU68" s="167">
        <v>3251.2279870744633</v>
      </c>
      <c r="CV68" s="167">
        <v>3358.1003673171363</v>
      </c>
      <c r="CW68" s="167">
        <v>3475.4861582365202</v>
      </c>
      <c r="CX68" s="167">
        <v>3602.6885467599036</v>
      </c>
      <c r="CY68" s="167">
        <v>3739.0307993167999</v>
      </c>
      <c r="CZ68" s="167">
        <v>3883.8590015308719</v>
      </c>
      <c r="DA68" s="167">
        <v>4000</v>
      </c>
      <c r="DB68" s="167">
        <v>4000</v>
      </c>
      <c r="DC68" s="167">
        <v>4000</v>
      </c>
      <c r="DD68" s="167">
        <v>4000</v>
      </c>
      <c r="DE68" s="167">
        <v>4000</v>
      </c>
      <c r="DF68" s="167">
        <v>4000</v>
      </c>
      <c r="DG68" s="167">
        <v>4000</v>
      </c>
      <c r="DH68" s="167">
        <v>4000</v>
      </c>
      <c r="DI68" s="167">
        <v>4000</v>
      </c>
      <c r="DJ68" s="167">
        <v>4000</v>
      </c>
      <c r="DK68" s="167">
        <v>4000</v>
      </c>
      <c r="DL68" s="167">
        <v>4000</v>
      </c>
      <c r="DM68" s="167">
        <v>4000</v>
      </c>
      <c r="DN68" s="167">
        <v>4000</v>
      </c>
      <c r="DO68" s="167">
        <v>4000</v>
      </c>
      <c r="DP68" s="167">
        <v>4000</v>
      </c>
      <c r="DQ68" s="167">
        <v>4000</v>
      </c>
      <c r="DR68" s="167">
        <v>4000</v>
      </c>
      <c r="DS68" s="167">
        <v>4000</v>
      </c>
      <c r="DT68" s="167">
        <v>4000</v>
      </c>
      <c r="DU68" s="167">
        <v>4000</v>
      </c>
      <c r="DV68" s="167">
        <v>4000</v>
      </c>
      <c r="DW68" s="167">
        <v>4000</v>
      </c>
      <c r="DX68" s="167">
        <v>4000</v>
      </c>
      <c r="DY68" s="167">
        <v>4000</v>
      </c>
      <c r="DZ68" s="167">
        <v>4000</v>
      </c>
      <c r="EA68" s="167">
        <v>4000</v>
      </c>
      <c r="EB68" s="167">
        <v>4000</v>
      </c>
      <c r="EC68" s="167">
        <v>4000</v>
      </c>
      <c r="ED68" s="167">
        <v>4000</v>
      </c>
      <c r="EE68" s="167">
        <v>4000</v>
      </c>
      <c r="EF68" s="167">
        <v>4000</v>
      </c>
      <c r="EG68" s="167">
        <v>4000</v>
      </c>
      <c r="EH68" s="167">
        <v>4000</v>
      </c>
      <c r="EI68" s="167">
        <v>4000</v>
      </c>
      <c r="EJ68" s="167">
        <v>4000</v>
      </c>
      <c r="EK68" s="167">
        <v>4000</v>
      </c>
      <c r="EL68" s="167">
        <v>4000</v>
      </c>
      <c r="EM68" s="167">
        <v>4000</v>
      </c>
      <c r="EN68" s="167">
        <v>4000</v>
      </c>
      <c r="EO68" s="167">
        <v>4000</v>
      </c>
      <c r="EP68" t="str">
        <f t="shared" ref="EP68:EP102" si="1">ROUNDDOWN(AS68/$EX$4, 0) &amp; "y " &amp; ROUND(MOD(AS68, $EX$4)/$EX$5, 0) &amp; "d"</f>
        <v>1y 198d</v>
      </c>
    </row>
    <row r="69" spans="2:146" x14ac:dyDescent="0.25">
      <c r="B69" s="9">
        <v>66</v>
      </c>
      <c r="D69">
        <v>5982303.9881912274</v>
      </c>
      <c r="E69" s="12">
        <v>8011298564.4327602</v>
      </c>
      <c r="F69" s="12">
        <v>10989756607.870609</v>
      </c>
      <c r="G69" s="12">
        <v>0</v>
      </c>
      <c r="H69" s="12">
        <v>11033338.515932597</v>
      </c>
      <c r="I69" s="12">
        <v>-19798935234.909176</v>
      </c>
      <c r="J69" s="12">
        <v>-3283899167.1350532</v>
      </c>
      <c r="K69" s="12">
        <v>16985026.560861941</v>
      </c>
      <c r="L69" s="12">
        <v>3196680.2691690689</v>
      </c>
      <c r="M69" s="12">
        <v>-9452223790.1194954</v>
      </c>
      <c r="N69" s="12">
        <v>14506857216.31411</v>
      </c>
      <c r="O69" s="12"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S69" s="6">
        <v>13669339.030932827</v>
      </c>
      <c r="AT69" s="167">
        <v>4000</v>
      </c>
      <c r="AU69" s="167">
        <v>4000</v>
      </c>
      <c r="AV69" s="167">
        <v>4000</v>
      </c>
      <c r="AW69" s="167">
        <v>4000</v>
      </c>
      <c r="AX69" s="167">
        <v>4000</v>
      </c>
      <c r="AY69" s="167">
        <v>4000</v>
      </c>
      <c r="AZ69" s="167">
        <v>4000</v>
      </c>
      <c r="BA69" s="167">
        <v>4000</v>
      </c>
      <c r="BB69" s="167">
        <v>4000</v>
      </c>
      <c r="BC69" s="167">
        <v>4000</v>
      </c>
      <c r="BD69" s="167">
        <v>4000</v>
      </c>
      <c r="BE69" s="167">
        <v>4000</v>
      </c>
      <c r="BF69" s="167">
        <v>4000</v>
      </c>
      <c r="BG69" s="167">
        <v>4000</v>
      </c>
      <c r="BH69" s="167">
        <v>4000</v>
      </c>
      <c r="BI69" s="167">
        <v>4000</v>
      </c>
      <c r="BJ69" s="167">
        <v>4000</v>
      </c>
      <c r="BK69" s="167">
        <v>4000</v>
      </c>
      <c r="BL69" s="167">
        <v>4000</v>
      </c>
      <c r="BM69" s="167">
        <v>4000</v>
      </c>
      <c r="BN69" s="167">
        <v>4000</v>
      </c>
      <c r="BO69" s="167">
        <v>4000</v>
      </c>
      <c r="BP69" s="167">
        <v>4000</v>
      </c>
      <c r="BQ69" s="167">
        <v>4000</v>
      </c>
      <c r="BR69" s="167">
        <v>4000</v>
      </c>
      <c r="BS69" s="167">
        <v>4000</v>
      </c>
      <c r="BT69" s="167">
        <v>4000</v>
      </c>
      <c r="BU69" s="167">
        <v>4000</v>
      </c>
      <c r="BV69" s="167">
        <v>4000</v>
      </c>
      <c r="BW69" s="167">
        <v>4000</v>
      </c>
      <c r="BX69" s="167">
        <v>4000</v>
      </c>
      <c r="BY69" s="167">
        <v>4000</v>
      </c>
      <c r="BZ69" s="167">
        <v>4000</v>
      </c>
      <c r="CA69" s="167">
        <v>4000</v>
      </c>
      <c r="CB69" s="167">
        <v>4000</v>
      </c>
      <c r="CC69" s="167">
        <v>4000</v>
      </c>
      <c r="CD69" s="167">
        <v>4000</v>
      </c>
      <c r="CE69" s="167">
        <v>3792.9201109849391</v>
      </c>
      <c r="CF69" s="167">
        <v>3595.6037078530449</v>
      </c>
      <c r="CG69" s="167">
        <v>3427.2258067787188</v>
      </c>
      <c r="CH69" s="167">
        <v>3285.5404621230164</v>
      </c>
      <c r="CI69" s="167">
        <v>3168.6266851084165</v>
      </c>
      <c r="CJ69" s="167">
        <v>3074.8248732513393</v>
      </c>
      <c r="CK69" s="167">
        <v>3002.6834159996688</v>
      </c>
      <c r="CL69" s="167">
        <v>2950.9141474120074</v>
      </c>
      <c r="CM69" s="167">
        <v>2918.355682112795</v>
      </c>
      <c r="CN69" s="167">
        <v>2903.9439074765478</v>
      </c>
      <c r="CO69" s="167">
        <v>2906.6889244393587</v>
      </c>
      <c r="CP69" s="167">
        <v>2925.657529441407</v>
      </c>
      <c r="CQ69" s="167">
        <v>2959.9601301938346</v>
      </c>
      <c r="CR69" s="167">
        <v>3008.7410907493077</v>
      </c>
      <c r="CS69" s="167">
        <v>3071.1718915917236</v>
      </c>
      <c r="CT69" s="167">
        <v>3146.4488976202838</v>
      </c>
      <c r="CU69" s="167">
        <v>3233.7823791371661</v>
      </c>
      <c r="CV69" s="167">
        <v>3332.4102832935769</v>
      </c>
      <c r="CW69" s="167">
        <v>3441.5891669762054</v>
      </c>
      <c r="CX69" s="167">
        <v>3560.5985368165793</v>
      </c>
      <c r="CY69" s="167">
        <v>3688.7429792567118</v>
      </c>
      <c r="CZ69" s="167">
        <v>3825.3544872857065</v>
      </c>
      <c r="DA69" s="167">
        <v>3969.7948326902469</v>
      </c>
      <c r="DB69" s="167">
        <v>4000</v>
      </c>
      <c r="DC69" s="167">
        <v>4000</v>
      </c>
      <c r="DD69" s="167">
        <v>4000</v>
      </c>
      <c r="DE69" s="167">
        <v>4000</v>
      </c>
      <c r="DF69" s="167">
        <v>4000</v>
      </c>
      <c r="DG69" s="167">
        <v>4000</v>
      </c>
      <c r="DH69" s="167">
        <v>4000</v>
      </c>
      <c r="DI69" s="167">
        <v>4000</v>
      </c>
      <c r="DJ69" s="167">
        <v>4000</v>
      </c>
      <c r="DK69" s="167">
        <v>4000</v>
      </c>
      <c r="DL69" s="167">
        <v>4000</v>
      </c>
      <c r="DM69" s="167">
        <v>4000</v>
      </c>
      <c r="DN69" s="167">
        <v>4000</v>
      </c>
      <c r="DO69" s="167">
        <v>4000</v>
      </c>
      <c r="DP69" s="167">
        <v>4000</v>
      </c>
      <c r="DQ69" s="167">
        <v>4000</v>
      </c>
      <c r="DR69" s="167">
        <v>4000</v>
      </c>
      <c r="DS69" s="167">
        <v>4000</v>
      </c>
      <c r="DT69" s="167">
        <v>4000</v>
      </c>
      <c r="DU69" s="167">
        <v>4000</v>
      </c>
      <c r="DV69" s="167">
        <v>4000</v>
      </c>
      <c r="DW69" s="167">
        <v>4000</v>
      </c>
      <c r="DX69" s="167">
        <v>4000</v>
      </c>
      <c r="DY69" s="167">
        <v>4000</v>
      </c>
      <c r="DZ69" s="167">
        <v>4000</v>
      </c>
      <c r="EA69" s="167">
        <v>4000</v>
      </c>
      <c r="EB69" s="167">
        <v>4000</v>
      </c>
      <c r="EC69" s="167">
        <v>4000</v>
      </c>
      <c r="ED69" s="167">
        <v>4000</v>
      </c>
      <c r="EE69" s="167">
        <v>4000</v>
      </c>
      <c r="EF69" s="167">
        <v>4000</v>
      </c>
      <c r="EG69" s="167">
        <v>4000</v>
      </c>
      <c r="EH69" s="167">
        <v>4000</v>
      </c>
      <c r="EI69" s="167">
        <v>4000</v>
      </c>
      <c r="EJ69" s="167">
        <v>4000</v>
      </c>
      <c r="EK69" s="167">
        <v>4000</v>
      </c>
      <c r="EL69" s="167">
        <v>4000</v>
      </c>
      <c r="EM69" s="167">
        <v>4000</v>
      </c>
      <c r="EN69" s="167">
        <v>4000</v>
      </c>
      <c r="EO69" s="167">
        <v>4000</v>
      </c>
      <c r="EP69" t="str">
        <f t="shared" si="1"/>
        <v>1y 207d</v>
      </c>
    </row>
    <row r="70" spans="2:146" x14ac:dyDescent="0.25">
      <c r="B70" s="9">
        <v>67</v>
      </c>
      <c r="D70">
        <v>6074339.4341634</v>
      </c>
      <c r="E70" s="12">
        <v>7305437569.8140516</v>
      </c>
      <c r="F70" s="12">
        <v>11471104432.54125</v>
      </c>
      <c r="G70" s="12">
        <v>0</v>
      </c>
      <c r="H70" s="12">
        <v>11196320.795581974</v>
      </c>
      <c r="I70" s="12">
        <v>-19604052301.966671</v>
      </c>
      <c r="J70" s="12">
        <v>-4532252966.9515123</v>
      </c>
      <c r="K70" s="12">
        <v>17774397.719314732</v>
      </c>
      <c r="L70" s="12">
        <v>3263707.5128617273</v>
      </c>
      <c r="M70" s="12">
        <v>-9950851715.7088375</v>
      </c>
      <c r="N70" s="12">
        <v>14294875059.376751</v>
      </c>
      <c r="O70" s="12"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S70" s="6">
        <v>13848207.792356879</v>
      </c>
      <c r="AT70" s="167">
        <v>4000</v>
      </c>
      <c r="AU70" s="167">
        <v>4000</v>
      </c>
      <c r="AV70" s="167">
        <v>4000</v>
      </c>
      <c r="AW70" s="167">
        <v>4000</v>
      </c>
      <c r="AX70" s="167">
        <v>4000</v>
      </c>
      <c r="AY70" s="167">
        <v>4000</v>
      </c>
      <c r="AZ70" s="167">
        <v>4000</v>
      </c>
      <c r="BA70" s="167">
        <v>4000</v>
      </c>
      <c r="BB70" s="167">
        <v>4000</v>
      </c>
      <c r="BC70" s="167">
        <v>4000</v>
      </c>
      <c r="BD70" s="167">
        <v>4000</v>
      </c>
      <c r="BE70" s="167">
        <v>4000</v>
      </c>
      <c r="BF70" s="167">
        <v>4000</v>
      </c>
      <c r="BG70" s="167">
        <v>4000</v>
      </c>
      <c r="BH70" s="167">
        <v>4000</v>
      </c>
      <c r="BI70" s="167">
        <v>4000</v>
      </c>
      <c r="BJ70" s="167">
        <v>4000</v>
      </c>
      <c r="BK70" s="167">
        <v>4000</v>
      </c>
      <c r="BL70" s="167">
        <v>4000</v>
      </c>
      <c r="BM70" s="167">
        <v>4000</v>
      </c>
      <c r="BN70" s="167">
        <v>4000</v>
      </c>
      <c r="BO70" s="167">
        <v>4000</v>
      </c>
      <c r="BP70" s="167">
        <v>4000</v>
      </c>
      <c r="BQ70" s="167">
        <v>4000</v>
      </c>
      <c r="BR70" s="167">
        <v>4000</v>
      </c>
      <c r="BS70" s="167">
        <v>4000</v>
      </c>
      <c r="BT70" s="167">
        <v>4000</v>
      </c>
      <c r="BU70" s="167">
        <v>4000</v>
      </c>
      <c r="BV70" s="167">
        <v>4000</v>
      </c>
      <c r="BW70" s="167">
        <v>4000</v>
      </c>
      <c r="BX70" s="167">
        <v>4000</v>
      </c>
      <c r="BY70" s="167">
        <v>4000</v>
      </c>
      <c r="BZ70" s="167">
        <v>4000</v>
      </c>
      <c r="CA70" s="167">
        <v>4000</v>
      </c>
      <c r="CB70" s="167">
        <v>4000</v>
      </c>
      <c r="CC70" s="167">
        <v>4000</v>
      </c>
      <c r="CD70" s="167">
        <v>4000</v>
      </c>
      <c r="CE70" s="167">
        <v>3989.1682038801773</v>
      </c>
      <c r="CF70" s="167">
        <v>3768.7588065614254</v>
      </c>
      <c r="CG70" s="167">
        <v>3579.8940569546394</v>
      </c>
      <c r="CH70" s="167">
        <v>3419.9103254138331</v>
      </c>
      <c r="CI70" s="167">
        <v>3286.5338940480819</v>
      </c>
      <c r="CJ70" s="167">
        <v>3177.806745084994</v>
      </c>
      <c r="CK70" s="167">
        <v>3092.0244427385974</v>
      </c>
      <c r="CL70" s="167">
        <v>3027.6844111577093</v>
      </c>
      <c r="CM70" s="167">
        <v>2983.4432935097843</v>
      </c>
      <c r="CN70" s="167">
        <v>2958.0823762608125</v>
      </c>
      <c r="CO70" s="167">
        <v>2950.4802077238846</v>
      </c>
      <c r="CP70" s="167">
        <v>2959.5914859893073</v>
      </c>
      <c r="CQ70" s="167">
        <v>2984.4311266225659</v>
      </c>
      <c r="CR70" s="167">
        <v>3024.0623890516854</v>
      </c>
      <c r="CS70" s="167">
        <v>3077.5881970238897</v>
      </c>
      <c r="CT70" s="167">
        <v>3144.145154867761</v>
      </c>
      <c r="CU70" s="167">
        <v>3222.9017696585324</v>
      </c>
      <c r="CV70" s="167">
        <v>3313.0490401977413</v>
      </c>
      <c r="CW70" s="167">
        <v>3413.8127496750067</v>
      </c>
      <c r="CX70" s="167">
        <v>3524.4455248957179</v>
      </c>
      <c r="CY70" s="167">
        <v>3644.2306724328373</v>
      </c>
      <c r="CZ70" s="167">
        <v>3772.4839913114247</v>
      </c>
      <c r="DA70" s="167">
        <v>3908.5557186772617</v>
      </c>
      <c r="DB70" s="167">
        <v>4000</v>
      </c>
      <c r="DC70" s="167">
        <v>4000</v>
      </c>
      <c r="DD70" s="167">
        <v>4000</v>
      </c>
      <c r="DE70" s="167">
        <v>4000</v>
      </c>
      <c r="DF70" s="167">
        <v>4000</v>
      </c>
      <c r="DG70" s="167">
        <v>4000</v>
      </c>
      <c r="DH70" s="167">
        <v>4000</v>
      </c>
      <c r="DI70" s="167">
        <v>4000</v>
      </c>
      <c r="DJ70" s="167">
        <v>4000</v>
      </c>
      <c r="DK70" s="167">
        <v>4000</v>
      </c>
      <c r="DL70" s="167">
        <v>4000</v>
      </c>
      <c r="DM70" s="167">
        <v>4000</v>
      </c>
      <c r="DN70" s="167">
        <v>4000</v>
      </c>
      <c r="DO70" s="167">
        <v>4000</v>
      </c>
      <c r="DP70" s="167">
        <v>4000</v>
      </c>
      <c r="DQ70" s="167">
        <v>4000</v>
      </c>
      <c r="DR70" s="167">
        <v>4000</v>
      </c>
      <c r="DS70" s="167">
        <v>4000</v>
      </c>
      <c r="DT70" s="167">
        <v>4000</v>
      </c>
      <c r="DU70" s="167">
        <v>4000</v>
      </c>
      <c r="DV70" s="167">
        <v>4000</v>
      </c>
      <c r="DW70" s="167">
        <v>4000</v>
      </c>
      <c r="DX70" s="167">
        <v>4000</v>
      </c>
      <c r="DY70" s="167">
        <v>4000</v>
      </c>
      <c r="DZ70" s="167">
        <v>4000</v>
      </c>
      <c r="EA70" s="167">
        <v>4000</v>
      </c>
      <c r="EB70" s="167">
        <v>4000</v>
      </c>
      <c r="EC70" s="167">
        <v>4000</v>
      </c>
      <c r="ED70" s="167">
        <v>4000</v>
      </c>
      <c r="EE70" s="167">
        <v>4000</v>
      </c>
      <c r="EF70" s="167">
        <v>4000</v>
      </c>
      <c r="EG70" s="167">
        <v>4000</v>
      </c>
      <c r="EH70" s="167">
        <v>4000</v>
      </c>
      <c r="EI70" s="167">
        <v>4000</v>
      </c>
      <c r="EJ70" s="167">
        <v>4000</v>
      </c>
      <c r="EK70" s="167">
        <v>4000</v>
      </c>
      <c r="EL70" s="167">
        <v>4000</v>
      </c>
      <c r="EM70" s="167">
        <v>4000</v>
      </c>
      <c r="EN70" s="167">
        <v>4000</v>
      </c>
      <c r="EO70" s="167">
        <v>4000</v>
      </c>
      <c r="EP70" t="str">
        <f t="shared" si="1"/>
        <v>1y 215d</v>
      </c>
    </row>
    <row r="71" spans="2:146" x14ac:dyDescent="0.25">
      <c r="B71" s="9">
        <v>68</v>
      </c>
      <c r="D71">
        <v>6166374.8801355725</v>
      </c>
      <c r="E71" s="12">
        <v>6570745350.6442299</v>
      </c>
      <c r="F71" s="12">
        <v>11907181048.665775</v>
      </c>
      <c r="G71" s="12">
        <v>0</v>
      </c>
      <c r="H71" s="12">
        <v>11360162.720131245</v>
      </c>
      <c r="I71" s="12">
        <v>-19332633607.99651</v>
      </c>
      <c r="J71" s="12">
        <v>-5769732348.0025845</v>
      </c>
      <c r="K71" s="12">
        <v>18499470.078460269</v>
      </c>
      <c r="L71" s="12">
        <v>3331530.4811688405</v>
      </c>
      <c r="M71" s="12">
        <v>-10445303325.037218</v>
      </c>
      <c r="N71" s="12">
        <v>14065874071.843443</v>
      </c>
      <c r="O71" s="12"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S71" s="6">
        <v>14027076.55378093</v>
      </c>
      <c r="AT71" s="167">
        <v>4000</v>
      </c>
      <c r="AU71" s="167">
        <v>4000</v>
      </c>
      <c r="AV71" s="167">
        <v>4000</v>
      </c>
      <c r="AW71" s="167">
        <v>4000</v>
      </c>
      <c r="AX71" s="167">
        <v>4000</v>
      </c>
      <c r="AY71" s="167">
        <v>4000</v>
      </c>
      <c r="AZ71" s="167">
        <v>4000</v>
      </c>
      <c r="BA71" s="167">
        <v>4000</v>
      </c>
      <c r="BB71" s="167">
        <v>4000</v>
      </c>
      <c r="BC71" s="167">
        <v>4000</v>
      </c>
      <c r="BD71" s="167">
        <v>4000</v>
      </c>
      <c r="BE71" s="167">
        <v>4000</v>
      </c>
      <c r="BF71" s="167">
        <v>4000</v>
      </c>
      <c r="BG71" s="167">
        <v>4000</v>
      </c>
      <c r="BH71" s="167">
        <v>4000</v>
      </c>
      <c r="BI71" s="167">
        <v>4000</v>
      </c>
      <c r="BJ71" s="167">
        <v>4000</v>
      </c>
      <c r="BK71" s="167">
        <v>4000</v>
      </c>
      <c r="BL71" s="167">
        <v>4000</v>
      </c>
      <c r="BM71" s="167">
        <v>4000</v>
      </c>
      <c r="BN71" s="167">
        <v>4000</v>
      </c>
      <c r="BO71" s="167">
        <v>4000</v>
      </c>
      <c r="BP71" s="167">
        <v>4000</v>
      </c>
      <c r="BQ71" s="167">
        <v>4000</v>
      </c>
      <c r="BR71" s="167">
        <v>4000</v>
      </c>
      <c r="BS71" s="167">
        <v>4000</v>
      </c>
      <c r="BT71" s="167">
        <v>4000</v>
      </c>
      <c r="BU71" s="167">
        <v>4000</v>
      </c>
      <c r="BV71" s="167">
        <v>4000</v>
      </c>
      <c r="BW71" s="167">
        <v>4000</v>
      </c>
      <c r="BX71" s="167">
        <v>4000</v>
      </c>
      <c r="BY71" s="167">
        <v>4000</v>
      </c>
      <c r="BZ71" s="167">
        <v>4000</v>
      </c>
      <c r="CA71" s="167">
        <v>4000</v>
      </c>
      <c r="CB71" s="167">
        <v>4000</v>
      </c>
      <c r="CC71" s="167">
        <v>4000</v>
      </c>
      <c r="CD71" s="167">
        <v>4000</v>
      </c>
      <c r="CE71" s="167">
        <v>4000</v>
      </c>
      <c r="CF71" s="167">
        <v>3964.5173059093222</v>
      </c>
      <c r="CG71" s="167">
        <v>3752.7141694987035</v>
      </c>
      <c r="CH71" s="167">
        <v>3572.35191804644</v>
      </c>
      <c r="CI71" s="167">
        <v>3420.7434710620978</v>
      </c>
      <c r="CJ71" s="167">
        <v>3295.5820731021267</v>
      </c>
      <c r="CK71" s="167">
        <v>3194.8686321799428</v>
      </c>
      <c r="CL71" s="167">
        <v>3116.851321858383</v>
      </c>
      <c r="CM71" s="167">
        <v>3059.9757642019158</v>
      </c>
      <c r="CN71" s="167">
        <v>3022.844444017459</v>
      </c>
      <c r="CO71" s="167">
        <v>3004.1842362181069</v>
      </c>
      <c r="CP71" s="167">
        <v>3002.8210059644962</v>
      </c>
      <c r="CQ71" s="167">
        <v>3017.6601772529311</v>
      </c>
      <c r="CR71" s="167">
        <v>3047.6721002232825</v>
      </c>
      <c r="CS71" s="167">
        <v>3091.8811696507692</v>
      </c>
      <c r="CT71" s="167">
        <v>3149.3579620139149</v>
      </c>
      <c r="CU71" s="167">
        <v>3219.2160175855206</v>
      </c>
      <c r="CV71" s="167">
        <v>3300.5999477961013</v>
      </c>
      <c r="CW71" s="167">
        <v>3392.6980200875787</v>
      </c>
      <c r="CX71" s="167">
        <v>3494.7321808719498</v>
      </c>
      <c r="CY71" s="167">
        <v>3605.9613632058849</v>
      </c>
      <c r="CZ71" s="167">
        <v>3725.6826606202953</v>
      </c>
      <c r="DA71" s="167">
        <v>3853.2327412473046</v>
      </c>
      <c r="DB71" s="167">
        <v>3987.9893431009418</v>
      </c>
      <c r="DC71" s="167">
        <v>4000</v>
      </c>
      <c r="DD71" s="167">
        <v>4000</v>
      </c>
      <c r="DE71" s="167">
        <v>4000</v>
      </c>
      <c r="DF71" s="167">
        <v>4000</v>
      </c>
      <c r="DG71" s="167">
        <v>4000</v>
      </c>
      <c r="DH71" s="167">
        <v>4000</v>
      </c>
      <c r="DI71" s="167">
        <v>4000</v>
      </c>
      <c r="DJ71" s="167">
        <v>4000</v>
      </c>
      <c r="DK71" s="167">
        <v>4000</v>
      </c>
      <c r="DL71" s="167">
        <v>4000</v>
      </c>
      <c r="DM71" s="167">
        <v>4000</v>
      </c>
      <c r="DN71" s="167">
        <v>4000</v>
      </c>
      <c r="DO71" s="167">
        <v>4000</v>
      </c>
      <c r="DP71" s="167">
        <v>4000</v>
      </c>
      <c r="DQ71" s="167">
        <v>4000</v>
      </c>
      <c r="DR71" s="167">
        <v>4000</v>
      </c>
      <c r="DS71" s="167">
        <v>4000</v>
      </c>
      <c r="DT71" s="167">
        <v>4000</v>
      </c>
      <c r="DU71" s="167">
        <v>4000</v>
      </c>
      <c r="DV71" s="167">
        <v>4000</v>
      </c>
      <c r="DW71" s="167">
        <v>4000</v>
      </c>
      <c r="DX71" s="167">
        <v>4000</v>
      </c>
      <c r="DY71" s="167">
        <v>4000</v>
      </c>
      <c r="DZ71" s="167">
        <v>4000</v>
      </c>
      <c r="EA71" s="167">
        <v>4000</v>
      </c>
      <c r="EB71" s="167">
        <v>4000</v>
      </c>
      <c r="EC71" s="167">
        <v>4000</v>
      </c>
      <c r="ED71" s="167">
        <v>4000</v>
      </c>
      <c r="EE71" s="167">
        <v>4000</v>
      </c>
      <c r="EF71" s="167">
        <v>4000</v>
      </c>
      <c r="EG71" s="167">
        <v>4000</v>
      </c>
      <c r="EH71" s="167">
        <v>4000</v>
      </c>
      <c r="EI71" s="167">
        <v>4000</v>
      </c>
      <c r="EJ71" s="167">
        <v>4000</v>
      </c>
      <c r="EK71" s="167">
        <v>4000</v>
      </c>
      <c r="EL71" s="167">
        <v>4000</v>
      </c>
      <c r="EM71" s="167">
        <v>4000</v>
      </c>
      <c r="EN71" s="167">
        <v>4000</v>
      </c>
      <c r="EO71" s="167">
        <v>4000</v>
      </c>
      <c r="EP71" t="str">
        <f t="shared" si="1"/>
        <v>1y 223d</v>
      </c>
    </row>
    <row r="72" spans="2:146" x14ac:dyDescent="0.25">
      <c r="B72" s="9">
        <v>69</v>
      </c>
      <c r="D72">
        <v>6258410.3261077451</v>
      </c>
      <c r="E72" s="12">
        <v>5810121401.4634228</v>
      </c>
      <c r="F72" s="12">
        <v>12296265461.064789</v>
      </c>
      <c r="G72" s="12">
        <v>0</v>
      </c>
      <c r="H72" s="12">
        <v>11524904.169162774</v>
      </c>
      <c r="I72" s="12">
        <v>-18985054593.34753</v>
      </c>
      <c r="J72" s="12">
        <v>-6991718445.3633842</v>
      </c>
      <c r="K72" s="12">
        <v>19157069.311326426</v>
      </c>
      <c r="L72" s="12">
        <v>3400153.3322648043</v>
      </c>
      <c r="M72" s="12">
        <v>-10934926778.831394</v>
      </c>
      <c r="N72" s="12">
        <v>13819818815.915632</v>
      </c>
      <c r="O72" s="12"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S72" s="6">
        <v>14205945.315204982</v>
      </c>
      <c r="AT72" s="167">
        <v>4000</v>
      </c>
      <c r="AU72" s="167">
        <v>4000</v>
      </c>
      <c r="AV72" s="167">
        <v>4000</v>
      </c>
      <c r="AW72" s="167">
        <v>4000</v>
      </c>
      <c r="AX72" s="167">
        <v>4000</v>
      </c>
      <c r="AY72" s="167">
        <v>4000</v>
      </c>
      <c r="AZ72" s="167">
        <v>4000</v>
      </c>
      <c r="BA72" s="167">
        <v>4000</v>
      </c>
      <c r="BB72" s="167">
        <v>4000</v>
      </c>
      <c r="BC72" s="167">
        <v>4000</v>
      </c>
      <c r="BD72" s="167">
        <v>4000</v>
      </c>
      <c r="BE72" s="167">
        <v>4000</v>
      </c>
      <c r="BF72" s="167">
        <v>4000</v>
      </c>
      <c r="BG72" s="167">
        <v>4000</v>
      </c>
      <c r="BH72" s="167">
        <v>4000</v>
      </c>
      <c r="BI72" s="167">
        <v>4000</v>
      </c>
      <c r="BJ72" s="167">
        <v>4000</v>
      </c>
      <c r="BK72" s="167">
        <v>4000</v>
      </c>
      <c r="BL72" s="167">
        <v>4000</v>
      </c>
      <c r="BM72" s="167">
        <v>4000</v>
      </c>
      <c r="BN72" s="167">
        <v>4000</v>
      </c>
      <c r="BO72" s="167">
        <v>4000</v>
      </c>
      <c r="BP72" s="167">
        <v>4000</v>
      </c>
      <c r="BQ72" s="167">
        <v>4000</v>
      </c>
      <c r="BR72" s="167">
        <v>4000</v>
      </c>
      <c r="BS72" s="167">
        <v>4000</v>
      </c>
      <c r="BT72" s="167">
        <v>4000</v>
      </c>
      <c r="BU72" s="167">
        <v>4000</v>
      </c>
      <c r="BV72" s="167">
        <v>4000</v>
      </c>
      <c r="BW72" s="167">
        <v>4000</v>
      </c>
      <c r="BX72" s="167">
        <v>4000</v>
      </c>
      <c r="BY72" s="167">
        <v>4000</v>
      </c>
      <c r="BZ72" s="167">
        <v>4000</v>
      </c>
      <c r="CA72" s="167">
        <v>4000</v>
      </c>
      <c r="CB72" s="167">
        <v>4000</v>
      </c>
      <c r="CC72" s="167">
        <v>4000</v>
      </c>
      <c r="CD72" s="167">
        <v>4000</v>
      </c>
      <c r="CE72" s="167">
        <v>4000</v>
      </c>
      <c r="CF72" s="167">
        <v>4000</v>
      </c>
      <c r="CG72" s="167">
        <v>3948.841376666262</v>
      </c>
      <c r="CH72" s="167">
        <v>3745.6227975582387</v>
      </c>
      <c r="CI72" s="167">
        <v>3573.6780146445249</v>
      </c>
      <c r="CJ72" s="167">
        <v>3430.290360636116</v>
      </c>
      <c r="CK72" s="167">
        <v>3313.1153213810376</v>
      </c>
      <c r="CL72" s="167">
        <v>3220.1096341471648</v>
      </c>
      <c r="CM72" s="167">
        <v>3149.4727957655987</v>
      </c>
      <c r="CN72" s="167">
        <v>3099.5992706320749</v>
      </c>
      <c r="CO72" s="167">
        <v>3069.0399726844225</v>
      </c>
      <c r="CP72" s="167">
        <v>3056.4717736983275</v>
      </c>
      <c r="CQ72" s="167">
        <v>3060.6738415980462</v>
      </c>
      <c r="CR72" s="167">
        <v>3080.5095941961595</v>
      </c>
      <c r="CS72" s="167">
        <v>3114.9131061179969</v>
      </c>
      <c r="CT72" s="167">
        <v>3162.8790266863653</v>
      </c>
      <c r="CU72" s="167">
        <v>3223.4577006297759</v>
      </c>
      <c r="CV72" s="167">
        <v>3295.7405304203876</v>
      </c>
      <c r="CW72" s="167">
        <v>3378.8727116774044</v>
      </c>
      <c r="CX72" s="167">
        <v>3472.040968076627</v>
      </c>
      <c r="CY72" s="167">
        <v>3574.4761598965629</v>
      </c>
      <c r="CZ72" s="167">
        <v>3685.4536671848282</v>
      </c>
      <c r="DA72" s="167">
        <v>3804.2941455571909</v>
      </c>
      <c r="DB72" s="167">
        <v>3930.3644545228103</v>
      </c>
      <c r="DC72" s="167">
        <v>4000</v>
      </c>
      <c r="DD72" s="167">
        <v>4000</v>
      </c>
      <c r="DE72" s="167">
        <v>4000</v>
      </c>
      <c r="DF72" s="167">
        <v>4000</v>
      </c>
      <c r="DG72" s="167">
        <v>4000</v>
      </c>
      <c r="DH72" s="167">
        <v>4000</v>
      </c>
      <c r="DI72" s="167">
        <v>4000</v>
      </c>
      <c r="DJ72" s="167">
        <v>4000</v>
      </c>
      <c r="DK72" s="167">
        <v>4000</v>
      </c>
      <c r="DL72" s="167">
        <v>4000</v>
      </c>
      <c r="DM72" s="167">
        <v>4000</v>
      </c>
      <c r="DN72" s="167">
        <v>4000</v>
      </c>
      <c r="DO72" s="167">
        <v>4000</v>
      </c>
      <c r="DP72" s="167">
        <v>4000</v>
      </c>
      <c r="DQ72" s="167">
        <v>4000</v>
      </c>
      <c r="DR72" s="167">
        <v>4000</v>
      </c>
      <c r="DS72" s="167">
        <v>4000</v>
      </c>
      <c r="DT72" s="167">
        <v>4000</v>
      </c>
      <c r="DU72" s="167">
        <v>4000</v>
      </c>
      <c r="DV72" s="167">
        <v>4000</v>
      </c>
      <c r="DW72" s="167">
        <v>4000</v>
      </c>
      <c r="DX72" s="167">
        <v>4000</v>
      </c>
      <c r="DY72" s="167">
        <v>4000</v>
      </c>
      <c r="DZ72" s="167">
        <v>4000</v>
      </c>
      <c r="EA72" s="167">
        <v>4000</v>
      </c>
      <c r="EB72" s="167">
        <v>4000</v>
      </c>
      <c r="EC72" s="167">
        <v>4000</v>
      </c>
      <c r="ED72" s="167">
        <v>4000</v>
      </c>
      <c r="EE72" s="167">
        <v>4000</v>
      </c>
      <c r="EF72" s="167">
        <v>4000</v>
      </c>
      <c r="EG72" s="167">
        <v>4000</v>
      </c>
      <c r="EH72" s="167">
        <v>4000</v>
      </c>
      <c r="EI72" s="167">
        <v>4000</v>
      </c>
      <c r="EJ72" s="167">
        <v>4000</v>
      </c>
      <c r="EK72" s="167">
        <v>4000</v>
      </c>
      <c r="EL72" s="167">
        <v>4000</v>
      </c>
      <c r="EM72" s="167">
        <v>4000</v>
      </c>
      <c r="EN72" s="167">
        <v>4000</v>
      </c>
      <c r="EO72" s="167">
        <v>4000</v>
      </c>
      <c r="EP72" t="str">
        <f t="shared" si="1"/>
        <v>1y 232d</v>
      </c>
    </row>
    <row r="73" spans="2:146" x14ac:dyDescent="0.25">
      <c r="B73" s="9">
        <v>70</v>
      </c>
      <c r="D73">
        <v>6350445.7720799176</v>
      </c>
      <c r="E73" s="12">
        <v>5026567557.5030155</v>
      </c>
      <c r="F73" s="12">
        <v>12636822131.318314</v>
      </c>
      <c r="G73" s="12">
        <v>0</v>
      </c>
      <c r="H73" s="12">
        <v>11690582.319316378</v>
      </c>
      <c r="I73" s="12">
        <v>-18561960264.479992</v>
      </c>
      <c r="J73" s="12">
        <v>-8193567565.3257494</v>
      </c>
      <c r="K73" s="12">
        <v>19744200.404993255</v>
      </c>
      <c r="L73" s="12">
        <v>3469579.255647542</v>
      </c>
      <c r="M73" s="12">
        <v>-11419056118.634655</v>
      </c>
      <c r="N73" s="12">
        <v>13556699724.590233</v>
      </c>
      <c r="O73" s="12"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S73" s="6">
        <v>14384814.076629033</v>
      </c>
      <c r="AT73" s="167">
        <v>4000</v>
      </c>
      <c r="AU73" s="167">
        <v>4000</v>
      </c>
      <c r="AV73" s="167">
        <v>4000</v>
      </c>
      <c r="AW73" s="167">
        <v>4000</v>
      </c>
      <c r="AX73" s="167">
        <v>4000</v>
      </c>
      <c r="AY73" s="167">
        <v>4000</v>
      </c>
      <c r="AZ73" s="167">
        <v>4000</v>
      </c>
      <c r="BA73" s="167">
        <v>4000</v>
      </c>
      <c r="BB73" s="167">
        <v>4000</v>
      </c>
      <c r="BC73" s="167">
        <v>4000</v>
      </c>
      <c r="BD73" s="167">
        <v>4000</v>
      </c>
      <c r="BE73" s="167">
        <v>4000</v>
      </c>
      <c r="BF73" s="167">
        <v>4000</v>
      </c>
      <c r="BG73" s="167">
        <v>4000</v>
      </c>
      <c r="BH73" s="167">
        <v>4000</v>
      </c>
      <c r="BI73" s="167">
        <v>4000</v>
      </c>
      <c r="BJ73" s="167">
        <v>4000</v>
      </c>
      <c r="BK73" s="167">
        <v>4000</v>
      </c>
      <c r="BL73" s="167">
        <v>4000</v>
      </c>
      <c r="BM73" s="167">
        <v>4000</v>
      </c>
      <c r="BN73" s="167">
        <v>4000</v>
      </c>
      <c r="BO73" s="167">
        <v>4000</v>
      </c>
      <c r="BP73" s="167">
        <v>4000</v>
      </c>
      <c r="BQ73" s="167">
        <v>4000</v>
      </c>
      <c r="BR73" s="167">
        <v>4000</v>
      </c>
      <c r="BS73" s="167">
        <v>4000</v>
      </c>
      <c r="BT73" s="167">
        <v>4000</v>
      </c>
      <c r="BU73" s="167">
        <v>4000</v>
      </c>
      <c r="BV73" s="167">
        <v>4000</v>
      </c>
      <c r="BW73" s="167">
        <v>4000</v>
      </c>
      <c r="BX73" s="167">
        <v>4000</v>
      </c>
      <c r="BY73" s="167">
        <v>4000</v>
      </c>
      <c r="BZ73" s="167">
        <v>4000</v>
      </c>
      <c r="CA73" s="167">
        <v>4000</v>
      </c>
      <c r="CB73" s="167">
        <v>4000</v>
      </c>
      <c r="CC73" s="167">
        <v>4000</v>
      </c>
      <c r="CD73" s="167">
        <v>4000</v>
      </c>
      <c r="CE73" s="167">
        <v>4000</v>
      </c>
      <c r="CF73" s="167">
        <v>4000</v>
      </c>
      <c r="CG73" s="167">
        <v>4000</v>
      </c>
      <c r="CH73" s="167">
        <v>3943.0454299693001</v>
      </c>
      <c r="CI73" s="167">
        <v>3748.2467750952292</v>
      </c>
      <c r="CJ73" s="167">
        <v>3584.4924796655177</v>
      </c>
      <c r="CK73" s="167">
        <v>3449.0306073382858</v>
      </c>
      <c r="CL73" s="167">
        <v>3339.4750291311884</v>
      </c>
      <c r="CM73" s="167">
        <v>3253.7364110175067</v>
      </c>
      <c r="CN73" s="167">
        <v>3189.9657078244518</v>
      </c>
      <c r="CO73" s="167">
        <v>3146.5083906455716</v>
      </c>
      <c r="CP73" s="167">
        <v>3121.86788017148</v>
      </c>
      <c r="CQ73" s="167">
        <v>3114.6768096484716</v>
      </c>
      <c r="CR73" s="167">
        <v>3123.6748075489322</v>
      </c>
      <c r="CS73" s="167">
        <v>3147.6915471418197</v>
      </c>
      <c r="CT73" s="167">
        <v>3185.6339596949942</v>
      </c>
      <c r="CU73" s="167">
        <v>3236.4767642647425</v>
      </c>
      <c r="CV73" s="167">
        <v>3299.2578050889101</v>
      </c>
      <c r="CW73" s="167">
        <v>3373.0647113306813</v>
      </c>
      <c r="CX73" s="167">
        <v>3457.0461236069359</v>
      </c>
      <c r="CY73" s="167">
        <v>3550.4003747941706</v>
      </c>
      <c r="CZ73" s="167">
        <v>3652.3775050239601</v>
      </c>
      <c r="DA73" s="167">
        <v>3762.2792058717769</v>
      </c>
      <c r="DB73" s="167">
        <v>3879.4590525835465</v>
      </c>
      <c r="DC73" s="167">
        <v>4000</v>
      </c>
      <c r="DD73" s="167">
        <v>4000</v>
      </c>
      <c r="DE73" s="167">
        <v>4000</v>
      </c>
      <c r="DF73" s="167">
        <v>4000</v>
      </c>
      <c r="DG73" s="167">
        <v>4000</v>
      </c>
      <c r="DH73" s="167">
        <v>4000</v>
      </c>
      <c r="DI73" s="167">
        <v>4000</v>
      </c>
      <c r="DJ73" s="167">
        <v>4000</v>
      </c>
      <c r="DK73" s="167">
        <v>4000</v>
      </c>
      <c r="DL73" s="167">
        <v>4000</v>
      </c>
      <c r="DM73" s="167">
        <v>4000</v>
      </c>
      <c r="DN73" s="167">
        <v>4000</v>
      </c>
      <c r="DO73" s="167">
        <v>4000</v>
      </c>
      <c r="DP73" s="167">
        <v>4000</v>
      </c>
      <c r="DQ73" s="167">
        <v>4000</v>
      </c>
      <c r="DR73" s="167">
        <v>4000</v>
      </c>
      <c r="DS73" s="167">
        <v>4000</v>
      </c>
      <c r="DT73" s="167">
        <v>4000</v>
      </c>
      <c r="DU73" s="167">
        <v>4000</v>
      </c>
      <c r="DV73" s="167">
        <v>4000</v>
      </c>
      <c r="DW73" s="167">
        <v>4000</v>
      </c>
      <c r="DX73" s="167">
        <v>4000</v>
      </c>
      <c r="DY73" s="167">
        <v>4000</v>
      </c>
      <c r="DZ73" s="167">
        <v>4000</v>
      </c>
      <c r="EA73" s="167">
        <v>4000</v>
      </c>
      <c r="EB73" s="167">
        <v>4000</v>
      </c>
      <c r="EC73" s="167">
        <v>4000</v>
      </c>
      <c r="ED73" s="167">
        <v>4000</v>
      </c>
      <c r="EE73" s="167">
        <v>4000</v>
      </c>
      <c r="EF73" s="167">
        <v>4000</v>
      </c>
      <c r="EG73" s="167">
        <v>4000</v>
      </c>
      <c r="EH73" s="167">
        <v>4000</v>
      </c>
      <c r="EI73" s="167">
        <v>4000</v>
      </c>
      <c r="EJ73" s="167">
        <v>4000</v>
      </c>
      <c r="EK73" s="167">
        <v>4000</v>
      </c>
      <c r="EL73" s="167">
        <v>4000</v>
      </c>
      <c r="EM73" s="167">
        <v>4000</v>
      </c>
      <c r="EN73" s="167">
        <v>4000</v>
      </c>
      <c r="EO73" s="167">
        <v>4000</v>
      </c>
      <c r="EP73" t="str">
        <f t="shared" si="1"/>
        <v>1y 240d</v>
      </c>
    </row>
    <row r="74" spans="2:146" x14ac:dyDescent="0.25">
      <c r="B74" s="9">
        <v>71</v>
      </c>
      <c r="D74">
        <v>6442481.2180520901</v>
      </c>
      <c r="E74" s="12">
        <v>4223176147.8134274</v>
      </c>
      <c r="F74" s="12">
        <v>12927507037.834396</v>
      </c>
      <c r="G74" s="12">
        <v>0</v>
      </c>
      <c r="H74" s="12">
        <v>11857231.448154833</v>
      </c>
      <c r="I74" s="12">
        <v>-18064273104.552654</v>
      </c>
      <c r="J74" s="12">
        <v>-9370625628.4143581</v>
      </c>
      <c r="K74" s="12">
        <v>20258064.254587244</v>
      </c>
      <c r="L74" s="12">
        <v>3539810.4202965717</v>
      </c>
      <c r="M74" s="12">
        <v>-11897012291.423313</v>
      </c>
      <c r="N74" s="12">
        <v>13276534511.126762</v>
      </c>
      <c r="O74" s="12"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S74" s="6">
        <v>14563682.838053085</v>
      </c>
      <c r="AT74" s="167">
        <v>4000</v>
      </c>
      <c r="AU74" s="167">
        <v>4000</v>
      </c>
      <c r="AV74" s="167">
        <v>4000</v>
      </c>
      <c r="AW74" s="167">
        <v>4000</v>
      </c>
      <c r="AX74" s="167">
        <v>4000</v>
      </c>
      <c r="AY74" s="167">
        <v>4000</v>
      </c>
      <c r="AZ74" s="167">
        <v>4000</v>
      </c>
      <c r="BA74" s="167">
        <v>4000</v>
      </c>
      <c r="BB74" s="167">
        <v>4000</v>
      </c>
      <c r="BC74" s="167">
        <v>4000</v>
      </c>
      <c r="BD74" s="167">
        <v>4000</v>
      </c>
      <c r="BE74" s="167">
        <v>4000</v>
      </c>
      <c r="BF74" s="167">
        <v>4000</v>
      </c>
      <c r="BG74" s="167">
        <v>4000</v>
      </c>
      <c r="BH74" s="167">
        <v>4000</v>
      </c>
      <c r="BI74" s="167">
        <v>4000</v>
      </c>
      <c r="BJ74" s="167">
        <v>4000</v>
      </c>
      <c r="BK74" s="167">
        <v>4000</v>
      </c>
      <c r="BL74" s="167">
        <v>4000</v>
      </c>
      <c r="BM74" s="167">
        <v>4000</v>
      </c>
      <c r="BN74" s="167">
        <v>4000</v>
      </c>
      <c r="BO74" s="167">
        <v>4000</v>
      </c>
      <c r="BP74" s="167">
        <v>4000</v>
      </c>
      <c r="BQ74" s="167">
        <v>4000</v>
      </c>
      <c r="BR74" s="167">
        <v>4000</v>
      </c>
      <c r="BS74" s="167">
        <v>4000</v>
      </c>
      <c r="BT74" s="167">
        <v>4000</v>
      </c>
      <c r="BU74" s="167">
        <v>4000</v>
      </c>
      <c r="BV74" s="167">
        <v>4000</v>
      </c>
      <c r="BW74" s="167">
        <v>4000</v>
      </c>
      <c r="BX74" s="167">
        <v>4000</v>
      </c>
      <c r="BY74" s="167">
        <v>4000</v>
      </c>
      <c r="BZ74" s="167">
        <v>4000</v>
      </c>
      <c r="CA74" s="167">
        <v>4000</v>
      </c>
      <c r="CB74" s="167">
        <v>4000</v>
      </c>
      <c r="CC74" s="167">
        <v>4000</v>
      </c>
      <c r="CD74" s="167">
        <v>4000</v>
      </c>
      <c r="CE74" s="167">
        <v>4000</v>
      </c>
      <c r="CF74" s="167">
        <v>4000</v>
      </c>
      <c r="CG74" s="167">
        <v>4000</v>
      </c>
      <c r="CH74" s="167">
        <v>4000</v>
      </c>
      <c r="CI74" s="167">
        <v>3947.9646928159486</v>
      </c>
      <c r="CJ74" s="167">
        <v>3761.2714333229869</v>
      </c>
      <c r="CK74" s="167">
        <v>3605.3329456673164</v>
      </c>
      <c r="CL74" s="167">
        <v>3477.3571103112572</v>
      </c>
      <c r="CM74" s="167">
        <v>3374.913438800244</v>
      </c>
      <c r="CN74" s="167">
        <v>3295.8659775728802</v>
      </c>
      <c r="CO74" s="167">
        <v>3238.3187486911593</v>
      </c>
      <c r="CP74" s="167">
        <v>3200.5718689038745</v>
      </c>
      <c r="CQ74" s="167">
        <v>3181.0867128336804</v>
      </c>
      <c r="CR74" s="167">
        <v>3178.4586395966467</v>
      </c>
      <c r="CS74" s="167">
        <v>3191.395911857524</v>
      </c>
      <c r="CT74" s="167">
        <v>3218.7035696754888</v>
      </c>
      <c r="CU74" s="167">
        <v>3259.2712298198003</v>
      </c>
      <c r="CV74" s="167">
        <v>3312.0663865960896</v>
      </c>
      <c r="CW74" s="167">
        <v>3376.1180073814839</v>
      </c>
      <c r="CX74" s="167">
        <v>3450.5277090731006</v>
      </c>
      <c r="CY74" s="167">
        <v>3534.455895659461</v>
      </c>
      <c r="CZ74" s="167">
        <v>3627.1228637182003</v>
      </c>
      <c r="DA74" s="167">
        <v>3727.8077502457309</v>
      </c>
      <c r="DB74" s="167">
        <v>3835.847913333997</v>
      </c>
      <c r="DC74" s="167">
        <v>3950.6385293775406</v>
      </c>
      <c r="DD74" s="167">
        <v>4000</v>
      </c>
      <c r="DE74" s="167">
        <v>4000</v>
      </c>
      <c r="DF74" s="167">
        <v>4000</v>
      </c>
      <c r="DG74" s="167">
        <v>4000</v>
      </c>
      <c r="DH74" s="167">
        <v>4000</v>
      </c>
      <c r="DI74" s="167">
        <v>4000</v>
      </c>
      <c r="DJ74" s="167">
        <v>4000</v>
      </c>
      <c r="DK74" s="167">
        <v>4000</v>
      </c>
      <c r="DL74" s="167">
        <v>4000</v>
      </c>
      <c r="DM74" s="167">
        <v>4000</v>
      </c>
      <c r="DN74" s="167">
        <v>4000</v>
      </c>
      <c r="DO74" s="167">
        <v>4000</v>
      </c>
      <c r="DP74" s="167">
        <v>4000</v>
      </c>
      <c r="DQ74" s="167">
        <v>4000</v>
      </c>
      <c r="DR74" s="167">
        <v>4000</v>
      </c>
      <c r="DS74" s="167">
        <v>4000</v>
      </c>
      <c r="DT74" s="167">
        <v>4000</v>
      </c>
      <c r="DU74" s="167">
        <v>4000</v>
      </c>
      <c r="DV74" s="167">
        <v>4000</v>
      </c>
      <c r="DW74" s="167">
        <v>4000</v>
      </c>
      <c r="DX74" s="167">
        <v>4000</v>
      </c>
      <c r="DY74" s="167">
        <v>4000</v>
      </c>
      <c r="DZ74" s="167">
        <v>4000</v>
      </c>
      <c r="EA74" s="167">
        <v>4000</v>
      </c>
      <c r="EB74" s="167">
        <v>4000</v>
      </c>
      <c r="EC74" s="167">
        <v>4000</v>
      </c>
      <c r="ED74" s="167">
        <v>4000</v>
      </c>
      <c r="EE74" s="167">
        <v>4000</v>
      </c>
      <c r="EF74" s="167">
        <v>4000</v>
      </c>
      <c r="EG74" s="167">
        <v>4000</v>
      </c>
      <c r="EH74" s="167">
        <v>4000</v>
      </c>
      <c r="EI74" s="167">
        <v>4000</v>
      </c>
      <c r="EJ74" s="167">
        <v>4000</v>
      </c>
      <c r="EK74" s="167">
        <v>4000</v>
      </c>
      <c r="EL74" s="167">
        <v>4000</v>
      </c>
      <c r="EM74" s="167">
        <v>4000</v>
      </c>
      <c r="EN74" s="167">
        <v>4000</v>
      </c>
      <c r="EO74" s="167">
        <v>4000</v>
      </c>
      <c r="EP74" t="str">
        <f t="shared" si="1"/>
        <v>1y 248d</v>
      </c>
    </row>
    <row r="75" spans="2:146" x14ac:dyDescent="0.25">
      <c r="B75" s="9">
        <v>72</v>
      </c>
      <c r="D75">
        <v>6534516.6640242627</v>
      </c>
      <c r="E75" s="12">
        <v>3403117791.2540736</v>
      </c>
      <c r="F75" s="12">
        <v>13167172980.088327</v>
      </c>
      <c r="G75" s="12">
        <v>0</v>
      </c>
      <c r="H75" s="12">
        <v>12024882.736702362</v>
      </c>
      <c r="I75" s="12">
        <v>-17493200418.038353</v>
      </c>
      <c r="J75" s="12">
        <v>-10518243893.676439</v>
      </c>
      <c r="K75" s="12">
        <v>20696074.79885947</v>
      </c>
      <c r="L75" s="12">
        <v>3610847.923231449</v>
      </c>
      <c r="M75" s="12">
        <v>-12368104300.381405</v>
      </c>
      <c r="N75" s="12">
        <v>12979369553.288431</v>
      </c>
      <c r="O75" s="12"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S75" s="6">
        <v>14742551.599477137</v>
      </c>
      <c r="AT75" s="167">
        <v>4000</v>
      </c>
      <c r="AU75" s="167">
        <v>4000</v>
      </c>
      <c r="AV75" s="167">
        <v>4000</v>
      </c>
      <c r="AW75" s="167">
        <v>4000</v>
      </c>
      <c r="AX75" s="167">
        <v>4000</v>
      </c>
      <c r="AY75" s="167">
        <v>4000</v>
      </c>
      <c r="AZ75" s="167">
        <v>4000</v>
      </c>
      <c r="BA75" s="167">
        <v>4000</v>
      </c>
      <c r="BB75" s="167">
        <v>4000</v>
      </c>
      <c r="BC75" s="167">
        <v>4000</v>
      </c>
      <c r="BD75" s="167">
        <v>4000</v>
      </c>
      <c r="BE75" s="167">
        <v>4000</v>
      </c>
      <c r="BF75" s="167">
        <v>4000</v>
      </c>
      <c r="BG75" s="167">
        <v>4000</v>
      </c>
      <c r="BH75" s="167">
        <v>4000</v>
      </c>
      <c r="BI75" s="167">
        <v>4000</v>
      </c>
      <c r="BJ75" s="167">
        <v>4000</v>
      </c>
      <c r="BK75" s="167">
        <v>4000</v>
      </c>
      <c r="BL75" s="167">
        <v>4000</v>
      </c>
      <c r="BM75" s="167">
        <v>4000</v>
      </c>
      <c r="BN75" s="167">
        <v>4000</v>
      </c>
      <c r="BO75" s="167">
        <v>4000</v>
      </c>
      <c r="BP75" s="167">
        <v>4000</v>
      </c>
      <c r="BQ75" s="167">
        <v>4000</v>
      </c>
      <c r="BR75" s="167">
        <v>4000</v>
      </c>
      <c r="BS75" s="167">
        <v>4000</v>
      </c>
      <c r="BT75" s="167">
        <v>4000</v>
      </c>
      <c r="BU75" s="167">
        <v>4000</v>
      </c>
      <c r="BV75" s="167">
        <v>4000</v>
      </c>
      <c r="BW75" s="167">
        <v>4000</v>
      </c>
      <c r="BX75" s="167">
        <v>4000</v>
      </c>
      <c r="BY75" s="167">
        <v>4000</v>
      </c>
      <c r="BZ75" s="167">
        <v>4000</v>
      </c>
      <c r="CA75" s="167">
        <v>4000</v>
      </c>
      <c r="CB75" s="167">
        <v>4000</v>
      </c>
      <c r="CC75" s="167">
        <v>4000</v>
      </c>
      <c r="CD75" s="167">
        <v>4000</v>
      </c>
      <c r="CE75" s="167">
        <v>4000</v>
      </c>
      <c r="CF75" s="167">
        <v>4000</v>
      </c>
      <c r="CG75" s="167">
        <v>4000</v>
      </c>
      <c r="CH75" s="167">
        <v>4000</v>
      </c>
      <c r="CI75" s="167">
        <v>4000</v>
      </c>
      <c r="CJ75" s="167">
        <v>3964.3617311494272</v>
      </c>
      <c r="CK75" s="167">
        <v>3785.3025395594714</v>
      </c>
      <c r="CL75" s="167">
        <v>3636.6522058570363</v>
      </c>
      <c r="CM75" s="167">
        <v>3515.5745219992859</v>
      </c>
      <c r="CN75" s="167">
        <v>3419.5931648329761</v>
      </c>
      <c r="CO75" s="167">
        <v>3346.526428213002</v>
      </c>
      <c r="CP75" s="167">
        <v>3294.4344541145924</v>
      </c>
      <c r="CQ75" s="167">
        <v>3261.5770108582956</v>
      </c>
      <c r="CR75" s="167">
        <v>3246.3800907506002</v>
      </c>
      <c r="CS75" s="167">
        <v>3247.4097778188125</v>
      </c>
      <c r="CT75" s="167">
        <v>3263.3519989971464</v>
      </c>
      <c r="CU75" s="167">
        <v>3292.9969635626785</v>
      </c>
      <c r="CV75" s="167">
        <v>3335.2273265144304</v>
      </c>
      <c r="CW75" s="167">
        <v>3389.011473020068</v>
      </c>
      <c r="CX75" s="167">
        <v>3453.3880480688258</v>
      </c>
      <c r="CY75" s="167">
        <v>3527.4755705658863</v>
      </c>
      <c r="CZ75" s="167">
        <v>3610.4592099081819</v>
      </c>
      <c r="DA75" s="167">
        <v>3701.5911505457143</v>
      </c>
      <c r="DB75" s="167">
        <v>3800.188933668871</v>
      </c>
      <c r="DC75" s="167">
        <v>3905.6341486251167</v>
      </c>
      <c r="DD75" s="167">
        <v>4000</v>
      </c>
      <c r="DE75" s="167">
        <v>4000</v>
      </c>
      <c r="DF75" s="167">
        <v>4000</v>
      </c>
      <c r="DG75" s="167">
        <v>4000</v>
      </c>
      <c r="DH75" s="167">
        <v>4000</v>
      </c>
      <c r="DI75" s="167">
        <v>4000</v>
      </c>
      <c r="DJ75" s="167">
        <v>4000</v>
      </c>
      <c r="DK75" s="167">
        <v>4000</v>
      </c>
      <c r="DL75" s="167">
        <v>4000</v>
      </c>
      <c r="DM75" s="167">
        <v>4000</v>
      </c>
      <c r="DN75" s="167">
        <v>4000</v>
      </c>
      <c r="DO75" s="167">
        <v>4000</v>
      </c>
      <c r="DP75" s="167">
        <v>4000</v>
      </c>
      <c r="DQ75" s="167">
        <v>4000</v>
      </c>
      <c r="DR75" s="167">
        <v>4000</v>
      </c>
      <c r="DS75" s="167">
        <v>4000</v>
      </c>
      <c r="DT75" s="167">
        <v>4000</v>
      </c>
      <c r="DU75" s="167">
        <v>4000</v>
      </c>
      <c r="DV75" s="167">
        <v>4000</v>
      </c>
      <c r="DW75" s="167">
        <v>4000</v>
      </c>
      <c r="DX75" s="167">
        <v>4000</v>
      </c>
      <c r="DY75" s="167">
        <v>4000</v>
      </c>
      <c r="DZ75" s="167">
        <v>4000</v>
      </c>
      <c r="EA75" s="167">
        <v>4000</v>
      </c>
      <c r="EB75" s="167">
        <v>4000</v>
      </c>
      <c r="EC75" s="167">
        <v>4000</v>
      </c>
      <c r="ED75" s="167">
        <v>4000</v>
      </c>
      <c r="EE75" s="167">
        <v>4000</v>
      </c>
      <c r="EF75" s="167">
        <v>4000</v>
      </c>
      <c r="EG75" s="167">
        <v>4000</v>
      </c>
      <c r="EH75" s="167">
        <v>4000</v>
      </c>
      <c r="EI75" s="167">
        <v>4000</v>
      </c>
      <c r="EJ75" s="167">
        <v>4000</v>
      </c>
      <c r="EK75" s="167">
        <v>4000</v>
      </c>
      <c r="EL75" s="167">
        <v>4000</v>
      </c>
      <c r="EM75" s="167">
        <v>4000</v>
      </c>
      <c r="EN75" s="167">
        <v>4000</v>
      </c>
      <c r="EO75" s="167">
        <v>4000</v>
      </c>
      <c r="EP75" t="str">
        <f t="shared" si="1"/>
        <v>1y 256d</v>
      </c>
    </row>
    <row r="76" spans="2:146" x14ac:dyDescent="0.25">
      <c r="B76" s="9">
        <v>73</v>
      </c>
      <c r="D76">
        <v>6626552.1099964352</v>
      </c>
      <c r="E76" s="12">
        <v>2569628883.5092697</v>
      </c>
      <c r="F76" s="12">
        <v>13354874106.09898</v>
      </c>
      <c r="G76" s="12">
        <v>0</v>
      </c>
      <c r="H76" s="12">
        <v>12193564.07196429</v>
      </c>
      <c r="I76" s="12">
        <v>-16850240938.585722</v>
      </c>
      <c r="J76" s="12">
        <v>-11631795982.581018</v>
      </c>
      <c r="K76" s="12">
        <v>21055876.585690297</v>
      </c>
      <c r="L76" s="12">
        <v>3682691.738789984</v>
      </c>
      <c r="M76" s="12">
        <v>-12831630484.140024</v>
      </c>
      <c r="N76" s="12">
        <v>12665281241.923138</v>
      </c>
      <c r="O76" s="12"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S76" s="6">
        <v>14921420.360901188</v>
      </c>
      <c r="AT76" s="167">
        <v>4000</v>
      </c>
      <c r="AU76" s="167">
        <v>4000</v>
      </c>
      <c r="AV76" s="167">
        <v>4000</v>
      </c>
      <c r="AW76" s="167">
        <v>4000</v>
      </c>
      <c r="AX76" s="167">
        <v>4000</v>
      </c>
      <c r="AY76" s="167">
        <v>4000</v>
      </c>
      <c r="AZ76" s="167">
        <v>4000</v>
      </c>
      <c r="BA76" s="167">
        <v>4000</v>
      </c>
      <c r="BB76" s="167">
        <v>4000</v>
      </c>
      <c r="BC76" s="167">
        <v>4000</v>
      </c>
      <c r="BD76" s="167">
        <v>4000</v>
      </c>
      <c r="BE76" s="167">
        <v>4000</v>
      </c>
      <c r="BF76" s="167">
        <v>4000</v>
      </c>
      <c r="BG76" s="167">
        <v>4000</v>
      </c>
      <c r="BH76" s="167">
        <v>4000</v>
      </c>
      <c r="BI76" s="167">
        <v>4000</v>
      </c>
      <c r="BJ76" s="167">
        <v>4000</v>
      </c>
      <c r="BK76" s="167">
        <v>4000</v>
      </c>
      <c r="BL76" s="167">
        <v>4000</v>
      </c>
      <c r="BM76" s="167">
        <v>4000</v>
      </c>
      <c r="BN76" s="167">
        <v>4000</v>
      </c>
      <c r="BO76" s="167">
        <v>4000</v>
      </c>
      <c r="BP76" s="167">
        <v>4000</v>
      </c>
      <c r="BQ76" s="167">
        <v>4000</v>
      </c>
      <c r="BR76" s="167">
        <v>4000</v>
      </c>
      <c r="BS76" s="167">
        <v>4000</v>
      </c>
      <c r="BT76" s="167">
        <v>4000</v>
      </c>
      <c r="BU76" s="167">
        <v>4000</v>
      </c>
      <c r="BV76" s="167">
        <v>4000</v>
      </c>
      <c r="BW76" s="167">
        <v>4000</v>
      </c>
      <c r="BX76" s="167">
        <v>4000</v>
      </c>
      <c r="BY76" s="167">
        <v>4000</v>
      </c>
      <c r="BZ76" s="167">
        <v>4000</v>
      </c>
      <c r="CA76" s="167">
        <v>4000</v>
      </c>
      <c r="CB76" s="167">
        <v>4000</v>
      </c>
      <c r="CC76" s="167">
        <v>4000</v>
      </c>
      <c r="CD76" s="167">
        <v>4000</v>
      </c>
      <c r="CE76" s="167">
        <v>4000</v>
      </c>
      <c r="CF76" s="167">
        <v>4000</v>
      </c>
      <c r="CG76" s="167">
        <v>4000</v>
      </c>
      <c r="CH76" s="167">
        <v>4000</v>
      </c>
      <c r="CI76" s="167">
        <v>4000</v>
      </c>
      <c r="CJ76" s="167">
        <v>4000</v>
      </c>
      <c r="CK76" s="167">
        <v>3992.922100805029</v>
      </c>
      <c r="CL76" s="167">
        <v>3820.8621680759179</v>
      </c>
      <c r="CM76" s="167">
        <v>3678.8146889475183</v>
      </c>
      <c r="CN76" s="167">
        <v>3563.8966235299099</v>
      </c>
      <c r="CO76" s="167">
        <v>3473.5856736739061</v>
      </c>
      <c r="CP76" s="167">
        <v>3405.6566397539937</v>
      </c>
      <c r="CQ76" s="167">
        <v>3358.1301807441823</v>
      </c>
      <c r="CR76" s="167">
        <v>3329.2319387622097</v>
      </c>
      <c r="CS76" s="167">
        <v>3317.3602303473799</v>
      </c>
      <c r="CT76" s="167">
        <v>3321.0607212033865</v>
      </c>
      <c r="CU76" s="167">
        <v>3339.0067112279485</v>
      </c>
      <c r="CV76" s="167">
        <v>3369.983882528486</v>
      </c>
      <c r="CW76" s="167">
        <v>3412.8810078639945</v>
      </c>
      <c r="CX76" s="167">
        <v>3466.6709453460007</v>
      </c>
      <c r="CY76" s="167">
        <v>3530.4198937102892</v>
      </c>
      <c r="CZ76" s="167">
        <v>3603.2712722903807</v>
      </c>
      <c r="DA76" s="167">
        <v>3684.4448913840229</v>
      </c>
      <c r="DB76" s="167">
        <v>3773.2340289013255</v>
      </c>
      <c r="DC76" s="167">
        <v>3869.0030256913437</v>
      </c>
      <c r="DD76" s="167">
        <v>3971.1851655583259</v>
      </c>
      <c r="DE76" s="167">
        <v>4000</v>
      </c>
      <c r="DF76" s="167">
        <v>4000</v>
      </c>
      <c r="DG76" s="167">
        <v>4000</v>
      </c>
      <c r="DH76" s="167">
        <v>4000</v>
      </c>
      <c r="DI76" s="167">
        <v>4000</v>
      </c>
      <c r="DJ76" s="167">
        <v>4000</v>
      </c>
      <c r="DK76" s="167">
        <v>4000</v>
      </c>
      <c r="DL76" s="167">
        <v>4000</v>
      </c>
      <c r="DM76" s="167">
        <v>4000</v>
      </c>
      <c r="DN76" s="167">
        <v>4000</v>
      </c>
      <c r="DO76" s="167">
        <v>4000</v>
      </c>
      <c r="DP76" s="167">
        <v>4000</v>
      </c>
      <c r="DQ76" s="167">
        <v>4000</v>
      </c>
      <c r="DR76" s="167">
        <v>4000</v>
      </c>
      <c r="DS76" s="167">
        <v>4000</v>
      </c>
      <c r="DT76" s="167">
        <v>4000</v>
      </c>
      <c r="DU76" s="167">
        <v>4000</v>
      </c>
      <c r="DV76" s="167">
        <v>4000</v>
      </c>
      <c r="DW76" s="167">
        <v>4000</v>
      </c>
      <c r="DX76" s="167">
        <v>4000</v>
      </c>
      <c r="DY76" s="167">
        <v>4000</v>
      </c>
      <c r="DZ76" s="167">
        <v>4000</v>
      </c>
      <c r="EA76" s="167">
        <v>4000</v>
      </c>
      <c r="EB76" s="167">
        <v>4000</v>
      </c>
      <c r="EC76" s="167">
        <v>4000</v>
      </c>
      <c r="ED76" s="167">
        <v>4000</v>
      </c>
      <c r="EE76" s="167">
        <v>4000</v>
      </c>
      <c r="EF76" s="167">
        <v>4000</v>
      </c>
      <c r="EG76" s="167">
        <v>4000</v>
      </c>
      <c r="EH76" s="167">
        <v>4000</v>
      </c>
      <c r="EI76" s="167">
        <v>4000</v>
      </c>
      <c r="EJ76" s="167">
        <v>4000</v>
      </c>
      <c r="EK76" s="167">
        <v>4000</v>
      </c>
      <c r="EL76" s="167">
        <v>4000</v>
      </c>
      <c r="EM76" s="167">
        <v>4000</v>
      </c>
      <c r="EN76" s="167">
        <v>4000</v>
      </c>
      <c r="EO76" s="167">
        <v>4000</v>
      </c>
      <c r="EP76" t="str">
        <f t="shared" si="1"/>
        <v>1y 265d</v>
      </c>
    </row>
    <row r="77" spans="2:146" x14ac:dyDescent="0.25">
      <c r="B77" s="9">
        <v>74</v>
      </c>
      <c r="D77">
        <v>6718587.5559686087</v>
      </c>
      <c r="E77" s="12">
        <v>1725998824.5130119</v>
      </c>
      <c r="F77" s="12">
        <v>13489869645.274481</v>
      </c>
      <c r="G77" s="12">
        <v>0</v>
      </c>
      <c r="H77" s="12">
        <v>12363299.850939322</v>
      </c>
      <c r="I77" s="12">
        <v>-16137190518.982206</v>
      </c>
      <c r="J77" s="12">
        <v>-12706696200.66412</v>
      </c>
      <c r="K77" s="12">
        <v>21335362.633170083</v>
      </c>
      <c r="L77" s="12">
        <v>3755340.668966861</v>
      </c>
      <c r="M77" s="12">
        <v>-13286879925.932753</v>
      </c>
      <c r="N77" s="12">
        <v>12334377282.864023</v>
      </c>
      <c r="O77" s="12"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S77" s="6">
        <v>15100289.12232524</v>
      </c>
      <c r="AT77" s="167">
        <v>4000</v>
      </c>
      <c r="AU77" s="167">
        <v>4000</v>
      </c>
      <c r="AV77" s="167">
        <v>4000</v>
      </c>
      <c r="AW77" s="167">
        <v>4000</v>
      </c>
      <c r="AX77" s="167">
        <v>4000</v>
      </c>
      <c r="AY77" s="167">
        <v>4000</v>
      </c>
      <c r="AZ77" s="167">
        <v>4000</v>
      </c>
      <c r="BA77" s="167">
        <v>4000</v>
      </c>
      <c r="BB77" s="167">
        <v>4000</v>
      </c>
      <c r="BC77" s="167">
        <v>4000</v>
      </c>
      <c r="BD77" s="167">
        <v>4000</v>
      </c>
      <c r="BE77" s="167">
        <v>4000</v>
      </c>
      <c r="BF77" s="167">
        <v>4000</v>
      </c>
      <c r="BG77" s="167">
        <v>4000</v>
      </c>
      <c r="BH77" s="167">
        <v>4000</v>
      </c>
      <c r="BI77" s="167">
        <v>4000</v>
      </c>
      <c r="BJ77" s="167">
        <v>4000</v>
      </c>
      <c r="BK77" s="167">
        <v>4000</v>
      </c>
      <c r="BL77" s="167">
        <v>4000</v>
      </c>
      <c r="BM77" s="167">
        <v>4000</v>
      </c>
      <c r="BN77" s="167">
        <v>4000</v>
      </c>
      <c r="BO77" s="167">
        <v>4000</v>
      </c>
      <c r="BP77" s="167">
        <v>4000</v>
      </c>
      <c r="BQ77" s="167">
        <v>4000</v>
      </c>
      <c r="BR77" s="167">
        <v>4000</v>
      </c>
      <c r="BS77" s="167">
        <v>4000</v>
      </c>
      <c r="BT77" s="167">
        <v>4000</v>
      </c>
      <c r="BU77" s="167">
        <v>4000</v>
      </c>
      <c r="BV77" s="167">
        <v>4000</v>
      </c>
      <c r="BW77" s="167">
        <v>4000</v>
      </c>
      <c r="BX77" s="167">
        <v>4000</v>
      </c>
      <c r="BY77" s="167">
        <v>4000</v>
      </c>
      <c r="BZ77" s="167">
        <v>4000</v>
      </c>
      <c r="CA77" s="167">
        <v>4000</v>
      </c>
      <c r="CB77" s="167">
        <v>4000</v>
      </c>
      <c r="CC77" s="167">
        <v>4000</v>
      </c>
      <c r="CD77" s="167">
        <v>4000</v>
      </c>
      <c r="CE77" s="167">
        <v>4000</v>
      </c>
      <c r="CF77" s="167">
        <v>4000</v>
      </c>
      <c r="CG77" s="167">
        <v>4000</v>
      </c>
      <c r="CH77" s="167">
        <v>4000</v>
      </c>
      <c r="CI77" s="167">
        <v>4000</v>
      </c>
      <c r="CJ77" s="167">
        <v>4000</v>
      </c>
      <c r="CK77" s="167">
        <v>4000</v>
      </c>
      <c r="CL77" s="167">
        <v>4000</v>
      </c>
      <c r="CM77" s="167">
        <v>3868.382252012078</v>
      </c>
      <c r="CN77" s="167">
        <v>3732.0907674907903</v>
      </c>
      <c r="CO77" s="167">
        <v>3622.4416549618036</v>
      </c>
      <c r="CP77" s="167">
        <v>3536.8678132181635</v>
      </c>
      <c r="CQ77" s="167">
        <v>3473.1041035431031</v>
      </c>
      <c r="CR77" s="167">
        <v>3429.1372911217695</v>
      </c>
      <c r="CS77" s="167">
        <v>3403.1661462504508</v>
      </c>
      <c r="CT77" s="167">
        <v>3393.5698623611243</v>
      </c>
      <c r="CU77" s="167">
        <v>3398.8831989237642</v>
      </c>
      <c r="CV77" s="167">
        <v>3417.7770018654414</v>
      </c>
      <c r="CW77" s="167">
        <v>3449.0429950636703</v>
      </c>
      <c r="CX77" s="167">
        <v>3491.5841813434727</v>
      </c>
      <c r="CY77" s="167">
        <v>3544.3963523313305</v>
      </c>
      <c r="CZ77" s="167">
        <v>3606.5756817512174</v>
      </c>
      <c r="DA77" s="167">
        <v>3677.3028806930356</v>
      </c>
      <c r="DB77" s="167">
        <v>3755.8414375695447</v>
      </c>
      <c r="DC77" s="167">
        <v>3841.5338868444387</v>
      </c>
      <c r="DD77" s="167">
        <v>3933.798527588564</v>
      </c>
      <c r="DE77" s="167">
        <v>4000</v>
      </c>
      <c r="DF77" s="167">
        <v>4000</v>
      </c>
      <c r="DG77" s="167">
        <v>4000</v>
      </c>
      <c r="DH77" s="167">
        <v>4000</v>
      </c>
      <c r="DI77" s="167">
        <v>4000</v>
      </c>
      <c r="DJ77" s="167">
        <v>4000</v>
      </c>
      <c r="DK77" s="167">
        <v>4000</v>
      </c>
      <c r="DL77" s="167">
        <v>4000</v>
      </c>
      <c r="DM77" s="167">
        <v>4000</v>
      </c>
      <c r="DN77" s="167">
        <v>4000</v>
      </c>
      <c r="DO77" s="167">
        <v>4000</v>
      </c>
      <c r="DP77" s="167">
        <v>4000</v>
      </c>
      <c r="DQ77" s="167">
        <v>4000</v>
      </c>
      <c r="DR77" s="167">
        <v>4000</v>
      </c>
      <c r="DS77" s="167">
        <v>4000</v>
      </c>
      <c r="DT77" s="167">
        <v>4000</v>
      </c>
      <c r="DU77" s="167">
        <v>4000</v>
      </c>
      <c r="DV77" s="167">
        <v>4000</v>
      </c>
      <c r="DW77" s="167">
        <v>4000</v>
      </c>
      <c r="DX77" s="167">
        <v>4000</v>
      </c>
      <c r="DY77" s="167">
        <v>4000</v>
      </c>
      <c r="DZ77" s="167">
        <v>4000</v>
      </c>
      <c r="EA77" s="167">
        <v>4000</v>
      </c>
      <c r="EB77" s="167">
        <v>4000</v>
      </c>
      <c r="EC77" s="167">
        <v>4000</v>
      </c>
      <c r="ED77" s="167">
        <v>4000</v>
      </c>
      <c r="EE77" s="167">
        <v>4000</v>
      </c>
      <c r="EF77" s="167">
        <v>4000</v>
      </c>
      <c r="EG77" s="167">
        <v>4000</v>
      </c>
      <c r="EH77" s="167">
        <v>4000</v>
      </c>
      <c r="EI77" s="167">
        <v>4000</v>
      </c>
      <c r="EJ77" s="167">
        <v>4000</v>
      </c>
      <c r="EK77" s="167">
        <v>4000</v>
      </c>
      <c r="EL77" s="167">
        <v>4000</v>
      </c>
      <c r="EM77" s="167">
        <v>4000</v>
      </c>
      <c r="EN77" s="167">
        <v>4000</v>
      </c>
      <c r="EO77" s="167">
        <v>4000</v>
      </c>
      <c r="EP77" t="str">
        <f t="shared" si="1"/>
        <v>1y 273d</v>
      </c>
    </row>
    <row r="78" spans="2:146" x14ac:dyDescent="0.25">
      <c r="B78" s="9">
        <v>75</v>
      </c>
      <c r="D78">
        <v>6810623.0019407813</v>
      </c>
      <c r="E78" s="12">
        <v>875557036.69026947</v>
      </c>
      <c r="F78" s="12">
        <v>13571626831.895294</v>
      </c>
      <c r="G78" s="12">
        <v>0</v>
      </c>
      <c r="H78" s="12">
        <v>12534110.787837138</v>
      </c>
      <c r="I78" s="12">
        <v>-15356146713.776785</v>
      </c>
      <c r="J78" s="12">
        <v>-13738419132.547121</v>
      </c>
      <c r="K78" s="12">
        <v>21532692.429003093</v>
      </c>
      <c r="L78" s="12">
        <v>3828792.2951731896</v>
      </c>
      <c r="M78" s="12">
        <v>-13733133993.166412</v>
      </c>
      <c r="N78" s="12">
        <v>11986797940.605207</v>
      </c>
      <c r="O78" s="12"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S78" s="6">
        <v>15279157.883749291</v>
      </c>
      <c r="AT78" s="167">
        <v>4000</v>
      </c>
      <c r="AU78" s="167">
        <v>4000</v>
      </c>
      <c r="AV78" s="167">
        <v>4000</v>
      </c>
      <c r="AW78" s="167">
        <v>4000</v>
      </c>
      <c r="AX78" s="167">
        <v>4000</v>
      </c>
      <c r="AY78" s="167">
        <v>4000</v>
      </c>
      <c r="AZ78" s="167">
        <v>4000</v>
      </c>
      <c r="BA78" s="167">
        <v>4000</v>
      </c>
      <c r="BB78" s="167">
        <v>4000</v>
      </c>
      <c r="BC78" s="167">
        <v>4000</v>
      </c>
      <c r="BD78" s="167">
        <v>4000</v>
      </c>
      <c r="BE78" s="167">
        <v>4000</v>
      </c>
      <c r="BF78" s="167">
        <v>4000</v>
      </c>
      <c r="BG78" s="167">
        <v>4000</v>
      </c>
      <c r="BH78" s="167">
        <v>4000</v>
      </c>
      <c r="BI78" s="167">
        <v>4000</v>
      </c>
      <c r="BJ78" s="167">
        <v>4000</v>
      </c>
      <c r="BK78" s="167">
        <v>4000</v>
      </c>
      <c r="BL78" s="167">
        <v>4000</v>
      </c>
      <c r="BM78" s="167">
        <v>4000</v>
      </c>
      <c r="BN78" s="167">
        <v>4000</v>
      </c>
      <c r="BO78" s="167">
        <v>4000</v>
      </c>
      <c r="BP78" s="167">
        <v>4000</v>
      </c>
      <c r="BQ78" s="167">
        <v>4000</v>
      </c>
      <c r="BR78" s="167">
        <v>4000</v>
      </c>
      <c r="BS78" s="167">
        <v>4000</v>
      </c>
      <c r="BT78" s="167">
        <v>4000</v>
      </c>
      <c r="BU78" s="167">
        <v>4000</v>
      </c>
      <c r="BV78" s="167">
        <v>4000</v>
      </c>
      <c r="BW78" s="167">
        <v>4000</v>
      </c>
      <c r="BX78" s="167">
        <v>4000</v>
      </c>
      <c r="BY78" s="167">
        <v>4000</v>
      </c>
      <c r="BZ78" s="167">
        <v>4000</v>
      </c>
      <c r="CA78" s="167">
        <v>4000</v>
      </c>
      <c r="CB78" s="167">
        <v>4000</v>
      </c>
      <c r="CC78" s="167">
        <v>4000</v>
      </c>
      <c r="CD78" s="167">
        <v>4000</v>
      </c>
      <c r="CE78" s="167">
        <v>4000</v>
      </c>
      <c r="CF78" s="167">
        <v>4000</v>
      </c>
      <c r="CG78" s="167">
        <v>4000</v>
      </c>
      <c r="CH78" s="167">
        <v>4000</v>
      </c>
      <c r="CI78" s="167">
        <v>4000</v>
      </c>
      <c r="CJ78" s="167">
        <v>4000</v>
      </c>
      <c r="CK78" s="167">
        <v>4000</v>
      </c>
      <c r="CL78" s="167">
        <v>4000</v>
      </c>
      <c r="CM78" s="167">
        <v>4000</v>
      </c>
      <c r="CN78" s="167">
        <v>3928.194584664202</v>
      </c>
      <c r="CO78" s="167">
        <v>3796.6477448789547</v>
      </c>
      <c r="CP78" s="167">
        <v>3691.2245355740761</v>
      </c>
      <c r="CQ78" s="167">
        <v>3609.3154331532496</v>
      </c>
      <c r="CR78" s="167">
        <v>3548.6200485828522</v>
      </c>
      <c r="CS78" s="167">
        <v>3507.0978351978547</v>
      </c>
      <c r="CT78" s="167">
        <v>3482.9287574101336</v>
      </c>
      <c r="CU78" s="167">
        <v>3474.4820515693191</v>
      </c>
      <c r="CV78" s="167">
        <v>3480.2914918611459</v>
      </c>
      <c r="CW78" s="167">
        <v>3499.0358401417952</v>
      </c>
      <c r="CX78" s="167">
        <v>3529.5259141016368</v>
      </c>
      <c r="CY78" s="167">
        <v>3570.6818932109245</v>
      </c>
      <c r="CZ78" s="167">
        <v>3621.5400879968411</v>
      </c>
      <c r="DA78" s="167">
        <v>3681.2337150649391</v>
      </c>
      <c r="DB78" s="167">
        <v>3748.9895614832822</v>
      </c>
      <c r="DC78" s="167">
        <v>3824.1226455585443</v>
      </c>
      <c r="DD78" s="167">
        <v>3906.0315392886405</v>
      </c>
      <c r="DE78" s="167">
        <v>3994.1940991697079</v>
      </c>
      <c r="DF78" s="167">
        <v>4000</v>
      </c>
      <c r="DG78" s="167">
        <v>4000</v>
      </c>
      <c r="DH78" s="167">
        <v>4000</v>
      </c>
      <c r="DI78" s="167">
        <v>4000</v>
      </c>
      <c r="DJ78" s="167">
        <v>4000</v>
      </c>
      <c r="DK78" s="167">
        <v>4000</v>
      </c>
      <c r="DL78" s="167">
        <v>4000</v>
      </c>
      <c r="DM78" s="167">
        <v>4000</v>
      </c>
      <c r="DN78" s="167">
        <v>4000</v>
      </c>
      <c r="DO78" s="167">
        <v>4000</v>
      </c>
      <c r="DP78" s="167">
        <v>4000</v>
      </c>
      <c r="DQ78" s="167">
        <v>4000</v>
      </c>
      <c r="DR78" s="167">
        <v>4000</v>
      </c>
      <c r="DS78" s="167">
        <v>4000</v>
      </c>
      <c r="DT78" s="167">
        <v>4000</v>
      </c>
      <c r="DU78" s="167">
        <v>4000</v>
      </c>
      <c r="DV78" s="167">
        <v>4000</v>
      </c>
      <c r="DW78" s="167">
        <v>4000</v>
      </c>
      <c r="DX78" s="167">
        <v>4000</v>
      </c>
      <c r="DY78" s="167">
        <v>4000</v>
      </c>
      <c r="DZ78" s="167">
        <v>4000</v>
      </c>
      <c r="EA78" s="167">
        <v>4000</v>
      </c>
      <c r="EB78" s="167">
        <v>4000</v>
      </c>
      <c r="EC78" s="167">
        <v>4000</v>
      </c>
      <c r="ED78" s="167">
        <v>4000</v>
      </c>
      <c r="EE78" s="167">
        <v>4000</v>
      </c>
      <c r="EF78" s="167">
        <v>4000</v>
      </c>
      <c r="EG78" s="167">
        <v>4000</v>
      </c>
      <c r="EH78" s="167">
        <v>4000</v>
      </c>
      <c r="EI78" s="167">
        <v>4000</v>
      </c>
      <c r="EJ78" s="167">
        <v>4000</v>
      </c>
      <c r="EK78" s="167">
        <v>4000</v>
      </c>
      <c r="EL78" s="167">
        <v>4000</v>
      </c>
      <c r="EM78" s="167">
        <v>4000</v>
      </c>
      <c r="EN78" s="167">
        <v>4000</v>
      </c>
      <c r="EO78" s="167">
        <v>4000</v>
      </c>
      <c r="EP78" t="str">
        <f t="shared" si="1"/>
        <v>1y 281d</v>
      </c>
    </row>
    <row r="79" spans="2:146" x14ac:dyDescent="0.25">
      <c r="B79" s="9">
        <v>76</v>
      </c>
      <c r="D79">
        <v>6902658.4479129538</v>
      </c>
      <c r="E79" s="12">
        <v>21659825.247671843</v>
      </c>
      <c r="F79" s="12">
        <v>13599823007.697136</v>
      </c>
      <c r="G79" s="12">
        <v>0</v>
      </c>
      <c r="H79" s="12">
        <v>12706013.726408536</v>
      </c>
      <c r="I79" s="12">
        <v>-14509512059.337996</v>
      </c>
      <c r="J79" s="12">
        <v>-14722520461.276192</v>
      </c>
      <c r="K79" s="12">
        <v>21646309.888304077</v>
      </c>
      <c r="L79" s="12">
        <v>3903042.9317954481</v>
      </c>
      <c r="M79" s="12">
        <v>-14169668006.860428</v>
      </c>
      <c r="N79" s="12">
        <v>11622717211.758354</v>
      </c>
      <c r="O79" s="12"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S79" s="6">
        <v>15458026.645173343</v>
      </c>
      <c r="AT79" s="167">
        <v>4000</v>
      </c>
      <c r="AU79" s="167">
        <v>4000</v>
      </c>
      <c r="AV79" s="167">
        <v>4000</v>
      </c>
      <c r="AW79" s="167">
        <v>4000</v>
      </c>
      <c r="AX79" s="167">
        <v>4000</v>
      </c>
      <c r="AY79" s="167">
        <v>4000</v>
      </c>
      <c r="AZ79" s="167">
        <v>4000</v>
      </c>
      <c r="BA79" s="167">
        <v>4000</v>
      </c>
      <c r="BB79" s="167">
        <v>4000</v>
      </c>
      <c r="BC79" s="167">
        <v>4000</v>
      </c>
      <c r="BD79" s="167">
        <v>4000</v>
      </c>
      <c r="BE79" s="167">
        <v>4000</v>
      </c>
      <c r="BF79" s="167">
        <v>4000</v>
      </c>
      <c r="BG79" s="167">
        <v>4000</v>
      </c>
      <c r="BH79" s="167">
        <v>4000</v>
      </c>
      <c r="BI79" s="167">
        <v>4000</v>
      </c>
      <c r="BJ79" s="167">
        <v>4000</v>
      </c>
      <c r="BK79" s="167">
        <v>4000</v>
      </c>
      <c r="BL79" s="167">
        <v>4000</v>
      </c>
      <c r="BM79" s="167">
        <v>4000</v>
      </c>
      <c r="BN79" s="167">
        <v>4000</v>
      </c>
      <c r="BO79" s="167">
        <v>4000</v>
      </c>
      <c r="BP79" s="167">
        <v>4000</v>
      </c>
      <c r="BQ79" s="167">
        <v>4000</v>
      </c>
      <c r="BR79" s="167">
        <v>4000</v>
      </c>
      <c r="BS79" s="167">
        <v>4000</v>
      </c>
      <c r="BT79" s="167">
        <v>4000</v>
      </c>
      <c r="BU79" s="167">
        <v>4000</v>
      </c>
      <c r="BV79" s="167">
        <v>4000</v>
      </c>
      <c r="BW79" s="167">
        <v>4000</v>
      </c>
      <c r="BX79" s="167">
        <v>4000</v>
      </c>
      <c r="BY79" s="167">
        <v>4000</v>
      </c>
      <c r="BZ79" s="167">
        <v>4000</v>
      </c>
      <c r="CA79" s="167">
        <v>4000</v>
      </c>
      <c r="CB79" s="167">
        <v>4000</v>
      </c>
      <c r="CC79" s="167">
        <v>4000</v>
      </c>
      <c r="CD79" s="167">
        <v>4000</v>
      </c>
      <c r="CE79" s="167">
        <v>4000</v>
      </c>
      <c r="CF79" s="167">
        <v>4000</v>
      </c>
      <c r="CG79" s="167">
        <v>4000</v>
      </c>
      <c r="CH79" s="167">
        <v>4000</v>
      </c>
      <c r="CI79" s="167">
        <v>4000</v>
      </c>
      <c r="CJ79" s="167">
        <v>4000</v>
      </c>
      <c r="CK79" s="167">
        <v>4000</v>
      </c>
      <c r="CL79" s="167">
        <v>4000</v>
      </c>
      <c r="CM79" s="167">
        <v>4000</v>
      </c>
      <c r="CN79" s="167">
        <v>4000</v>
      </c>
      <c r="CO79" s="167">
        <v>4000</v>
      </c>
      <c r="CP79" s="167">
        <v>3872.5363121833052</v>
      </c>
      <c r="CQ79" s="167">
        <v>3770.1449363281463</v>
      </c>
      <c r="CR79" s="167">
        <v>3690.693237368444</v>
      </c>
      <c r="CS79" s="167">
        <v>3631.8511758475952</v>
      </c>
      <c r="CT79" s="167">
        <v>3591.5582160210483</v>
      </c>
      <c r="CU79" s="167">
        <v>3567.9841230547177</v>
      </c>
      <c r="CV79" s="167">
        <v>3559.4976676429769</v>
      </c>
      <c r="CW79" s="167">
        <v>3564.6416594635057</v>
      </c>
      <c r="CX79" s="167">
        <v>3582.1130090875276</v>
      </c>
      <c r="CY79" s="167">
        <v>3610.7491101861478</v>
      </c>
      <c r="CZ79" s="167">
        <v>3649.5051766045763</v>
      </c>
      <c r="DA79" s="167">
        <v>3697.4591855881267</v>
      </c>
      <c r="DB79" s="167">
        <v>3753.79252001447</v>
      </c>
      <c r="DC79" s="167">
        <v>3817.7854814737211</v>
      </c>
      <c r="DD79" s="167">
        <v>3888.8109282387945</v>
      </c>
      <c r="DE79" s="167">
        <v>3966.328539221402</v>
      </c>
      <c r="DF79" s="167">
        <v>4000</v>
      </c>
      <c r="DG79" s="167">
        <v>4000</v>
      </c>
      <c r="DH79" s="167">
        <v>4000</v>
      </c>
      <c r="DI79" s="167">
        <v>4000</v>
      </c>
      <c r="DJ79" s="167">
        <v>4000</v>
      </c>
      <c r="DK79" s="167">
        <v>4000</v>
      </c>
      <c r="DL79" s="167">
        <v>4000</v>
      </c>
      <c r="DM79" s="167">
        <v>4000</v>
      </c>
      <c r="DN79" s="167">
        <v>4000</v>
      </c>
      <c r="DO79" s="167">
        <v>4000</v>
      </c>
      <c r="DP79" s="167">
        <v>4000</v>
      </c>
      <c r="DQ79" s="167">
        <v>4000</v>
      </c>
      <c r="DR79" s="167">
        <v>4000</v>
      </c>
      <c r="DS79" s="167">
        <v>4000</v>
      </c>
      <c r="DT79" s="167">
        <v>4000</v>
      </c>
      <c r="DU79" s="167">
        <v>4000</v>
      </c>
      <c r="DV79" s="167">
        <v>4000</v>
      </c>
      <c r="DW79" s="167">
        <v>4000</v>
      </c>
      <c r="DX79" s="167">
        <v>4000</v>
      </c>
      <c r="DY79" s="167">
        <v>4000</v>
      </c>
      <c r="DZ79" s="167">
        <v>4000</v>
      </c>
      <c r="EA79" s="167">
        <v>4000</v>
      </c>
      <c r="EB79" s="167">
        <v>4000</v>
      </c>
      <c r="EC79" s="167">
        <v>4000</v>
      </c>
      <c r="ED79" s="167">
        <v>4000</v>
      </c>
      <c r="EE79" s="167">
        <v>4000</v>
      </c>
      <c r="EF79" s="167">
        <v>4000</v>
      </c>
      <c r="EG79" s="167">
        <v>4000</v>
      </c>
      <c r="EH79" s="167">
        <v>4000</v>
      </c>
      <c r="EI79" s="167">
        <v>4000</v>
      </c>
      <c r="EJ79" s="167">
        <v>4000</v>
      </c>
      <c r="EK79" s="167">
        <v>4000</v>
      </c>
      <c r="EL79" s="167">
        <v>4000</v>
      </c>
      <c r="EM79" s="167">
        <v>4000</v>
      </c>
      <c r="EN79" s="167">
        <v>4000</v>
      </c>
      <c r="EO79" s="167">
        <v>4000</v>
      </c>
      <c r="EP79" t="str">
        <f t="shared" si="1"/>
        <v>1y 290d</v>
      </c>
    </row>
    <row r="80" spans="2:146" x14ac:dyDescent="0.25">
      <c r="B80" s="9">
        <v>77</v>
      </c>
      <c r="D80">
        <v>6994693.8938851263</v>
      </c>
      <c r="E80" s="12">
        <v>-832322867.6297456</v>
      </c>
      <c r="F80" s="12">
        <v>13574346895.255724</v>
      </c>
      <c r="G80" s="12">
        <v>0</v>
      </c>
      <c r="H80" s="12">
        <v>12879021.459479015</v>
      </c>
      <c r="I80" s="12">
        <v>-13599995853.305334</v>
      </c>
      <c r="J80" s="12">
        <v>-15654658936.310453</v>
      </c>
      <c r="K80" s="12">
        <v>21674961.067905713</v>
      </c>
      <c r="L80" s="12">
        <v>3978087.5819481718</v>
      </c>
      <c r="M80" s="12">
        <v>-14595753039.272867</v>
      </c>
      <c r="N80" s="12">
        <v>11242343915.934788</v>
      </c>
      <c r="O80" s="12"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S80" s="6">
        <v>15636895.406597394</v>
      </c>
      <c r="AT80" s="167">
        <v>4000</v>
      </c>
      <c r="AU80" s="167">
        <v>4000</v>
      </c>
      <c r="AV80" s="167">
        <v>4000</v>
      </c>
      <c r="AW80" s="167">
        <v>4000</v>
      </c>
      <c r="AX80" s="167">
        <v>4000</v>
      </c>
      <c r="AY80" s="167">
        <v>4000</v>
      </c>
      <c r="AZ80" s="167">
        <v>4000</v>
      </c>
      <c r="BA80" s="167">
        <v>4000</v>
      </c>
      <c r="BB80" s="167">
        <v>4000</v>
      </c>
      <c r="BC80" s="167">
        <v>4000</v>
      </c>
      <c r="BD80" s="167">
        <v>4000</v>
      </c>
      <c r="BE80" s="167">
        <v>4000</v>
      </c>
      <c r="BF80" s="167">
        <v>4000</v>
      </c>
      <c r="BG80" s="167">
        <v>4000</v>
      </c>
      <c r="BH80" s="167">
        <v>4000</v>
      </c>
      <c r="BI80" s="167">
        <v>4000</v>
      </c>
      <c r="BJ80" s="167">
        <v>4000</v>
      </c>
      <c r="BK80" s="167">
        <v>4000</v>
      </c>
      <c r="BL80" s="167">
        <v>4000</v>
      </c>
      <c r="BM80" s="167">
        <v>4000</v>
      </c>
      <c r="BN80" s="167">
        <v>4000</v>
      </c>
      <c r="BO80" s="167">
        <v>4000</v>
      </c>
      <c r="BP80" s="167">
        <v>4000</v>
      </c>
      <c r="BQ80" s="167">
        <v>4000</v>
      </c>
      <c r="BR80" s="167">
        <v>4000</v>
      </c>
      <c r="BS80" s="167">
        <v>4000</v>
      </c>
      <c r="BT80" s="167">
        <v>4000</v>
      </c>
      <c r="BU80" s="167">
        <v>4000</v>
      </c>
      <c r="BV80" s="167">
        <v>4000</v>
      </c>
      <c r="BW80" s="167">
        <v>4000</v>
      </c>
      <c r="BX80" s="167">
        <v>4000</v>
      </c>
      <c r="BY80" s="167">
        <v>4000</v>
      </c>
      <c r="BZ80" s="167">
        <v>4000</v>
      </c>
      <c r="CA80" s="167">
        <v>4000</v>
      </c>
      <c r="CB80" s="167">
        <v>4000</v>
      </c>
      <c r="CC80" s="167">
        <v>4000</v>
      </c>
      <c r="CD80" s="167">
        <v>4000</v>
      </c>
      <c r="CE80" s="167">
        <v>4000</v>
      </c>
      <c r="CF80" s="167">
        <v>4000</v>
      </c>
      <c r="CG80" s="167">
        <v>4000</v>
      </c>
      <c r="CH80" s="167">
        <v>4000</v>
      </c>
      <c r="CI80" s="167">
        <v>4000</v>
      </c>
      <c r="CJ80" s="167">
        <v>4000</v>
      </c>
      <c r="CK80" s="167">
        <v>4000</v>
      </c>
      <c r="CL80" s="167">
        <v>4000</v>
      </c>
      <c r="CM80" s="167">
        <v>4000</v>
      </c>
      <c r="CN80" s="167">
        <v>4000</v>
      </c>
      <c r="CO80" s="167">
        <v>4000</v>
      </c>
      <c r="CP80" s="167">
        <v>4000</v>
      </c>
      <c r="CQ80" s="167">
        <v>3959.6714254194367</v>
      </c>
      <c r="CR80" s="167">
        <v>3858.9704149293752</v>
      </c>
      <c r="CS80" s="167">
        <v>3780.6403286077984</v>
      </c>
      <c r="CT80" s="167">
        <v>3722.327692768014</v>
      </c>
      <c r="CU80" s="167">
        <v>3681.9597260292403</v>
      </c>
      <c r="CV80" s="167">
        <v>3657.7048003381419</v>
      </c>
      <c r="CW80" s="167">
        <v>3647.9406745929009</v>
      </c>
      <c r="CX80" s="167">
        <v>3651.2289284015906</v>
      </c>
      <c r="CY80" s="167">
        <v>3666.2943091717448</v>
      </c>
      <c r="CZ80" s="167">
        <v>3692.0101602923351</v>
      </c>
      <c r="DA80" s="167">
        <v>3727.3754216669831</v>
      </c>
      <c r="DB80" s="167">
        <v>3771.5176797967756</v>
      </c>
      <c r="DC80" s="167">
        <v>3823.6733756503227</v>
      </c>
      <c r="DD80" s="167">
        <v>3883.1820425695387</v>
      </c>
      <c r="DE80" s="167">
        <v>3949.4788086832837</v>
      </c>
      <c r="DF80" s="167">
        <v>4000</v>
      </c>
      <c r="DG80" s="167">
        <v>4000</v>
      </c>
      <c r="DH80" s="167">
        <v>4000</v>
      </c>
      <c r="DI80" s="167">
        <v>4000</v>
      </c>
      <c r="DJ80" s="167">
        <v>4000</v>
      </c>
      <c r="DK80" s="167">
        <v>4000</v>
      </c>
      <c r="DL80" s="167">
        <v>4000</v>
      </c>
      <c r="DM80" s="167">
        <v>4000</v>
      </c>
      <c r="DN80" s="167">
        <v>4000</v>
      </c>
      <c r="DO80" s="167">
        <v>4000</v>
      </c>
      <c r="DP80" s="167">
        <v>4000</v>
      </c>
      <c r="DQ80" s="167">
        <v>4000</v>
      </c>
      <c r="DR80" s="167">
        <v>4000</v>
      </c>
      <c r="DS80" s="167">
        <v>4000</v>
      </c>
      <c r="DT80" s="167">
        <v>4000</v>
      </c>
      <c r="DU80" s="167">
        <v>4000</v>
      </c>
      <c r="DV80" s="167">
        <v>4000</v>
      </c>
      <c r="DW80" s="167">
        <v>4000</v>
      </c>
      <c r="DX80" s="167">
        <v>4000</v>
      </c>
      <c r="DY80" s="167">
        <v>4000</v>
      </c>
      <c r="DZ80" s="167">
        <v>4000</v>
      </c>
      <c r="EA80" s="167">
        <v>4000</v>
      </c>
      <c r="EB80" s="167">
        <v>4000</v>
      </c>
      <c r="EC80" s="167">
        <v>4000</v>
      </c>
      <c r="ED80" s="167">
        <v>4000</v>
      </c>
      <c r="EE80" s="167">
        <v>4000</v>
      </c>
      <c r="EF80" s="167">
        <v>4000</v>
      </c>
      <c r="EG80" s="167">
        <v>4000</v>
      </c>
      <c r="EH80" s="167">
        <v>4000</v>
      </c>
      <c r="EI80" s="167">
        <v>4000</v>
      </c>
      <c r="EJ80" s="167">
        <v>4000</v>
      </c>
      <c r="EK80" s="167">
        <v>4000</v>
      </c>
      <c r="EL80" s="167">
        <v>4000</v>
      </c>
      <c r="EM80" s="167">
        <v>4000</v>
      </c>
      <c r="EN80" s="167">
        <v>4000</v>
      </c>
      <c r="EO80" s="167">
        <v>4000</v>
      </c>
      <c r="EP80" t="str">
        <f t="shared" si="1"/>
        <v>1y 298d</v>
      </c>
    </row>
    <row r="81" spans="2:146" x14ac:dyDescent="0.25">
      <c r="B81" s="9">
        <v>78</v>
      </c>
      <c r="D81">
        <v>7086729.3398572989</v>
      </c>
      <c r="E81" s="12">
        <v>-1683020762.4007764</v>
      </c>
      <c r="F81" s="12">
        <v>13495299037.147938</v>
      </c>
      <c r="G81" s="12">
        <v>0</v>
      </c>
      <c r="H81" s="12">
        <v>13053142.557944266</v>
      </c>
      <c r="I81" s="12">
        <v>-12630614235.987307</v>
      </c>
      <c r="J81" s="12">
        <v>-16530619386.239292</v>
      </c>
      <c r="K81" s="12">
        <v>21617711.4146339</v>
      </c>
      <c r="L81" s="12">
        <v>4053919.8958278885</v>
      </c>
      <c r="M81" s="12">
        <v>-15010657836.813065</v>
      </c>
      <c r="N81" s="12">
        <v>10845922691.438765</v>
      </c>
      <c r="O81" s="12"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S81" s="6">
        <v>15815764.168021446</v>
      </c>
      <c r="AT81" s="167">
        <v>4000</v>
      </c>
      <c r="AU81" s="167">
        <v>4000</v>
      </c>
      <c r="AV81" s="167">
        <v>4000</v>
      </c>
      <c r="AW81" s="167">
        <v>4000</v>
      </c>
      <c r="AX81" s="167">
        <v>4000</v>
      </c>
      <c r="AY81" s="167">
        <v>4000</v>
      </c>
      <c r="AZ81" s="167">
        <v>4000</v>
      </c>
      <c r="BA81" s="167">
        <v>4000</v>
      </c>
      <c r="BB81" s="167">
        <v>4000</v>
      </c>
      <c r="BC81" s="167">
        <v>4000</v>
      </c>
      <c r="BD81" s="167">
        <v>4000</v>
      </c>
      <c r="BE81" s="167">
        <v>4000</v>
      </c>
      <c r="BF81" s="167">
        <v>4000</v>
      </c>
      <c r="BG81" s="167">
        <v>4000</v>
      </c>
      <c r="BH81" s="167">
        <v>4000</v>
      </c>
      <c r="BI81" s="167">
        <v>4000</v>
      </c>
      <c r="BJ81" s="167">
        <v>4000</v>
      </c>
      <c r="BK81" s="167">
        <v>4000</v>
      </c>
      <c r="BL81" s="167">
        <v>4000</v>
      </c>
      <c r="BM81" s="167">
        <v>4000</v>
      </c>
      <c r="BN81" s="167">
        <v>4000</v>
      </c>
      <c r="BO81" s="167">
        <v>4000</v>
      </c>
      <c r="BP81" s="167">
        <v>4000</v>
      </c>
      <c r="BQ81" s="167">
        <v>4000</v>
      </c>
      <c r="BR81" s="167">
        <v>4000</v>
      </c>
      <c r="BS81" s="167">
        <v>4000</v>
      </c>
      <c r="BT81" s="167">
        <v>4000</v>
      </c>
      <c r="BU81" s="167">
        <v>4000</v>
      </c>
      <c r="BV81" s="167">
        <v>4000</v>
      </c>
      <c r="BW81" s="167">
        <v>4000</v>
      </c>
      <c r="BX81" s="167">
        <v>4000</v>
      </c>
      <c r="BY81" s="167">
        <v>4000</v>
      </c>
      <c r="BZ81" s="167">
        <v>4000</v>
      </c>
      <c r="CA81" s="167">
        <v>4000</v>
      </c>
      <c r="CB81" s="167">
        <v>4000</v>
      </c>
      <c r="CC81" s="167">
        <v>4000</v>
      </c>
      <c r="CD81" s="167">
        <v>4000</v>
      </c>
      <c r="CE81" s="167">
        <v>4000</v>
      </c>
      <c r="CF81" s="167">
        <v>4000</v>
      </c>
      <c r="CG81" s="167">
        <v>4000</v>
      </c>
      <c r="CH81" s="167">
        <v>4000</v>
      </c>
      <c r="CI81" s="167">
        <v>4000</v>
      </c>
      <c r="CJ81" s="167">
        <v>4000</v>
      </c>
      <c r="CK81" s="167">
        <v>4000</v>
      </c>
      <c r="CL81" s="167">
        <v>4000</v>
      </c>
      <c r="CM81" s="167">
        <v>4000</v>
      </c>
      <c r="CN81" s="167">
        <v>4000</v>
      </c>
      <c r="CO81" s="167">
        <v>4000</v>
      </c>
      <c r="CP81" s="167">
        <v>4000</v>
      </c>
      <c r="CQ81" s="167">
        <v>4000</v>
      </c>
      <c r="CR81" s="167">
        <v>4000</v>
      </c>
      <c r="CS81" s="167">
        <v>3957.3143811456512</v>
      </c>
      <c r="CT81" s="167">
        <v>3878.6515130749503</v>
      </c>
      <c r="CU81" s="167">
        <v>3819.447968409082</v>
      </c>
      <c r="CV81" s="167">
        <v>3777.6264741791083</v>
      </c>
      <c r="CW81" s="167">
        <v>3751.3625821540327</v>
      </c>
      <c r="CX81" s="167">
        <v>3739.0520026342465</v>
      </c>
      <c r="CY81" s="167">
        <v>3739.2840630860474</v>
      </c>
      <c r="CZ81" s="167">
        <v>3750.8225167015275</v>
      </c>
      <c r="DA81" s="167">
        <v>3772.5772268473629</v>
      </c>
      <c r="DB81" s="167">
        <v>3803.6055447818044</v>
      </c>
      <c r="DC81" s="167">
        <v>3843.0883560098991</v>
      </c>
      <c r="DD81" s="167">
        <v>3890.3221244930055</v>
      </c>
      <c r="DE81" s="167">
        <v>3944.7092625845648</v>
      </c>
      <c r="DF81" s="167">
        <v>4000</v>
      </c>
      <c r="DG81" s="167">
        <v>4000</v>
      </c>
      <c r="DH81" s="167">
        <v>4000</v>
      </c>
      <c r="DI81" s="167">
        <v>4000</v>
      </c>
      <c r="DJ81" s="167">
        <v>4000</v>
      </c>
      <c r="DK81" s="167">
        <v>4000</v>
      </c>
      <c r="DL81" s="167">
        <v>4000</v>
      </c>
      <c r="DM81" s="167">
        <v>4000</v>
      </c>
      <c r="DN81" s="167">
        <v>4000</v>
      </c>
      <c r="DO81" s="167">
        <v>4000</v>
      </c>
      <c r="DP81" s="167">
        <v>4000</v>
      </c>
      <c r="DQ81" s="167">
        <v>4000</v>
      </c>
      <c r="DR81" s="167">
        <v>4000</v>
      </c>
      <c r="DS81" s="167">
        <v>4000</v>
      </c>
      <c r="DT81" s="167">
        <v>4000</v>
      </c>
      <c r="DU81" s="167">
        <v>4000</v>
      </c>
      <c r="DV81" s="167">
        <v>4000</v>
      </c>
      <c r="DW81" s="167">
        <v>4000</v>
      </c>
      <c r="DX81" s="167">
        <v>4000</v>
      </c>
      <c r="DY81" s="167">
        <v>4000</v>
      </c>
      <c r="DZ81" s="167">
        <v>4000</v>
      </c>
      <c r="EA81" s="167">
        <v>4000</v>
      </c>
      <c r="EB81" s="167">
        <v>4000</v>
      </c>
      <c r="EC81" s="167">
        <v>4000</v>
      </c>
      <c r="ED81" s="167">
        <v>4000</v>
      </c>
      <c r="EE81" s="167">
        <v>4000</v>
      </c>
      <c r="EF81" s="167">
        <v>4000</v>
      </c>
      <c r="EG81" s="167">
        <v>4000</v>
      </c>
      <c r="EH81" s="167">
        <v>4000</v>
      </c>
      <c r="EI81" s="167">
        <v>4000</v>
      </c>
      <c r="EJ81" s="167">
        <v>4000</v>
      </c>
      <c r="EK81" s="167">
        <v>4000</v>
      </c>
      <c r="EL81" s="167">
        <v>4000</v>
      </c>
      <c r="EM81" s="167">
        <v>4000</v>
      </c>
      <c r="EN81" s="167">
        <v>4000</v>
      </c>
      <c r="EO81" s="167">
        <v>4000</v>
      </c>
      <c r="EP81" t="str">
        <f t="shared" si="1"/>
        <v>1y 306d</v>
      </c>
    </row>
    <row r="82" spans="2:146" x14ac:dyDescent="0.25">
      <c r="B82" s="9">
        <v>79</v>
      </c>
      <c r="D82">
        <v>7178764.7858294714</v>
      </c>
      <c r="E82" s="12">
        <v>-2527076543.1216593</v>
      </c>
      <c r="F82" s="12">
        <v>13362991399.156195</v>
      </c>
      <c r="G82" s="12">
        <v>0</v>
      </c>
      <c r="H82" s="12">
        <v>13228381.211631428</v>
      </c>
      <c r="I82" s="12">
        <v>-11604688380.697662</v>
      </c>
      <c r="J82" s="12">
        <v>-17346336642.837414</v>
      </c>
      <c r="K82" s="12">
        <v>21473962.306252472</v>
      </c>
      <c r="L82" s="12">
        <v>4130532.1320858682</v>
      </c>
      <c r="M82" s="12">
        <v>-15413650864.047983</v>
      </c>
      <c r="N82" s="12">
        <v>10433734883.015215</v>
      </c>
      <c r="O82" s="12"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S82" s="6">
        <v>15994632.929445498</v>
      </c>
      <c r="AT82" s="167">
        <v>4000</v>
      </c>
      <c r="AU82" s="167">
        <v>4000</v>
      </c>
      <c r="AV82" s="167">
        <v>4000</v>
      </c>
      <c r="AW82" s="167">
        <v>4000</v>
      </c>
      <c r="AX82" s="167">
        <v>4000</v>
      </c>
      <c r="AY82" s="167">
        <v>4000</v>
      </c>
      <c r="AZ82" s="167">
        <v>4000</v>
      </c>
      <c r="BA82" s="167">
        <v>4000</v>
      </c>
      <c r="BB82" s="167">
        <v>4000</v>
      </c>
      <c r="BC82" s="167">
        <v>4000</v>
      </c>
      <c r="BD82" s="167">
        <v>4000</v>
      </c>
      <c r="BE82" s="167">
        <v>4000</v>
      </c>
      <c r="BF82" s="167">
        <v>4000</v>
      </c>
      <c r="BG82" s="167">
        <v>4000</v>
      </c>
      <c r="BH82" s="167">
        <v>4000</v>
      </c>
      <c r="BI82" s="167">
        <v>4000</v>
      </c>
      <c r="BJ82" s="167">
        <v>4000</v>
      </c>
      <c r="BK82" s="167">
        <v>4000</v>
      </c>
      <c r="BL82" s="167">
        <v>4000</v>
      </c>
      <c r="BM82" s="167">
        <v>4000</v>
      </c>
      <c r="BN82" s="167">
        <v>4000</v>
      </c>
      <c r="BO82" s="167">
        <v>4000</v>
      </c>
      <c r="BP82" s="167">
        <v>4000</v>
      </c>
      <c r="BQ82" s="167">
        <v>4000</v>
      </c>
      <c r="BR82" s="167">
        <v>4000</v>
      </c>
      <c r="BS82" s="167">
        <v>4000</v>
      </c>
      <c r="BT82" s="167">
        <v>4000</v>
      </c>
      <c r="BU82" s="167">
        <v>4000</v>
      </c>
      <c r="BV82" s="167">
        <v>4000</v>
      </c>
      <c r="BW82" s="167">
        <v>4000</v>
      </c>
      <c r="BX82" s="167">
        <v>4000</v>
      </c>
      <c r="BY82" s="167">
        <v>4000</v>
      </c>
      <c r="BZ82" s="167">
        <v>4000</v>
      </c>
      <c r="CA82" s="167">
        <v>4000</v>
      </c>
      <c r="CB82" s="167">
        <v>4000</v>
      </c>
      <c r="CC82" s="167">
        <v>4000</v>
      </c>
      <c r="CD82" s="167">
        <v>4000</v>
      </c>
      <c r="CE82" s="167">
        <v>4000</v>
      </c>
      <c r="CF82" s="167">
        <v>4000</v>
      </c>
      <c r="CG82" s="167">
        <v>4000</v>
      </c>
      <c r="CH82" s="167">
        <v>4000</v>
      </c>
      <c r="CI82" s="167">
        <v>4000</v>
      </c>
      <c r="CJ82" s="167">
        <v>4000</v>
      </c>
      <c r="CK82" s="167">
        <v>4000</v>
      </c>
      <c r="CL82" s="167">
        <v>4000</v>
      </c>
      <c r="CM82" s="167">
        <v>4000</v>
      </c>
      <c r="CN82" s="167">
        <v>4000</v>
      </c>
      <c r="CO82" s="167">
        <v>4000</v>
      </c>
      <c r="CP82" s="167">
        <v>4000</v>
      </c>
      <c r="CQ82" s="167">
        <v>4000</v>
      </c>
      <c r="CR82" s="167">
        <v>4000</v>
      </c>
      <c r="CS82" s="167">
        <v>4000</v>
      </c>
      <c r="CT82" s="167">
        <v>4000</v>
      </c>
      <c r="CU82" s="167">
        <v>3984.0553651633254</v>
      </c>
      <c r="CV82" s="167">
        <v>3922.4610340752447</v>
      </c>
      <c r="CW82" s="167">
        <v>3877.7520780593482</v>
      </c>
      <c r="CX82" s="167">
        <v>3848.1190316300717</v>
      </c>
      <c r="CY82" s="167">
        <v>3831.9834813675634</v>
      </c>
      <c r="CZ82" s="167">
        <v>3827.9701753577892</v>
      </c>
      <c r="DA82" s="167">
        <v>3834.8863525684492</v>
      </c>
      <c r="DB82" s="167">
        <v>3851.6925501719097</v>
      </c>
      <c r="DC82" s="167">
        <v>3877.5018407336433</v>
      </c>
      <c r="DD82" s="167">
        <v>3911.5550583713543</v>
      </c>
      <c r="DE82" s="167">
        <v>3953.211370351492</v>
      </c>
      <c r="DF82" s="167">
        <v>4000</v>
      </c>
      <c r="DG82" s="167">
        <v>4000</v>
      </c>
      <c r="DH82" s="167">
        <v>4000</v>
      </c>
      <c r="DI82" s="167">
        <v>4000</v>
      </c>
      <c r="DJ82" s="167">
        <v>4000</v>
      </c>
      <c r="DK82" s="167">
        <v>4000</v>
      </c>
      <c r="DL82" s="167">
        <v>4000</v>
      </c>
      <c r="DM82" s="167">
        <v>4000</v>
      </c>
      <c r="DN82" s="167">
        <v>4000</v>
      </c>
      <c r="DO82" s="167">
        <v>4000</v>
      </c>
      <c r="DP82" s="167">
        <v>4000</v>
      </c>
      <c r="DQ82" s="167">
        <v>4000</v>
      </c>
      <c r="DR82" s="167">
        <v>4000</v>
      </c>
      <c r="DS82" s="167">
        <v>4000</v>
      </c>
      <c r="DT82" s="167">
        <v>4000</v>
      </c>
      <c r="DU82" s="167">
        <v>4000</v>
      </c>
      <c r="DV82" s="167">
        <v>4000</v>
      </c>
      <c r="DW82" s="167">
        <v>4000</v>
      </c>
      <c r="DX82" s="167">
        <v>4000</v>
      </c>
      <c r="DY82" s="167">
        <v>4000</v>
      </c>
      <c r="DZ82" s="167">
        <v>4000</v>
      </c>
      <c r="EA82" s="167">
        <v>4000</v>
      </c>
      <c r="EB82" s="167">
        <v>4000</v>
      </c>
      <c r="EC82" s="167">
        <v>4000</v>
      </c>
      <c r="ED82" s="167">
        <v>4000</v>
      </c>
      <c r="EE82" s="167">
        <v>4000</v>
      </c>
      <c r="EF82" s="167">
        <v>4000</v>
      </c>
      <c r="EG82" s="167">
        <v>4000</v>
      </c>
      <c r="EH82" s="167">
        <v>4000</v>
      </c>
      <c r="EI82" s="167">
        <v>4000</v>
      </c>
      <c r="EJ82" s="167">
        <v>4000</v>
      </c>
      <c r="EK82" s="167">
        <v>4000</v>
      </c>
      <c r="EL82" s="167">
        <v>4000</v>
      </c>
      <c r="EM82" s="167">
        <v>4000</v>
      </c>
      <c r="EN82" s="167">
        <v>4000</v>
      </c>
      <c r="EO82" s="167">
        <v>4000</v>
      </c>
      <c r="EP82" t="str">
        <f t="shared" si="1"/>
        <v>1y 314d</v>
      </c>
    </row>
    <row r="83" spans="2:146" x14ac:dyDescent="0.25">
      <c r="B83" s="9">
        <v>80</v>
      </c>
      <c r="D83">
        <v>7270800.231801644</v>
      </c>
      <c r="E83" s="12">
        <v>-3361159107.2382946</v>
      </c>
      <c r="F83" s="12">
        <v>13177946139.082039</v>
      </c>
      <c r="G83" s="12">
        <v>0</v>
      </c>
      <c r="H83" s="12">
        <v>13404737.08454839</v>
      </c>
      <c r="I83" s="12">
        <v>-10525840608.681004</v>
      </c>
      <c r="J83" s="12">
        <v>-18097920212.88118</v>
      </c>
      <c r="K83" s="12">
        <v>21243466.627589408</v>
      </c>
      <c r="L83" s="12">
        <v>4207915.1226437837</v>
      </c>
      <c r="M83" s="12">
        <v>-15804002463.253075</v>
      </c>
      <c r="N83" s="12">
        <v>10006099308.881859</v>
      </c>
      <c r="O83" s="12"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S83" s="6">
        <v>16173501.690869549</v>
      </c>
      <c r="AT83" s="167">
        <v>4000</v>
      </c>
      <c r="AU83" s="167">
        <v>4000</v>
      </c>
      <c r="AV83" s="167">
        <v>4000</v>
      </c>
      <c r="AW83" s="167">
        <v>4000</v>
      </c>
      <c r="AX83" s="167">
        <v>4000</v>
      </c>
      <c r="AY83" s="167">
        <v>4000</v>
      </c>
      <c r="AZ83" s="167">
        <v>4000</v>
      </c>
      <c r="BA83" s="167">
        <v>4000</v>
      </c>
      <c r="BB83" s="167">
        <v>4000</v>
      </c>
      <c r="BC83" s="167">
        <v>4000</v>
      </c>
      <c r="BD83" s="167">
        <v>4000</v>
      </c>
      <c r="BE83" s="167">
        <v>4000</v>
      </c>
      <c r="BF83" s="167">
        <v>4000</v>
      </c>
      <c r="BG83" s="167">
        <v>4000</v>
      </c>
      <c r="BH83" s="167">
        <v>4000</v>
      </c>
      <c r="BI83" s="167">
        <v>4000</v>
      </c>
      <c r="BJ83" s="167">
        <v>4000</v>
      </c>
      <c r="BK83" s="167">
        <v>4000</v>
      </c>
      <c r="BL83" s="167">
        <v>4000</v>
      </c>
      <c r="BM83" s="167">
        <v>4000</v>
      </c>
      <c r="BN83" s="167">
        <v>4000</v>
      </c>
      <c r="BO83" s="167">
        <v>4000</v>
      </c>
      <c r="BP83" s="167">
        <v>4000</v>
      </c>
      <c r="BQ83" s="167">
        <v>4000</v>
      </c>
      <c r="BR83" s="167">
        <v>4000</v>
      </c>
      <c r="BS83" s="167">
        <v>4000</v>
      </c>
      <c r="BT83" s="167">
        <v>4000</v>
      </c>
      <c r="BU83" s="167">
        <v>4000</v>
      </c>
      <c r="BV83" s="167">
        <v>4000</v>
      </c>
      <c r="BW83" s="167">
        <v>4000</v>
      </c>
      <c r="BX83" s="167">
        <v>4000</v>
      </c>
      <c r="BY83" s="167">
        <v>4000</v>
      </c>
      <c r="BZ83" s="167">
        <v>4000</v>
      </c>
      <c r="CA83" s="167">
        <v>4000</v>
      </c>
      <c r="CB83" s="167">
        <v>4000</v>
      </c>
      <c r="CC83" s="167">
        <v>4000</v>
      </c>
      <c r="CD83" s="167">
        <v>4000</v>
      </c>
      <c r="CE83" s="167">
        <v>4000</v>
      </c>
      <c r="CF83" s="167">
        <v>4000</v>
      </c>
      <c r="CG83" s="167">
        <v>4000</v>
      </c>
      <c r="CH83" s="167">
        <v>4000</v>
      </c>
      <c r="CI83" s="167">
        <v>4000</v>
      </c>
      <c r="CJ83" s="167">
        <v>4000</v>
      </c>
      <c r="CK83" s="167">
        <v>4000</v>
      </c>
      <c r="CL83" s="167">
        <v>4000</v>
      </c>
      <c r="CM83" s="167">
        <v>4000</v>
      </c>
      <c r="CN83" s="167">
        <v>4000</v>
      </c>
      <c r="CO83" s="167">
        <v>4000</v>
      </c>
      <c r="CP83" s="167">
        <v>4000</v>
      </c>
      <c r="CQ83" s="167">
        <v>4000</v>
      </c>
      <c r="CR83" s="167">
        <v>4000</v>
      </c>
      <c r="CS83" s="167">
        <v>4000</v>
      </c>
      <c r="CT83" s="167">
        <v>4000</v>
      </c>
      <c r="CU83" s="167">
        <v>4000</v>
      </c>
      <c r="CV83" s="167">
        <v>4000</v>
      </c>
      <c r="CW83" s="167">
        <v>4000</v>
      </c>
      <c r="CX83" s="167">
        <v>3981.3874674459885</v>
      </c>
      <c r="CY83" s="167">
        <v>3947.0178110346978</v>
      </c>
      <c r="CZ83" s="167">
        <v>3925.7940081543602</v>
      </c>
      <c r="DA83" s="167">
        <v>3916.3819917898018</v>
      </c>
      <c r="DB83" s="167">
        <v>3917.6374831279554</v>
      </c>
      <c r="DC83" s="167">
        <v>3928.5756198257336</v>
      </c>
      <c r="DD83" s="167">
        <v>3948.3679955379012</v>
      </c>
      <c r="DE83" s="167">
        <v>3976.3168728308528</v>
      </c>
      <c r="DF83" s="167">
        <v>4000</v>
      </c>
      <c r="DG83" s="167">
        <v>4000</v>
      </c>
      <c r="DH83" s="167">
        <v>4000</v>
      </c>
      <c r="DI83" s="167">
        <v>4000</v>
      </c>
      <c r="DJ83" s="167">
        <v>4000</v>
      </c>
      <c r="DK83" s="167">
        <v>4000</v>
      </c>
      <c r="DL83" s="167">
        <v>4000</v>
      </c>
      <c r="DM83" s="167">
        <v>4000</v>
      </c>
      <c r="DN83" s="167">
        <v>4000</v>
      </c>
      <c r="DO83" s="167">
        <v>4000</v>
      </c>
      <c r="DP83" s="167">
        <v>4000</v>
      </c>
      <c r="DQ83" s="167">
        <v>4000</v>
      </c>
      <c r="DR83" s="167">
        <v>4000</v>
      </c>
      <c r="DS83" s="167">
        <v>4000</v>
      </c>
      <c r="DT83" s="167">
        <v>4000</v>
      </c>
      <c r="DU83" s="167">
        <v>4000</v>
      </c>
      <c r="DV83" s="167">
        <v>4000</v>
      </c>
      <c r="DW83" s="167">
        <v>4000</v>
      </c>
      <c r="DX83" s="167">
        <v>4000</v>
      </c>
      <c r="DY83" s="167">
        <v>4000</v>
      </c>
      <c r="DZ83" s="167">
        <v>4000</v>
      </c>
      <c r="EA83" s="167">
        <v>4000</v>
      </c>
      <c r="EB83" s="167">
        <v>4000</v>
      </c>
      <c r="EC83" s="167">
        <v>4000</v>
      </c>
      <c r="ED83" s="167">
        <v>4000</v>
      </c>
      <c r="EE83" s="167">
        <v>4000</v>
      </c>
      <c r="EF83" s="167">
        <v>4000</v>
      </c>
      <c r="EG83" s="167">
        <v>4000</v>
      </c>
      <c r="EH83" s="167">
        <v>4000</v>
      </c>
      <c r="EI83" s="167">
        <v>4000</v>
      </c>
      <c r="EJ83" s="167">
        <v>4000</v>
      </c>
      <c r="EK83" s="167">
        <v>4000</v>
      </c>
      <c r="EL83" s="167">
        <v>4000</v>
      </c>
      <c r="EM83" s="167">
        <v>4000</v>
      </c>
      <c r="EN83" s="167">
        <v>4000</v>
      </c>
      <c r="EO83" s="167">
        <v>4000</v>
      </c>
      <c r="EP83" t="str">
        <f t="shared" si="1"/>
        <v>1y 323d</v>
      </c>
    </row>
    <row r="84" spans="2:146" x14ac:dyDescent="0.25">
      <c r="B84" s="9">
        <v>81</v>
      </c>
      <c r="D84">
        <v>7362835.6777738165</v>
      </c>
      <c r="E84" s="12">
        <v>-4181976711.9261909</v>
      </c>
      <c r="F84" s="12">
        <v>12940893546.027845</v>
      </c>
      <c r="G84" s="12">
        <v>0</v>
      </c>
      <c r="H84" s="12">
        <v>13582205.187127789</v>
      </c>
      <c r="I84" s="12">
        <v>-9397988257.4928093</v>
      </c>
      <c r="J84" s="12">
        <v>-18781679503.84087</v>
      </c>
      <c r="K84" s="12">
        <v>20926343.111417316</v>
      </c>
      <c r="L84" s="12">
        <v>4286058.241379207</v>
      </c>
      <c r="M84" s="12">
        <v>-16180987122.55271</v>
      </c>
      <c r="N84" s="12">
        <v>9563372894.4030056</v>
      </c>
      <c r="O84" s="12"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S84" s="6">
        <v>16352370.452293601</v>
      </c>
      <c r="AT84" s="167">
        <v>4000</v>
      </c>
      <c r="AU84" s="167">
        <v>4000</v>
      </c>
      <c r="AV84" s="167">
        <v>4000</v>
      </c>
      <c r="AW84" s="167">
        <v>4000</v>
      </c>
      <c r="AX84" s="167">
        <v>4000</v>
      </c>
      <c r="AY84" s="167">
        <v>4000</v>
      </c>
      <c r="AZ84" s="167">
        <v>4000</v>
      </c>
      <c r="BA84" s="167">
        <v>4000</v>
      </c>
      <c r="BB84" s="167">
        <v>4000</v>
      </c>
      <c r="BC84" s="167">
        <v>4000</v>
      </c>
      <c r="BD84" s="167">
        <v>4000</v>
      </c>
      <c r="BE84" s="167">
        <v>4000</v>
      </c>
      <c r="BF84" s="167">
        <v>4000</v>
      </c>
      <c r="BG84" s="167">
        <v>4000</v>
      </c>
      <c r="BH84" s="167">
        <v>4000</v>
      </c>
      <c r="BI84" s="167">
        <v>4000</v>
      </c>
      <c r="BJ84" s="167">
        <v>4000</v>
      </c>
      <c r="BK84" s="167">
        <v>4000</v>
      </c>
      <c r="BL84" s="167">
        <v>4000</v>
      </c>
      <c r="BM84" s="167">
        <v>4000</v>
      </c>
      <c r="BN84" s="167">
        <v>4000</v>
      </c>
      <c r="BO84" s="167">
        <v>4000</v>
      </c>
      <c r="BP84" s="167">
        <v>4000</v>
      </c>
      <c r="BQ84" s="167">
        <v>4000</v>
      </c>
      <c r="BR84" s="167">
        <v>4000</v>
      </c>
      <c r="BS84" s="167">
        <v>4000</v>
      </c>
      <c r="BT84" s="167">
        <v>4000</v>
      </c>
      <c r="BU84" s="167">
        <v>4000</v>
      </c>
      <c r="BV84" s="167">
        <v>4000</v>
      </c>
      <c r="BW84" s="167">
        <v>4000</v>
      </c>
      <c r="BX84" s="167">
        <v>4000</v>
      </c>
      <c r="BY84" s="167">
        <v>4000</v>
      </c>
      <c r="BZ84" s="167">
        <v>4000</v>
      </c>
      <c r="CA84" s="167">
        <v>4000</v>
      </c>
      <c r="CB84" s="167">
        <v>4000</v>
      </c>
      <c r="CC84" s="167">
        <v>4000</v>
      </c>
      <c r="CD84" s="167">
        <v>4000</v>
      </c>
      <c r="CE84" s="167">
        <v>4000</v>
      </c>
      <c r="CF84" s="167">
        <v>4000</v>
      </c>
      <c r="CG84" s="167">
        <v>4000</v>
      </c>
      <c r="CH84" s="167">
        <v>4000</v>
      </c>
      <c r="CI84" s="167">
        <v>4000</v>
      </c>
      <c r="CJ84" s="167">
        <v>4000</v>
      </c>
      <c r="CK84" s="167">
        <v>4000</v>
      </c>
      <c r="CL84" s="167">
        <v>4000</v>
      </c>
      <c r="CM84" s="167">
        <v>4000</v>
      </c>
      <c r="CN84" s="167">
        <v>4000</v>
      </c>
      <c r="CO84" s="167">
        <v>4000</v>
      </c>
      <c r="CP84" s="167">
        <v>4000</v>
      </c>
      <c r="CQ84" s="167">
        <v>4000</v>
      </c>
      <c r="CR84" s="167">
        <v>4000</v>
      </c>
      <c r="CS84" s="167">
        <v>4000</v>
      </c>
      <c r="CT84" s="167">
        <v>4000</v>
      </c>
      <c r="CU84" s="167">
        <v>4000</v>
      </c>
      <c r="CV84" s="167">
        <v>4000</v>
      </c>
      <c r="CW84" s="167">
        <v>4000</v>
      </c>
      <c r="CX84" s="167">
        <v>4000</v>
      </c>
      <c r="CY84" s="167">
        <v>4000</v>
      </c>
      <c r="CZ84" s="167">
        <v>4000</v>
      </c>
      <c r="DA84" s="167">
        <v>4000</v>
      </c>
      <c r="DB84" s="167">
        <v>4000</v>
      </c>
      <c r="DC84" s="167">
        <v>3998.1861816749119</v>
      </c>
      <c r="DD84" s="167">
        <v>4000</v>
      </c>
      <c r="DE84" s="167">
        <v>4000</v>
      </c>
      <c r="DF84" s="167">
        <v>4000</v>
      </c>
      <c r="DG84" s="167">
        <v>4000</v>
      </c>
      <c r="DH84" s="167">
        <v>4000</v>
      </c>
      <c r="DI84" s="167">
        <v>4000</v>
      </c>
      <c r="DJ84" s="167">
        <v>4000</v>
      </c>
      <c r="DK84" s="167">
        <v>4000</v>
      </c>
      <c r="DL84" s="167">
        <v>4000</v>
      </c>
      <c r="DM84" s="167">
        <v>4000</v>
      </c>
      <c r="DN84" s="167">
        <v>4000</v>
      </c>
      <c r="DO84" s="167">
        <v>4000</v>
      </c>
      <c r="DP84" s="167">
        <v>4000</v>
      </c>
      <c r="DQ84" s="167">
        <v>4000</v>
      </c>
      <c r="DR84" s="167">
        <v>4000</v>
      </c>
      <c r="DS84" s="167">
        <v>4000</v>
      </c>
      <c r="DT84" s="167">
        <v>4000</v>
      </c>
      <c r="DU84" s="167">
        <v>4000</v>
      </c>
      <c r="DV84" s="167">
        <v>4000</v>
      </c>
      <c r="DW84" s="167">
        <v>4000</v>
      </c>
      <c r="DX84" s="167">
        <v>4000</v>
      </c>
      <c r="DY84" s="167">
        <v>4000</v>
      </c>
      <c r="DZ84" s="167">
        <v>4000</v>
      </c>
      <c r="EA84" s="167">
        <v>4000</v>
      </c>
      <c r="EB84" s="167">
        <v>4000</v>
      </c>
      <c r="EC84" s="167">
        <v>4000</v>
      </c>
      <c r="ED84" s="167">
        <v>4000</v>
      </c>
      <c r="EE84" s="167">
        <v>4000</v>
      </c>
      <c r="EF84" s="167">
        <v>4000</v>
      </c>
      <c r="EG84" s="167">
        <v>4000</v>
      </c>
      <c r="EH84" s="167">
        <v>4000</v>
      </c>
      <c r="EI84" s="167">
        <v>4000</v>
      </c>
      <c r="EJ84" s="167">
        <v>4000</v>
      </c>
      <c r="EK84" s="167">
        <v>4000</v>
      </c>
      <c r="EL84" s="167">
        <v>4000</v>
      </c>
      <c r="EM84" s="167">
        <v>4000</v>
      </c>
      <c r="EN84" s="167">
        <v>4000</v>
      </c>
      <c r="EO84" s="167">
        <v>4000</v>
      </c>
      <c r="EP84" t="str">
        <f t="shared" si="1"/>
        <v>1y 331d</v>
      </c>
    </row>
    <row r="85" spans="2:146" x14ac:dyDescent="0.25">
      <c r="B85" s="9">
        <v>82</v>
      </c>
      <c r="D85">
        <v>7454871.1237459891</v>
      </c>
      <c r="E85" s="12">
        <v>-4986289965.0955391</v>
      </c>
      <c r="F85" s="12">
        <v>12652769158.279371</v>
      </c>
      <c r="G85" s="12">
        <v>0</v>
      </c>
      <c r="H85" s="12">
        <v>13760775.768117892</v>
      </c>
      <c r="I85" s="12">
        <v>-8225335149.7002907</v>
      </c>
      <c r="J85" s="12">
        <v>-19394149379.825981</v>
      </c>
      <c r="K85" s="12">
        <v>20523089.164662372</v>
      </c>
      <c r="L85" s="12">
        <v>4364949.3771059262</v>
      </c>
      <c r="M85" s="12">
        <v>-16543885844.251961</v>
      </c>
      <c r="N85" s="12">
        <v>9105951160.0441875</v>
      </c>
      <c r="O85" s="12"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S85" s="6">
        <v>16531239.213717652</v>
      </c>
      <c r="AT85" s="167">
        <v>4000</v>
      </c>
      <c r="AU85" s="167">
        <v>4000</v>
      </c>
      <c r="AV85" s="167">
        <v>4000</v>
      </c>
      <c r="AW85" s="167">
        <v>4000</v>
      </c>
      <c r="AX85" s="167">
        <v>4000</v>
      </c>
      <c r="AY85" s="167">
        <v>4000</v>
      </c>
      <c r="AZ85" s="167">
        <v>4000</v>
      </c>
      <c r="BA85" s="167">
        <v>4000</v>
      </c>
      <c r="BB85" s="167">
        <v>4000</v>
      </c>
      <c r="BC85" s="167">
        <v>4000</v>
      </c>
      <c r="BD85" s="167">
        <v>4000</v>
      </c>
      <c r="BE85" s="167">
        <v>4000</v>
      </c>
      <c r="BF85" s="167">
        <v>4000</v>
      </c>
      <c r="BG85" s="167">
        <v>4000</v>
      </c>
      <c r="BH85" s="167">
        <v>4000</v>
      </c>
      <c r="BI85" s="167">
        <v>4000</v>
      </c>
      <c r="BJ85" s="167">
        <v>4000</v>
      </c>
      <c r="BK85" s="167">
        <v>4000</v>
      </c>
      <c r="BL85" s="167">
        <v>4000</v>
      </c>
      <c r="BM85" s="167">
        <v>4000</v>
      </c>
      <c r="BN85" s="167">
        <v>4000</v>
      </c>
      <c r="BO85" s="167">
        <v>4000</v>
      </c>
      <c r="BP85" s="167">
        <v>4000</v>
      </c>
      <c r="BQ85" s="167">
        <v>4000</v>
      </c>
      <c r="BR85" s="167">
        <v>4000</v>
      </c>
      <c r="BS85" s="167">
        <v>4000</v>
      </c>
      <c r="BT85" s="167">
        <v>4000</v>
      </c>
      <c r="BU85" s="167">
        <v>4000</v>
      </c>
      <c r="BV85" s="167">
        <v>4000</v>
      </c>
      <c r="BW85" s="167">
        <v>4000</v>
      </c>
      <c r="BX85" s="167">
        <v>4000</v>
      </c>
      <c r="BY85" s="167">
        <v>4000</v>
      </c>
      <c r="BZ85" s="167">
        <v>4000</v>
      </c>
      <c r="CA85" s="167">
        <v>4000</v>
      </c>
      <c r="CB85" s="167">
        <v>4000</v>
      </c>
      <c r="CC85" s="167">
        <v>4000</v>
      </c>
      <c r="CD85" s="167">
        <v>4000</v>
      </c>
      <c r="CE85" s="167">
        <v>4000</v>
      </c>
      <c r="CF85" s="167">
        <v>4000</v>
      </c>
      <c r="CG85" s="167">
        <v>4000</v>
      </c>
      <c r="CH85" s="167">
        <v>4000</v>
      </c>
      <c r="CI85" s="167">
        <v>4000</v>
      </c>
      <c r="CJ85" s="167">
        <v>4000</v>
      </c>
      <c r="CK85" s="167">
        <v>4000</v>
      </c>
      <c r="CL85" s="167">
        <v>4000</v>
      </c>
      <c r="CM85" s="167">
        <v>4000</v>
      </c>
      <c r="CN85" s="167">
        <v>4000</v>
      </c>
      <c r="CO85" s="167">
        <v>4000</v>
      </c>
      <c r="CP85" s="167">
        <v>4000</v>
      </c>
      <c r="CQ85" s="167">
        <v>4000</v>
      </c>
      <c r="CR85" s="167">
        <v>4000</v>
      </c>
      <c r="CS85" s="167">
        <v>4000</v>
      </c>
      <c r="CT85" s="167">
        <v>4000</v>
      </c>
      <c r="CU85" s="167">
        <v>4000</v>
      </c>
      <c r="CV85" s="167">
        <v>4000</v>
      </c>
      <c r="CW85" s="167">
        <v>4000</v>
      </c>
      <c r="CX85" s="167">
        <v>4000</v>
      </c>
      <c r="CY85" s="167">
        <v>4000</v>
      </c>
      <c r="CZ85" s="167">
        <v>4000</v>
      </c>
      <c r="DA85" s="167">
        <v>4000</v>
      </c>
      <c r="DB85" s="167">
        <v>4000</v>
      </c>
      <c r="DC85" s="167">
        <v>4000</v>
      </c>
      <c r="DD85" s="167">
        <v>4000</v>
      </c>
      <c r="DE85" s="167">
        <v>4000</v>
      </c>
      <c r="DF85" s="167">
        <v>4000</v>
      </c>
      <c r="DG85" s="167">
        <v>4000</v>
      </c>
      <c r="DH85" s="167">
        <v>4000</v>
      </c>
      <c r="DI85" s="167">
        <v>4000</v>
      </c>
      <c r="DJ85" s="167">
        <v>4000</v>
      </c>
      <c r="DK85" s="167">
        <v>4000</v>
      </c>
      <c r="DL85" s="167">
        <v>4000</v>
      </c>
      <c r="DM85" s="167">
        <v>4000</v>
      </c>
      <c r="DN85" s="167">
        <v>4000</v>
      </c>
      <c r="DO85" s="167">
        <v>4000</v>
      </c>
      <c r="DP85" s="167">
        <v>4000</v>
      </c>
      <c r="DQ85" s="167">
        <v>4000</v>
      </c>
      <c r="DR85" s="167">
        <v>4000</v>
      </c>
      <c r="DS85" s="167">
        <v>4000</v>
      </c>
      <c r="DT85" s="167">
        <v>4000</v>
      </c>
      <c r="DU85" s="167">
        <v>4000</v>
      </c>
      <c r="DV85" s="167">
        <v>4000</v>
      </c>
      <c r="DW85" s="167">
        <v>4000</v>
      </c>
      <c r="DX85" s="167">
        <v>4000</v>
      </c>
      <c r="DY85" s="167">
        <v>4000</v>
      </c>
      <c r="DZ85" s="167">
        <v>4000</v>
      </c>
      <c r="EA85" s="167">
        <v>4000</v>
      </c>
      <c r="EB85" s="167">
        <v>4000</v>
      </c>
      <c r="EC85" s="167">
        <v>4000</v>
      </c>
      <c r="ED85" s="167">
        <v>4000</v>
      </c>
      <c r="EE85" s="167">
        <v>4000</v>
      </c>
      <c r="EF85" s="167">
        <v>4000</v>
      </c>
      <c r="EG85" s="167">
        <v>4000</v>
      </c>
      <c r="EH85" s="167">
        <v>4000</v>
      </c>
      <c r="EI85" s="167">
        <v>4000</v>
      </c>
      <c r="EJ85" s="167">
        <v>4000</v>
      </c>
      <c r="EK85" s="167">
        <v>4000</v>
      </c>
      <c r="EL85" s="167">
        <v>4000</v>
      </c>
      <c r="EM85" s="167">
        <v>4000</v>
      </c>
      <c r="EN85" s="167">
        <v>4000</v>
      </c>
      <c r="EO85" s="167">
        <v>4000</v>
      </c>
      <c r="EP85" t="str">
        <f t="shared" si="1"/>
        <v>1y 339d</v>
      </c>
    </row>
    <row r="86" spans="2:146" x14ac:dyDescent="0.25">
      <c r="B86" s="9">
        <v>83</v>
      </c>
      <c r="D86">
        <v>7546906.5697181616</v>
      </c>
      <c r="E86" s="12">
        <v>-5770924609.791852</v>
      </c>
      <c r="F86" s="12">
        <v>12314710071.163548</v>
      </c>
      <c r="G86" s="12">
        <v>0</v>
      </c>
      <c r="H86" s="12">
        <v>13940434.228772996</v>
      </c>
      <c r="I86" s="12">
        <v>-7012360531.7027569</v>
      </c>
      <c r="J86" s="12">
        <v>-19932115795.755142</v>
      </c>
      <c r="K86" s="12">
        <v>20034591.89613153</v>
      </c>
      <c r="L86" s="12">
        <v>4444574.9112680089</v>
      </c>
      <c r="M86" s="12">
        <v>-16891988603.502747</v>
      </c>
      <c r="N86" s="12">
        <v>8634268551.6888123</v>
      </c>
      <c r="O86" s="12"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S86" s="6">
        <v>16710107.975141704</v>
      </c>
      <c r="AT86" s="167">
        <v>4000</v>
      </c>
      <c r="AU86" s="167">
        <v>4000</v>
      </c>
      <c r="AV86" s="167">
        <v>4000</v>
      </c>
      <c r="AW86" s="167">
        <v>4000</v>
      </c>
      <c r="AX86" s="167">
        <v>4000</v>
      </c>
      <c r="AY86" s="167">
        <v>4000</v>
      </c>
      <c r="AZ86" s="167">
        <v>4000</v>
      </c>
      <c r="BA86" s="167">
        <v>4000</v>
      </c>
      <c r="BB86" s="167">
        <v>4000</v>
      </c>
      <c r="BC86" s="167">
        <v>4000</v>
      </c>
      <c r="BD86" s="167">
        <v>4000</v>
      </c>
      <c r="BE86" s="167">
        <v>4000</v>
      </c>
      <c r="BF86" s="167">
        <v>4000</v>
      </c>
      <c r="BG86" s="167">
        <v>4000</v>
      </c>
      <c r="BH86" s="167">
        <v>4000</v>
      </c>
      <c r="BI86" s="167">
        <v>4000</v>
      </c>
      <c r="BJ86" s="167">
        <v>4000</v>
      </c>
      <c r="BK86" s="167">
        <v>4000</v>
      </c>
      <c r="BL86" s="167">
        <v>4000</v>
      </c>
      <c r="BM86" s="167">
        <v>4000</v>
      </c>
      <c r="BN86" s="167">
        <v>4000</v>
      </c>
      <c r="BO86" s="167">
        <v>4000</v>
      </c>
      <c r="BP86" s="167">
        <v>4000</v>
      </c>
      <c r="BQ86" s="167">
        <v>4000</v>
      </c>
      <c r="BR86" s="167">
        <v>4000</v>
      </c>
      <c r="BS86" s="167">
        <v>4000</v>
      </c>
      <c r="BT86" s="167">
        <v>4000</v>
      </c>
      <c r="BU86" s="167">
        <v>4000</v>
      </c>
      <c r="BV86" s="167">
        <v>4000</v>
      </c>
      <c r="BW86" s="167">
        <v>4000</v>
      </c>
      <c r="BX86" s="167">
        <v>4000</v>
      </c>
      <c r="BY86" s="167">
        <v>4000</v>
      </c>
      <c r="BZ86" s="167">
        <v>4000</v>
      </c>
      <c r="CA86" s="167">
        <v>4000</v>
      </c>
      <c r="CB86" s="167">
        <v>4000</v>
      </c>
      <c r="CC86" s="167">
        <v>4000</v>
      </c>
      <c r="CD86" s="167">
        <v>4000</v>
      </c>
      <c r="CE86" s="167">
        <v>4000</v>
      </c>
      <c r="CF86" s="167">
        <v>4000</v>
      </c>
      <c r="CG86" s="167">
        <v>4000</v>
      </c>
      <c r="CH86" s="167">
        <v>4000</v>
      </c>
      <c r="CI86" s="167">
        <v>4000</v>
      </c>
      <c r="CJ86" s="167">
        <v>4000</v>
      </c>
      <c r="CK86" s="167">
        <v>4000</v>
      </c>
      <c r="CL86" s="167">
        <v>4000</v>
      </c>
      <c r="CM86" s="167">
        <v>4000</v>
      </c>
      <c r="CN86" s="167">
        <v>4000</v>
      </c>
      <c r="CO86" s="167">
        <v>4000</v>
      </c>
      <c r="CP86" s="167">
        <v>4000</v>
      </c>
      <c r="CQ86" s="167">
        <v>4000</v>
      </c>
      <c r="CR86" s="167">
        <v>4000</v>
      </c>
      <c r="CS86" s="167">
        <v>4000</v>
      </c>
      <c r="CT86" s="167">
        <v>4000</v>
      </c>
      <c r="CU86" s="167">
        <v>4000</v>
      </c>
      <c r="CV86" s="167">
        <v>4000</v>
      </c>
      <c r="CW86" s="167">
        <v>4000</v>
      </c>
      <c r="CX86" s="167">
        <v>4000</v>
      </c>
      <c r="CY86" s="167">
        <v>4000</v>
      </c>
      <c r="CZ86" s="167">
        <v>4000</v>
      </c>
      <c r="DA86" s="167">
        <v>4000</v>
      </c>
      <c r="DB86" s="167">
        <v>4000</v>
      </c>
      <c r="DC86" s="167">
        <v>4000</v>
      </c>
      <c r="DD86" s="167">
        <v>4000</v>
      </c>
      <c r="DE86" s="167">
        <v>4000</v>
      </c>
      <c r="DF86" s="167">
        <v>4000</v>
      </c>
      <c r="DG86" s="167">
        <v>4000</v>
      </c>
      <c r="DH86" s="167">
        <v>4000</v>
      </c>
      <c r="DI86" s="167">
        <v>4000</v>
      </c>
      <c r="DJ86" s="167">
        <v>4000</v>
      </c>
      <c r="DK86" s="167">
        <v>4000</v>
      </c>
      <c r="DL86" s="167">
        <v>4000</v>
      </c>
      <c r="DM86" s="167">
        <v>4000</v>
      </c>
      <c r="DN86" s="167">
        <v>4000</v>
      </c>
      <c r="DO86" s="167">
        <v>4000</v>
      </c>
      <c r="DP86" s="167">
        <v>4000</v>
      </c>
      <c r="DQ86" s="167">
        <v>4000</v>
      </c>
      <c r="DR86" s="167">
        <v>4000</v>
      </c>
      <c r="DS86" s="167">
        <v>4000</v>
      </c>
      <c r="DT86" s="167">
        <v>4000</v>
      </c>
      <c r="DU86" s="167">
        <v>4000</v>
      </c>
      <c r="DV86" s="167">
        <v>4000</v>
      </c>
      <c r="DW86" s="167">
        <v>4000</v>
      </c>
      <c r="DX86" s="167">
        <v>4000</v>
      </c>
      <c r="DY86" s="167">
        <v>4000</v>
      </c>
      <c r="DZ86" s="167">
        <v>4000</v>
      </c>
      <c r="EA86" s="167">
        <v>4000</v>
      </c>
      <c r="EB86" s="167">
        <v>4000</v>
      </c>
      <c r="EC86" s="167">
        <v>4000</v>
      </c>
      <c r="ED86" s="167">
        <v>4000</v>
      </c>
      <c r="EE86" s="167">
        <v>4000</v>
      </c>
      <c r="EF86" s="167">
        <v>4000</v>
      </c>
      <c r="EG86" s="167">
        <v>4000</v>
      </c>
      <c r="EH86" s="167">
        <v>4000</v>
      </c>
      <c r="EI86" s="167">
        <v>4000</v>
      </c>
      <c r="EJ86" s="167">
        <v>4000</v>
      </c>
      <c r="EK86" s="167">
        <v>4000</v>
      </c>
      <c r="EL86" s="167">
        <v>4000</v>
      </c>
      <c r="EM86" s="167">
        <v>4000</v>
      </c>
      <c r="EN86" s="167">
        <v>4000</v>
      </c>
      <c r="EO86" s="167">
        <v>4000</v>
      </c>
      <c r="EP86" t="str">
        <f t="shared" si="1"/>
        <v>1y 348d</v>
      </c>
    </row>
    <row r="87" spans="2:146" x14ac:dyDescent="0.25">
      <c r="B87" s="9">
        <v>84</v>
      </c>
      <c r="D87">
        <v>7638942.0156903341</v>
      </c>
      <c r="E87" s="12">
        <v>-6532784051.5379839</v>
      </c>
      <c r="F87" s="12">
        <v>11928050449.452715</v>
      </c>
      <c r="G87" s="12">
        <v>0</v>
      </c>
      <c r="H87" s="12">
        <v>14121161.061946515</v>
      </c>
      <c r="I87" s="12">
        <v>-5763805380.3428049</v>
      </c>
      <c r="J87" s="12">
        <v>-20392641231.480667</v>
      </c>
      <c r="K87" s="12">
        <v>19462137.062805839</v>
      </c>
      <c r="L87" s="12">
        <v>4524919.7007549247</v>
      </c>
      <c r="M87" s="12">
        <v>-17224596885.987602</v>
      </c>
      <c r="N87" s="12">
        <v>8148798602.0122604</v>
      </c>
      <c r="O87" s="12"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S87" s="6">
        <v>16888976.736565758</v>
      </c>
      <c r="AT87" s="167">
        <v>4000</v>
      </c>
      <c r="AU87" s="167">
        <v>4000</v>
      </c>
      <c r="AV87" s="167">
        <v>4000</v>
      </c>
      <c r="AW87" s="167">
        <v>4000</v>
      </c>
      <c r="AX87" s="167">
        <v>4000</v>
      </c>
      <c r="AY87" s="167">
        <v>4000</v>
      </c>
      <c r="AZ87" s="167">
        <v>4000</v>
      </c>
      <c r="BA87" s="167">
        <v>4000</v>
      </c>
      <c r="BB87" s="167">
        <v>4000</v>
      </c>
      <c r="BC87" s="167">
        <v>4000</v>
      </c>
      <c r="BD87" s="167">
        <v>4000</v>
      </c>
      <c r="BE87" s="167">
        <v>4000</v>
      </c>
      <c r="BF87" s="167">
        <v>4000</v>
      </c>
      <c r="BG87" s="167">
        <v>4000</v>
      </c>
      <c r="BH87" s="167">
        <v>4000</v>
      </c>
      <c r="BI87" s="167">
        <v>4000</v>
      </c>
      <c r="BJ87" s="167">
        <v>4000</v>
      </c>
      <c r="BK87" s="167">
        <v>4000</v>
      </c>
      <c r="BL87" s="167">
        <v>4000</v>
      </c>
      <c r="BM87" s="167">
        <v>4000</v>
      </c>
      <c r="BN87" s="167">
        <v>4000</v>
      </c>
      <c r="BO87" s="167">
        <v>4000</v>
      </c>
      <c r="BP87" s="167">
        <v>4000</v>
      </c>
      <c r="BQ87" s="167">
        <v>4000</v>
      </c>
      <c r="BR87" s="167">
        <v>4000</v>
      </c>
      <c r="BS87" s="167">
        <v>4000</v>
      </c>
      <c r="BT87" s="167">
        <v>4000</v>
      </c>
      <c r="BU87" s="167">
        <v>4000</v>
      </c>
      <c r="BV87" s="167">
        <v>4000</v>
      </c>
      <c r="BW87" s="167">
        <v>4000</v>
      </c>
      <c r="BX87" s="167">
        <v>4000</v>
      </c>
      <c r="BY87" s="167">
        <v>4000</v>
      </c>
      <c r="BZ87" s="167">
        <v>4000</v>
      </c>
      <c r="CA87" s="167">
        <v>4000</v>
      </c>
      <c r="CB87" s="167">
        <v>4000</v>
      </c>
      <c r="CC87" s="167">
        <v>4000</v>
      </c>
      <c r="CD87" s="167">
        <v>4000</v>
      </c>
      <c r="CE87" s="167">
        <v>4000</v>
      </c>
      <c r="CF87" s="167">
        <v>4000</v>
      </c>
      <c r="CG87" s="167">
        <v>4000</v>
      </c>
      <c r="CH87" s="167">
        <v>4000</v>
      </c>
      <c r="CI87" s="167">
        <v>4000</v>
      </c>
      <c r="CJ87" s="167">
        <v>4000</v>
      </c>
      <c r="CK87" s="167">
        <v>4000</v>
      </c>
      <c r="CL87" s="167">
        <v>4000</v>
      </c>
      <c r="CM87" s="167">
        <v>4000</v>
      </c>
      <c r="CN87" s="167">
        <v>4000</v>
      </c>
      <c r="CO87" s="167">
        <v>4000</v>
      </c>
      <c r="CP87" s="167">
        <v>4000</v>
      </c>
      <c r="CQ87" s="167">
        <v>4000</v>
      </c>
      <c r="CR87" s="167">
        <v>4000</v>
      </c>
      <c r="CS87" s="167">
        <v>4000</v>
      </c>
      <c r="CT87" s="167">
        <v>4000</v>
      </c>
      <c r="CU87" s="167">
        <v>4000</v>
      </c>
      <c r="CV87" s="167">
        <v>4000</v>
      </c>
      <c r="CW87" s="167">
        <v>4000</v>
      </c>
      <c r="CX87" s="167">
        <v>4000</v>
      </c>
      <c r="CY87" s="167">
        <v>4000</v>
      </c>
      <c r="CZ87" s="167">
        <v>4000</v>
      </c>
      <c r="DA87" s="167">
        <v>4000</v>
      </c>
      <c r="DB87" s="167">
        <v>4000</v>
      </c>
      <c r="DC87" s="167">
        <v>4000</v>
      </c>
      <c r="DD87" s="167">
        <v>4000</v>
      </c>
      <c r="DE87" s="167">
        <v>4000</v>
      </c>
      <c r="DF87" s="167">
        <v>4000</v>
      </c>
      <c r="DG87" s="167">
        <v>4000</v>
      </c>
      <c r="DH87" s="167">
        <v>4000</v>
      </c>
      <c r="DI87" s="167">
        <v>4000</v>
      </c>
      <c r="DJ87" s="167">
        <v>4000</v>
      </c>
      <c r="DK87" s="167">
        <v>4000</v>
      </c>
      <c r="DL87" s="167">
        <v>4000</v>
      </c>
      <c r="DM87" s="167">
        <v>4000</v>
      </c>
      <c r="DN87" s="167">
        <v>4000</v>
      </c>
      <c r="DO87" s="167">
        <v>4000</v>
      </c>
      <c r="DP87" s="167">
        <v>4000</v>
      </c>
      <c r="DQ87" s="167">
        <v>4000</v>
      </c>
      <c r="DR87" s="167">
        <v>4000</v>
      </c>
      <c r="DS87" s="167">
        <v>4000</v>
      </c>
      <c r="DT87" s="167">
        <v>4000</v>
      </c>
      <c r="DU87" s="167">
        <v>4000</v>
      </c>
      <c r="DV87" s="167">
        <v>4000</v>
      </c>
      <c r="DW87" s="167">
        <v>4000</v>
      </c>
      <c r="DX87" s="167">
        <v>4000</v>
      </c>
      <c r="DY87" s="167">
        <v>4000</v>
      </c>
      <c r="DZ87" s="167">
        <v>4000</v>
      </c>
      <c r="EA87" s="167">
        <v>4000</v>
      </c>
      <c r="EB87" s="167">
        <v>4000</v>
      </c>
      <c r="EC87" s="167">
        <v>4000</v>
      </c>
      <c r="ED87" s="167">
        <v>4000</v>
      </c>
      <c r="EE87" s="167">
        <v>4000</v>
      </c>
      <c r="EF87" s="167">
        <v>4000</v>
      </c>
      <c r="EG87" s="167">
        <v>4000</v>
      </c>
      <c r="EH87" s="167">
        <v>4000</v>
      </c>
      <c r="EI87" s="167">
        <v>4000</v>
      </c>
      <c r="EJ87" s="167">
        <v>4000</v>
      </c>
      <c r="EK87" s="167">
        <v>4000</v>
      </c>
      <c r="EL87" s="167">
        <v>4000</v>
      </c>
      <c r="EM87" s="167">
        <v>4000</v>
      </c>
      <c r="EN87" s="167">
        <v>4000</v>
      </c>
      <c r="EO87" s="167">
        <v>4000</v>
      </c>
      <c r="EP87" t="str">
        <f t="shared" si="1"/>
        <v>1y 356d</v>
      </c>
    </row>
    <row r="88" spans="2:146" x14ac:dyDescent="0.25">
      <c r="B88" s="9">
        <v>85</v>
      </c>
      <c r="D88">
        <v>7730977.4616625067</v>
      </c>
      <c r="E88" s="12">
        <v>-7268861579.1778355</v>
      </c>
      <c r="F88" s="12">
        <v>11494316262.025787</v>
      </c>
      <c r="G88" s="12">
        <v>0</v>
      </c>
      <c r="H88" s="12">
        <v>14302931.818586424</v>
      </c>
      <c r="I88" s="12">
        <v>-4484656007.6600409</v>
      </c>
      <c r="J88" s="12">
        <v>-20773089624.393147</v>
      </c>
      <c r="K88" s="12">
        <v>18807415.658402894</v>
      </c>
      <c r="L88" s="12">
        <v>4605967.0662287027</v>
      </c>
      <c r="M88" s="12">
        <v>-17541026291.869186</v>
      </c>
      <c r="N88" s="12">
        <v>7650053912.3962097</v>
      </c>
      <c r="O88" s="12"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S88" s="6">
        <v>17067845.497989811</v>
      </c>
      <c r="AT88" s="167">
        <v>4000</v>
      </c>
      <c r="AU88" s="167">
        <v>4000</v>
      </c>
      <c r="AV88" s="167">
        <v>4000</v>
      </c>
      <c r="AW88" s="167">
        <v>4000</v>
      </c>
      <c r="AX88" s="167">
        <v>4000</v>
      </c>
      <c r="AY88" s="167">
        <v>4000</v>
      </c>
      <c r="AZ88" s="167">
        <v>4000</v>
      </c>
      <c r="BA88" s="167">
        <v>4000</v>
      </c>
      <c r="BB88" s="167">
        <v>4000</v>
      </c>
      <c r="BC88" s="167">
        <v>4000</v>
      </c>
      <c r="BD88" s="167">
        <v>4000</v>
      </c>
      <c r="BE88" s="167">
        <v>4000</v>
      </c>
      <c r="BF88" s="167">
        <v>4000</v>
      </c>
      <c r="BG88" s="167">
        <v>4000</v>
      </c>
      <c r="BH88" s="167">
        <v>4000</v>
      </c>
      <c r="BI88" s="167">
        <v>4000</v>
      </c>
      <c r="BJ88" s="167">
        <v>4000</v>
      </c>
      <c r="BK88" s="167">
        <v>4000</v>
      </c>
      <c r="BL88" s="167">
        <v>4000</v>
      </c>
      <c r="BM88" s="167">
        <v>4000</v>
      </c>
      <c r="BN88" s="167">
        <v>4000</v>
      </c>
      <c r="BO88" s="167">
        <v>4000</v>
      </c>
      <c r="BP88" s="167">
        <v>4000</v>
      </c>
      <c r="BQ88" s="167">
        <v>4000</v>
      </c>
      <c r="BR88" s="167">
        <v>4000</v>
      </c>
      <c r="BS88" s="167">
        <v>4000</v>
      </c>
      <c r="BT88" s="167">
        <v>4000</v>
      </c>
      <c r="BU88" s="167">
        <v>4000</v>
      </c>
      <c r="BV88" s="167">
        <v>4000</v>
      </c>
      <c r="BW88" s="167">
        <v>4000</v>
      </c>
      <c r="BX88" s="167">
        <v>4000</v>
      </c>
      <c r="BY88" s="167">
        <v>4000</v>
      </c>
      <c r="BZ88" s="167">
        <v>4000</v>
      </c>
      <c r="CA88" s="167">
        <v>4000</v>
      </c>
      <c r="CB88" s="167">
        <v>4000</v>
      </c>
      <c r="CC88" s="167">
        <v>4000</v>
      </c>
      <c r="CD88" s="167">
        <v>4000</v>
      </c>
      <c r="CE88" s="167">
        <v>4000</v>
      </c>
      <c r="CF88" s="167">
        <v>4000</v>
      </c>
      <c r="CG88" s="167">
        <v>4000</v>
      </c>
      <c r="CH88" s="167">
        <v>4000</v>
      </c>
      <c r="CI88" s="167">
        <v>4000</v>
      </c>
      <c r="CJ88" s="167">
        <v>4000</v>
      </c>
      <c r="CK88" s="167">
        <v>4000</v>
      </c>
      <c r="CL88" s="167">
        <v>4000</v>
      </c>
      <c r="CM88" s="167">
        <v>4000</v>
      </c>
      <c r="CN88" s="167">
        <v>4000</v>
      </c>
      <c r="CO88" s="167">
        <v>4000</v>
      </c>
      <c r="CP88" s="167">
        <v>4000</v>
      </c>
      <c r="CQ88" s="167">
        <v>4000</v>
      </c>
      <c r="CR88" s="167">
        <v>4000</v>
      </c>
      <c r="CS88" s="167">
        <v>4000</v>
      </c>
      <c r="CT88" s="167">
        <v>4000</v>
      </c>
      <c r="CU88" s="167">
        <v>4000</v>
      </c>
      <c r="CV88" s="167">
        <v>4000</v>
      </c>
      <c r="CW88" s="167">
        <v>4000</v>
      </c>
      <c r="CX88" s="167">
        <v>4000</v>
      </c>
      <c r="CY88" s="167">
        <v>4000</v>
      </c>
      <c r="CZ88" s="167">
        <v>4000</v>
      </c>
      <c r="DA88" s="167">
        <v>4000</v>
      </c>
      <c r="DB88" s="167">
        <v>4000</v>
      </c>
      <c r="DC88" s="167">
        <v>4000</v>
      </c>
      <c r="DD88" s="167">
        <v>4000</v>
      </c>
      <c r="DE88" s="167">
        <v>4000</v>
      </c>
      <c r="DF88" s="167">
        <v>4000</v>
      </c>
      <c r="DG88" s="167">
        <v>4000</v>
      </c>
      <c r="DH88" s="167">
        <v>4000</v>
      </c>
      <c r="DI88" s="167">
        <v>4000</v>
      </c>
      <c r="DJ88" s="167">
        <v>4000</v>
      </c>
      <c r="DK88" s="167">
        <v>4000</v>
      </c>
      <c r="DL88" s="167">
        <v>4000</v>
      </c>
      <c r="DM88" s="167">
        <v>4000</v>
      </c>
      <c r="DN88" s="167">
        <v>4000</v>
      </c>
      <c r="DO88" s="167">
        <v>4000</v>
      </c>
      <c r="DP88" s="167">
        <v>4000</v>
      </c>
      <c r="DQ88" s="167">
        <v>4000</v>
      </c>
      <c r="DR88" s="167">
        <v>4000</v>
      </c>
      <c r="DS88" s="167">
        <v>4000</v>
      </c>
      <c r="DT88" s="167">
        <v>4000</v>
      </c>
      <c r="DU88" s="167">
        <v>4000</v>
      </c>
      <c r="DV88" s="167">
        <v>4000</v>
      </c>
      <c r="DW88" s="167">
        <v>4000</v>
      </c>
      <c r="DX88" s="167">
        <v>4000</v>
      </c>
      <c r="DY88" s="167">
        <v>4000</v>
      </c>
      <c r="DZ88" s="167">
        <v>4000</v>
      </c>
      <c r="EA88" s="167">
        <v>4000</v>
      </c>
      <c r="EB88" s="167">
        <v>4000</v>
      </c>
      <c r="EC88" s="167">
        <v>4000</v>
      </c>
      <c r="ED88" s="167">
        <v>4000</v>
      </c>
      <c r="EE88" s="167">
        <v>4000</v>
      </c>
      <c r="EF88" s="167">
        <v>4000</v>
      </c>
      <c r="EG88" s="167">
        <v>4000</v>
      </c>
      <c r="EH88" s="167">
        <v>4000</v>
      </c>
      <c r="EI88" s="167">
        <v>4000</v>
      </c>
      <c r="EJ88" s="167">
        <v>4000</v>
      </c>
      <c r="EK88" s="167">
        <v>4000</v>
      </c>
      <c r="EL88" s="167">
        <v>4000</v>
      </c>
      <c r="EM88" s="167">
        <v>4000</v>
      </c>
      <c r="EN88" s="167">
        <v>4000</v>
      </c>
      <c r="EO88" s="167">
        <v>4000</v>
      </c>
      <c r="EP88" t="str">
        <f t="shared" si="1"/>
        <v>1y 364d</v>
      </c>
    </row>
    <row r="89" spans="2:146" x14ac:dyDescent="0.25">
      <c r="B89" s="9">
        <v>86</v>
      </c>
      <c r="D89">
        <v>7823012.9076346792</v>
      </c>
      <c r="E89" s="12">
        <v>-7976252230.9916449</v>
      </c>
      <c r="F89" s="12">
        <v>11015219259.566236</v>
      </c>
      <c r="G89" s="12">
        <v>0</v>
      </c>
      <c r="H89" s="12">
        <v>14485717.103971437</v>
      </c>
      <c r="I89" s="12">
        <v>-3180124931.3391738</v>
      </c>
      <c r="J89" s="12">
        <v>-21071150479.751778</v>
      </c>
      <c r="K89" s="12">
        <v>18072527.880815849</v>
      </c>
      <c r="L89" s="12">
        <v>4687698.7863318278</v>
      </c>
      <c r="M89" s="12">
        <v>-17840609191.861683</v>
      </c>
      <c r="N89" s="12">
        <v>7138585945.8337908</v>
      </c>
      <c r="O89" s="12"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S89" s="6">
        <v>17246714.259413864</v>
      </c>
      <c r="AT89" s="167">
        <v>4000</v>
      </c>
      <c r="AU89" s="167">
        <v>4000</v>
      </c>
      <c r="AV89" s="167">
        <v>4000</v>
      </c>
      <c r="AW89" s="167">
        <v>4000</v>
      </c>
      <c r="AX89" s="167">
        <v>4000</v>
      </c>
      <c r="AY89" s="167">
        <v>4000</v>
      </c>
      <c r="AZ89" s="167">
        <v>4000</v>
      </c>
      <c r="BA89" s="167">
        <v>4000</v>
      </c>
      <c r="BB89" s="167">
        <v>4000</v>
      </c>
      <c r="BC89" s="167">
        <v>4000</v>
      </c>
      <c r="BD89" s="167">
        <v>4000</v>
      </c>
      <c r="BE89" s="167">
        <v>4000</v>
      </c>
      <c r="BF89" s="167">
        <v>4000</v>
      </c>
      <c r="BG89" s="167">
        <v>4000</v>
      </c>
      <c r="BH89" s="167">
        <v>4000</v>
      </c>
      <c r="BI89" s="167">
        <v>4000</v>
      </c>
      <c r="BJ89" s="167">
        <v>4000</v>
      </c>
      <c r="BK89" s="167">
        <v>4000</v>
      </c>
      <c r="BL89" s="167">
        <v>4000</v>
      </c>
      <c r="BM89" s="167">
        <v>4000</v>
      </c>
      <c r="BN89" s="167">
        <v>4000</v>
      </c>
      <c r="BO89" s="167">
        <v>4000</v>
      </c>
      <c r="BP89" s="167">
        <v>4000</v>
      </c>
      <c r="BQ89" s="167">
        <v>4000</v>
      </c>
      <c r="BR89" s="167">
        <v>4000</v>
      </c>
      <c r="BS89" s="167">
        <v>4000</v>
      </c>
      <c r="BT89" s="167">
        <v>4000</v>
      </c>
      <c r="BU89" s="167">
        <v>4000</v>
      </c>
      <c r="BV89" s="167">
        <v>4000</v>
      </c>
      <c r="BW89" s="167">
        <v>4000</v>
      </c>
      <c r="BX89" s="167">
        <v>4000</v>
      </c>
      <c r="BY89" s="167">
        <v>4000</v>
      </c>
      <c r="BZ89" s="167">
        <v>4000</v>
      </c>
      <c r="CA89" s="167">
        <v>4000</v>
      </c>
      <c r="CB89" s="167">
        <v>4000</v>
      </c>
      <c r="CC89" s="167">
        <v>4000</v>
      </c>
      <c r="CD89" s="167">
        <v>4000</v>
      </c>
      <c r="CE89" s="167">
        <v>4000</v>
      </c>
      <c r="CF89" s="167">
        <v>4000</v>
      </c>
      <c r="CG89" s="167">
        <v>4000</v>
      </c>
      <c r="CH89" s="167">
        <v>4000</v>
      </c>
      <c r="CI89" s="167">
        <v>4000</v>
      </c>
      <c r="CJ89" s="167">
        <v>4000</v>
      </c>
      <c r="CK89" s="167">
        <v>4000</v>
      </c>
      <c r="CL89" s="167">
        <v>4000</v>
      </c>
      <c r="CM89" s="167">
        <v>4000</v>
      </c>
      <c r="CN89" s="167">
        <v>4000</v>
      </c>
      <c r="CO89" s="167">
        <v>4000</v>
      </c>
      <c r="CP89" s="167">
        <v>4000</v>
      </c>
      <c r="CQ89" s="167">
        <v>4000</v>
      </c>
      <c r="CR89" s="167">
        <v>4000</v>
      </c>
      <c r="CS89" s="167">
        <v>4000</v>
      </c>
      <c r="CT89" s="167">
        <v>4000</v>
      </c>
      <c r="CU89" s="167">
        <v>4000</v>
      </c>
      <c r="CV89" s="167">
        <v>4000</v>
      </c>
      <c r="CW89" s="167">
        <v>4000</v>
      </c>
      <c r="CX89" s="167">
        <v>4000</v>
      </c>
      <c r="CY89" s="167">
        <v>4000</v>
      </c>
      <c r="CZ89" s="167">
        <v>4000</v>
      </c>
      <c r="DA89" s="167">
        <v>4000</v>
      </c>
      <c r="DB89" s="167">
        <v>4000</v>
      </c>
      <c r="DC89" s="167">
        <v>4000</v>
      </c>
      <c r="DD89" s="167">
        <v>4000</v>
      </c>
      <c r="DE89" s="167">
        <v>4000</v>
      </c>
      <c r="DF89" s="167">
        <v>4000</v>
      </c>
      <c r="DG89" s="167">
        <v>4000</v>
      </c>
      <c r="DH89" s="167">
        <v>4000</v>
      </c>
      <c r="DI89" s="167">
        <v>4000</v>
      </c>
      <c r="DJ89" s="167">
        <v>4000</v>
      </c>
      <c r="DK89" s="167">
        <v>4000</v>
      </c>
      <c r="DL89" s="167">
        <v>4000</v>
      </c>
      <c r="DM89" s="167">
        <v>4000</v>
      </c>
      <c r="DN89" s="167">
        <v>4000</v>
      </c>
      <c r="DO89" s="167">
        <v>4000</v>
      </c>
      <c r="DP89" s="167">
        <v>4000</v>
      </c>
      <c r="DQ89" s="167">
        <v>4000</v>
      </c>
      <c r="DR89" s="167">
        <v>4000</v>
      </c>
      <c r="DS89" s="167">
        <v>4000</v>
      </c>
      <c r="DT89" s="167">
        <v>4000</v>
      </c>
      <c r="DU89" s="167">
        <v>4000</v>
      </c>
      <c r="DV89" s="167">
        <v>4000</v>
      </c>
      <c r="DW89" s="167">
        <v>4000</v>
      </c>
      <c r="DX89" s="167">
        <v>4000</v>
      </c>
      <c r="DY89" s="167">
        <v>4000</v>
      </c>
      <c r="DZ89" s="167">
        <v>4000</v>
      </c>
      <c r="EA89" s="167">
        <v>4000</v>
      </c>
      <c r="EB89" s="167">
        <v>4000</v>
      </c>
      <c r="EC89" s="167">
        <v>4000</v>
      </c>
      <c r="ED89" s="167">
        <v>4000</v>
      </c>
      <c r="EE89" s="167">
        <v>4000</v>
      </c>
      <c r="EF89" s="167">
        <v>4000</v>
      </c>
      <c r="EG89" s="167">
        <v>4000</v>
      </c>
      <c r="EH89" s="167">
        <v>4000</v>
      </c>
      <c r="EI89" s="167">
        <v>4000</v>
      </c>
      <c r="EJ89" s="167">
        <v>4000</v>
      </c>
      <c r="EK89" s="167">
        <v>4000</v>
      </c>
      <c r="EL89" s="167">
        <v>4000</v>
      </c>
      <c r="EM89" s="167">
        <v>4000</v>
      </c>
      <c r="EN89" s="167">
        <v>4000</v>
      </c>
      <c r="EO89" s="167">
        <v>4000</v>
      </c>
      <c r="EP89" t="str">
        <f t="shared" si="1"/>
        <v>1y 372d</v>
      </c>
    </row>
    <row r="90" spans="2:146" x14ac:dyDescent="0.25">
      <c r="B90" s="9">
        <v>87</v>
      </c>
      <c r="D90">
        <v>7915048.3536068518</v>
      </c>
      <c r="E90" s="12">
        <v>-8652164259.2527523</v>
      </c>
      <c r="F90" s="12">
        <v>10492650219.064171</v>
      </c>
      <c r="G90" s="12">
        <v>0</v>
      </c>
      <c r="H90" s="12">
        <v>14669482.605805542</v>
      </c>
      <c r="I90" s="12">
        <v>-1855629019.6600506</v>
      </c>
      <c r="J90" s="12">
        <v>-21284861823.509514</v>
      </c>
      <c r="K90" s="12">
        <v>17259984.234504811</v>
      </c>
      <c r="L90" s="12">
        <v>4770095.0981170321</v>
      </c>
      <c r="M90" s="12">
        <v>-18122697419.958248</v>
      </c>
      <c r="N90" s="12">
        <v>6614984622.4210749</v>
      </c>
      <c r="O90" s="12"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S90" s="6">
        <v>17425583.020837918</v>
      </c>
      <c r="AT90" s="167">
        <v>4000</v>
      </c>
      <c r="AU90" s="167">
        <v>4000</v>
      </c>
      <c r="AV90" s="167">
        <v>4000</v>
      </c>
      <c r="AW90" s="167">
        <v>4000</v>
      </c>
      <c r="AX90" s="167">
        <v>4000</v>
      </c>
      <c r="AY90" s="167">
        <v>4000</v>
      </c>
      <c r="AZ90" s="167">
        <v>4000</v>
      </c>
      <c r="BA90" s="167">
        <v>4000</v>
      </c>
      <c r="BB90" s="167">
        <v>4000</v>
      </c>
      <c r="BC90" s="167">
        <v>4000</v>
      </c>
      <c r="BD90" s="167">
        <v>4000</v>
      </c>
      <c r="BE90" s="167">
        <v>4000</v>
      </c>
      <c r="BF90" s="167">
        <v>4000</v>
      </c>
      <c r="BG90" s="167">
        <v>4000</v>
      </c>
      <c r="BH90" s="167">
        <v>4000</v>
      </c>
      <c r="BI90" s="167">
        <v>4000</v>
      </c>
      <c r="BJ90" s="167">
        <v>4000</v>
      </c>
      <c r="BK90" s="167">
        <v>4000</v>
      </c>
      <c r="BL90" s="167">
        <v>4000</v>
      </c>
      <c r="BM90" s="167">
        <v>4000</v>
      </c>
      <c r="BN90" s="167">
        <v>4000</v>
      </c>
      <c r="BO90" s="167">
        <v>4000</v>
      </c>
      <c r="BP90" s="167">
        <v>4000</v>
      </c>
      <c r="BQ90" s="167">
        <v>4000</v>
      </c>
      <c r="BR90" s="167">
        <v>4000</v>
      </c>
      <c r="BS90" s="167">
        <v>4000</v>
      </c>
      <c r="BT90" s="167">
        <v>4000</v>
      </c>
      <c r="BU90" s="167">
        <v>4000</v>
      </c>
      <c r="BV90" s="167">
        <v>4000</v>
      </c>
      <c r="BW90" s="167">
        <v>4000</v>
      </c>
      <c r="BX90" s="167">
        <v>4000</v>
      </c>
      <c r="BY90" s="167">
        <v>4000</v>
      </c>
      <c r="BZ90" s="167">
        <v>4000</v>
      </c>
      <c r="CA90" s="167">
        <v>4000</v>
      </c>
      <c r="CB90" s="167">
        <v>4000</v>
      </c>
      <c r="CC90" s="167">
        <v>4000</v>
      </c>
      <c r="CD90" s="167">
        <v>4000</v>
      </c>
      <c r="CE90" s="167">
        <v>4000</v>
      </c>
      <c r="CF90" s="167">
        <v>4000</v>
      </c>
      <c r="CG90" s="167">
        <v>4000</v>
      </c>
      <c r="CH90" s="167">
        <v>4000</v>
      </c>
      <c r="CI90" s="167">
        <v>4000</v>
      </c>
      <c r="CJ90" s="167">
        <v>4000</v>
      </c>
      <c r="CK90" s="167">
        <v>4000</v>
      </c>
      <c r="CL90" s="167">
        <v>4000</v>
      </c>
      <c r="CM90" s="167">
        <v>4000</v>
      </c>
      <c r="CN90" s="167">
        <v>4000</v>
      </c>
      <c r="CO90" s="167">
        <v>4000</v>
      </c>
      <c r="CP90" s="167">
        <v>4000</v>
      </c>
      <c r="CQ90" s="167">
        <v>4000</v>
      </c>
      <c r="CR90" s="167">
        <v>4000</v>
      </c>
      <c r="CS90" s="167">
        <v>4000</v>
      </c>
      <c r="CT90" s="167">
        <v>4000</v>
      </c>
      <c r="CU90" s="167">
        <v>4000</v>
      </c>
      <c r="CV90" s="167">
        <v>4000</v>
      </c>
      <c r="CW90" s="167">
        <v>4000</v>
      </c>
      <c r="CX90" s="167">
        <v>4000</v>
      </c>
      <c r="CY90" s="167">
        <v>4000</v>
      </c>
      <c r="CZ90" s="167">
        <v>4000</v>
      </c>
      <c r="DA90" s="167">
        <v>4000</v>
      </c>
      <c r="DB90" s="167">
        <v>4000</v>
      </c>
      <c r="DC90" s="167">
        <v>4000</v>
      </c>
      <c r="DD90" s="167">
        <v>4000</v>
      </c>
      <c r="DE90" s="167">
        <v>4000</v>
      </c>
      <c r="DF90" s="167">
        <v>4000</v>
      </c>
      <c r="DG90" s="167">
        <v>4000</v>
      </c>
      <c r="DH90" s="167">
        <v>4000</v>
      </c>
      <c r="DI90" s="167">
        <v>4000</v>
      </c>
      <c r="DJ90" s="167">
        <v>4000</v>
      </c>
      <c r="DK90" s="167">
        <v>4000</v>
      </c>
      <c r="DL90" s="167">
        <v>4000</v>
      </c>
      <c r="DM90" s="167">
        <v>4000</v>
      </c>
      <c r="DN90" s="167">
        <v>4000</v>
      </c>
      <c r="DO90" s="167">
        <v>4000</v>
      </c>
      <c r="DP90" s="167">
        <v>4000</v>
      </c>
      <c r="DQ90" s="167">
        <v>4000</v>
      </c>
      <c r="DR90" s="167">
        <v>4000</v>
      </c>
      <c r="DS90" s="167">
        <v>4000</v>
      </c>
      <c r="DT90" s="167">
        <v>4000</v>
      </c>
      <c r="DU90" s="167">
        <v>4000</v>
      </c>
      <c r="DV90" s="167">
        <v>4000</v>
      </c>
      <c r="DW90" s="167">
        <v>4000</v>
      </c>
      <c r="DX90" s="167">
        <v>4000</v>
      </c>
      <c r="DY90" s="167">
        <v>4000</v>
      </c>
      <c r="DZ90" s="167">
        <v>4000</v>
      </c>
      <c r="EA90" s="167">
        <v>4000</v>
      </c>
      <c r="EB90" s="167">
        <v>4000</v>
      </c>
      <c r="EC90" s="167">
        <v>4000</v>
      </c>
      <c r="ED90" s="167">
        <v>4000</v>
      </c>
      <c r="EE90" s="167">
        <v>4000</v>
      </c>
      <c r="EF90" s="167">
        <v>4000</v>
      </c>
      <c r="EG90" s="167">
        <v>4000</v>
      </c>
      <c r="EH90" s="167">
        <v>4000</v>
      </c>
      <c r="EI90" s="167">
        <v>4000</v>
      </c>
      <c r="EJ90" s="167">
        <v>4000</v>
      </c>
      <c r="EK90" s="167">
        <v>4000</v>
      </c>
      <c r="EL90" s="167">
        <v>4000</v>
      </c>
      <c r="EM90" s="167">
        <v>4000</v>
      </c>
      <c r="EN90" s="167">
        <v>4000</v>
      </c>
      <c r="EO90" s="167">
        <v>4000</v>
      </c>
      <c r="EP90" t="str">
        <f t="shared" si="1"/>
        <v>1y 381d</v>
      </c>
    </row>
    <row r="91" spans="2:146" x14ac:dyDescent="0.25">
      <c r="B91" s="9">
        <v>88</v>
      </c>
      <c r="D91">
        <v>8007083.7995790252</v>
      </c>
      <c r="E91" s="12">
        <v>-9293930147.980444</v>
      </c>
      <c r="F91" s="12">
        <v>9928671481.7833691</v>
      </c>
      <c r="G91" s="12">
        <v>0</v>
      </c>
      <c r="H91" s="12">
        <v>14854189.156007754</v>
      </c>
      <c r="I91" s="12">
        <v>-516764964.43103904</v>
      </c>
      <c r="J91" s="12">
        <v>-21412631653.559288</v>
      </c>
      <c r="K91" s="12">
        <v>16372703.550101861</v>
      </c>
      <c r="L91" s="12">
        <v>4853134.7040069494</v>
      </c>
      <c r="M91" s="12">
        <v>-18386664986.120544</v>
      </c>
      <c r="N91" s="12">
        <v>6079877710.3494873</v>
      </c>
      <c r="O91" s="12"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S91" s="6">
        <v>17604451.782261971</v>
      </c>
      <c r="AT91" s="167">
        <v>4000</v>
      </c>
      <c r="AU91" s="167">
        <v>4000</v>
      </c>
      <c r="AV91" s="167">
        <v>4000</v>
      </c>
      <c r="AW91" s="167">
        <v>4000</v>
      </c>
      <c r="AX91" s="167">
        <v>4000</v>
      </c>
      <c r="AY91" s="167">
        <v>4000</v>
      </c>
      <c r="AZ91" s="167">
        <v>4000</v>
      </c>
      <c r="BA91" s="167">
        <v>4000</v>
      </c>
      <c r="BB91" s="167">
        <v>4000</v>
      </c>
      <c r="BC91" s="167">
        <v>4000</v>
      </c>
      <c r="BD91" s="167">
        <v>4000</v>
      </c>
      <c r="BE91" s="167">
        <v>4000</v>
      </c>
      <c r="BF91" s="167">
        <v>4000</v>
      </c>
      <c r="BG91" s="167">
        <v>4000</v>
      </c>
      <c r="BH91" s="167">
        <v>4000</v>
      </c>
      <c r="BI91" s="167">
        <v>4000</v>
      </c>
      <c r="BJ91" s="167">
        <v>4000</v>
      </c>
      <c r="BK91" s="167">
        <v>4000</v>
      </c>
      <c r="BL91" s="167">
        <v>4000</v>
      </c>
      <c r="BM91" s="167">
        <v>4000</v>
      </c>
      <c r="BN91" s="167">
        <v>4000</v>
      </c>
      <c r="BO91" s="167">
        <v>4000</v>
      </c>
      <c r="BP91" s="167">
        <v>4000</v>
      </c>
      <c r="BQ91" s="167">
        <v>4000</v>
      </c>
      <c r="BR91" s="167">
        <v>4000</v>
      </c>
      <c r="BS91" s="167">
        <v>4000</v>
      </c>
      <c r="BT91" s="167">
        <v>4000</v>
      </c>
      <c r="BU91" s="167">
        <v>4000</v>
      </c>
      <c r="BV91" s="167">
        <v>4000</v>
      </c>
      <c r="BW91" s="167">
        <v>4000</v>
      </c>
      <c r="BX91" s="167">
        <v>4000</v>
      </c>
      <c r="BY91" s="167">
        <v>4000</v>
      </c>
      <c r="BZ91" s="167">
        <v>4000</v>
      </c>
      <c r="CA91" s="167">
        <v>4000</v>
      </c>
      <c r="CB91" s="167">
        <v>4000</v>
      </c>
      <c r="CC91" s="167">
        <v>4000</v>
      </c>
      <c r="CD91" s="167">
        <v>4000</v>
      </c>
      <c r="CE91" s="167">
        <v>4000</v>
      </c>
      <c r="CF91" s="167">
        <v>4000</v>
      </c>
      <c r="CG91" s="167">
        <v>4000</v>
      </c>
      <c r="CH91" s="167">
        <v>4000</v>
      </c>
      <c r="CI91" s="167">
        <v>4000</v>
      </c>
      <c r="CJ91" s="167">
        <v>4000</v>
      </c>
      <c r="CK91" s="167">
        <v>4000</v>
      </c>
      <c r="CL91" s="167">
        <v>4000</v>
      </c>
      <c r="CM91" s="167">
        <v>4000</v>
      </c>
      <c r="CN91" s="167">
        <v>4000</v>
      </c>
      <c r="CO91" s="167">
        <v>4000</v>
      </c>
      <c r="CP91" s="167">
        <v>4000</v>
      </c>
      <c r="CQ91" s="167">
        <v>4000</v>
      </c>
      <c r="CR91" s="167">
        <v>4000</v>
      </c>
      <c r="CS91" s="167">
        <v>4000</v>
      </c>
      <c r="CT91" s="167">
        <v>4000</v>
      </c>
      <c r="CU91" s="167">
        <v>4000</v>
      </c>
      <c r="CV91" s="167">
        <v>4000</v>
      </c>
      <c r="CW91" s="167">
        <v>4000</v>
      </c>
      <c r="CX91" s="167">
        <v>4000</v>
      </c>
      <c r="CY91" s="167">
        <v>4000</v>
      </c>
      <c r="CZ91" s="167">
        <v>4000</v>
      </c>
      <c r="DA91" s="167">
        <v>4000</v>
      </c>
      <c r="DB91" s="167">
        <v>4000</v>
      </c>
      <c r="DC91" s="167">
        <v>4000</v>
      </c>
      <c r="DD91" s="167">
        <v>4000</v>
      </c>
      <c r="DE91" s="167">
        <v>4000</v>
      </c>
      <c r="DF91" s="167">
        <v>4000</v>
      </c>
      <c r="DG91" s="167">
        <v>4000</v>
      </c>
      <c r="DH91" s="167">
        <v>4000</v>
      </c>
      <c r="DI91" s="167">
        <v>4000</v>
      </c>
      <c r="DJ91" s="167">
        <v>4000</v>
      </c>
      <c r="DK91" s="167">
        <v>4000</v>
      </c>
      <c r="DL91" s="167">
        <v>4000</v>
      </c>
      <c r="DM91" s="167">
        <v>4000</v>
      </c>
      <c r="DN91" s="167">
        <v>4000</v>
      </c>
      <c r="DO91" s="167">
        <v>4000</v>
      </c>
      <c r="DP91" s="167">
        <v>4000</v>
      </c>
      <c r="DQ91" s="167">
        <v>4000</v>
      </c>
      <c r="DR91" s="167">
        <v>4000</v>
      </c>
      <c r="DS91" s="167">
        <v>4000</v>
      </c>
      <c r="DT91" s="167">
        <v>4000</v>
      </c>
      <c r="DU91" s="167">
        <v>4000</v>
      </c>
      <c r="DV91" s="167">
        <v>4000</v>
      </c>
      <c r="DW91" s="167">
        <v>4000</v>
      </c>
      <c r="DX91" s="167">
        <v>4000</v>
      </c>
      <c r="DY91" s="167">
        <v>4000</v>
      </c>
      <c r="DZ91" s="167">
        <v>4000</v>
      </c>
      <c r="EA91" s="167">
        <v>4000</v>
      </c>
      <c r="EB91" s="167">
        <v>4000</v>
      </c>
      <c r="EC91" s="167">
        <v>4000</v>
      </c>
      <c r="ED91" s="167">
        <v>4000</v>
      </c>
      <c r="EE91" s="167">
        <v>4000</v>
      </c>
      <c r="EF91" s="167">
        <v>4000</v>
      </c>
      <c r="EG91" s="167">
        <v>4000</v>
      </c>
      <c r="EH91" s="167">
        <v>4000</v>
      </c>
      <c r="EI91" s="167">
        <v>4000</v>
      </c>
      <c r="EJ91" s="167">
        <v>4000</v>
      </c>
      <c r="EK91" s="167">
        <v>4000</v>
      </c>
      <c r="EL91" s="167">
        <v>4000</v>
      </c>
      <c r="EM91" s="167">
        <v>4000</v>
      </c>
      <c r="EN91" s="167">
        <v>4000</v>
      </c>
      <c r="EO91" s="167">
        <v>4000</v>
      </c>
      <c r="EP91" t="str">
        <f t="shared" si="1"/>
        <v>1y 389d</v>
      </c>
    </row>
    <row r="92" spans="2:146" x14ac:dyDescent="0.25">
      <c r="B92" s="9">
        <v>89</v>
      </c>
      <c r="D92">
        <v>8099119.2455511978</v>
      </c>
      <c r="E92" s="12">
        <v>-9899017140.4068565</v>
      </c>
      <c r="F92" s="12">
        <v>9325508814.142498</v>
      </c>
      <c r="G92" s="12">
        <v>0</v>
      </c>
      <c r="H92" s="12">
        <v>15039792.827693865</v>
      </c>
      <c r="I92" s="12">
        <v>830717817.3268919</v>
      </c>
      <c r="J92" s="12">
        <v>-21453257542.862801</v>
      </c>
      <c r="K92" s="12">
        <v>15414007.736357385</v>
      </c>
      <c r="L92" s="12">
        <v>4936794.7855527978</v>
      </c>
      <c r="M92" s="12">
        <v>-18631910791.125671</v>
      </c>
      <c r="N92" s="12">
        <v>5533930006.8023233</v>
      </c>
      <c r="O92" s="12"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S92" s="6">
        <v>17783320.543686025</v>
      </c>
      <c r="AT92" s="167">
        <v>4000</v>
      </c>
      <c r="AU92" s="167">
        <v>4000</v>
      </c>
      <c r="AV92" s="167">
        <v>4000</v>
      </c>
      <c r="AW92" s="167">
        <v>4000</v>
      </c>
      <c r="AX92" s="167">
        <v>4000</v>
      </c>
      <c r="AY92" s="167">
        <v>4000</v>
      </c>
      <c r="AZ92" s="167">
        <v>4000</v>
      </c>
      <c r="BA92" s="167">
        <v>4000</v>
      </c>
      <c r="BB92" s="167">
        <v>4000</v>
      </c>
      <c r="BC92" s="167">
        <v>4000</v>
      </c>
      <c r="BD92" s="167">
        <v>4000</v>
      </c>
      <c r="BE92" s="167">
        <v>4000</v>
      </c>
      <c r="BF92" s="167">
        <v>4000</v>
      </c>
      <c r="BG92" s="167">
        <v>4000</v>
      </c>
      <c r="BH92" s="167">
        <v>4000</v>
      </c>
      <c r="BI92" s="167">
        <v>4000</v>
      </c>
      <c r="BJ92" s="167">
        <v>4000</v>
      </c>
      <c r="BK92" s="167">
        <v>4000</v>
      </c>
      <c r="BL92" s="167">
        <v>4000</v>
      </c>
      <c r="BM92" s="167">
        <v>4000</v>
      </c>
      <c r="BN92" s="167">
        <v>4000</v>
      </c>
      <c r="BO92" s="167">
        <v>4000</v>
      </c>
      <c r="BP92" s="167">
        <v>4000</v>
      </c>
      <c r="BQ92" s="167">
        <v>4000</v>
      </c>
      <c r="BR92" s="167">
        <v>4000</v>
      </c>
      <c r="BS92" s="167">
        <v>4000</v>
      </c>
      <c r="BT92" s="167">
        <v>4000</v>
      </c>
      <c r="BU92" s="167">
        <v>4000</v>
      </c>
      <c r="BV92" s="167">
        <v>4000</v>
      </c>
      <c r="BW92" s="167">
        <v>4000</v>
      </c>
      <c r="BX92" s="167">
        <v>4000</v>
      </c>
      <c r="BY92" s="167">
        <v>4000</v>
      </c>
      <c r="BZ92" s="167">
        <v>4000</v>
      </c>
      <c r="CA92" s="167">
        <v>4000</v>
      </c>
      <c r="CB92" s="167">
        <v>4000</v>
      </c>
      <c r="CC92" s="167">
        <v>4000</v>
      </c>
      <c r="CD92" s="167">
        <v>4000</v>
      </c>
      <c r="CE92" s="167">
        <v>4000</v>
      </c>
      <c r="CF92" s="167">
        <v>4000</v>
      </c>
      <c r="CG92" s="167">
        <v>4000</v>
      </c>
      <c r="CH92" s="167">
        <v>4000</v>
      </c>
      <c r="CI92" s="167">
        <v>4000</v>
      </c>
      <c r="CJ92" s="167">
        <v>4000</v>
      </c>
      <c r="CK92" s="167">
        <v>4000</v>
      </c>
      <c r="CL92" s="167">
        <v>4000</v>
      </c>
      <c r="CM92" s="167">
        <v>4000</v>
      </c>
      <c r="CN92" s="167">
        <v>4000</v>
      </c>
      <c r="CO92" s="167">
        <v>4000</v>
      </c>
      <c r="CP92" s="167">
        <v>4000</v>
      </c>
      <c r="CQ92" s="167">
        <v>4000</v>
      </c>
      <c r="CR92" s="167">
        <v>4000</v>
      </c>
      <c r="CS92" s="167">
        <v>4000</v>
      </c>
      <c r="CT92" s="167">
        <v>4000</v>
      </c>
      <c r="CU92" s="167">
        <v>4000</v>
      </c>
      <c r="CV92" s="167">
        <v>4000</v>
      </c>
      <c r="CW92" s="167">
        <v>4000</v>
      </c>
      <c r="CX92" s="167">
        <v>4000</v>
      </c>
      <c r="CY92" s="167">
        <v>4000</v>
      </c>
      <c r="CZ92" s="167">
        <v>4000</v>
      </c>
      <c r="DA92" s="167">
        <v>4000</v>
      </c>
      <c r="DB92" s="167">
        <v>4000</v>
      </c>
      <c r="DC92" s="167">
        <v>4000</v>
      </c>
      <c r="DD92" s="167">
        <v>4000</v>
      </c>
      <c r="DE92" s="167">
        <v>4000</v>
      </c>
      <c r="DF92" s="167">
        <v>4000</v>
      </c>
      <c r="DG92" s="167">
        <v>4000</v>
      </c>
      <c r="DH92" s="167">
        <v>4000</v>
      </c>
      <c r="DI92" s="167">
        <v>4000</v>
      </c>
      <c r="DJ92" s="167">
        <v>4000</v>
      </c>
      <c r="DK92" s="167">
        <v>4000</v>
      </c>
      <c r="DL92" s="167">
        <v>4000</v>
      </c>
      <c r="DM92" s="167">
        <v>4000</v>
      </c>
      <c r="DN92" s="167">
        <v>4000</v>
      </c>
      <c r="DO92" s="167">
        <v>4000</v>
      </c>
      <c r="DP92" s="167">
        <v>4000</v>
      </c>
      <c r="DQ92" s="167">
        <v>4000</v>
      </c>
      <c r="DR92" s="167">
        <v>4000</v>
      </c>
      <c r="DS92" s="167">
        <v>4000</v>
      </c>
      <c r="DT92" s="167">
        <v>4000</v>
      </c>
      <c r="DU92" s="167">
        <v>4000</v>
      </c>
      <c r="DV92" s="167">
        <v>4000</v>
      </c>
      <c r="DW92" s="167">
        <v>4000</v>
      </c>
      <c r="DX92" s="167">
        <v>4000</v>
      </c>
      <c r="DY92" s="167">
        <v>4000</v>
      </c>
      <c r="DZ92" s="167">
        <v>4000</v>
      </c>
      <c r="EA92" s="167">
        <v>4000</v>
      </c>
      <c r="EB92" s="167">
        <v>4000</v>
      </c>
      <c r="EC92" s="167">
        <v>4000</v>
      </c>
      <c r="ED92" s="167">
        <v>4000</v>
      </c>
      <c r="EE92" s="167">
        <v>4000</v>
      </c>
      <c r="EF92" s="167">
        <v>4000</v>
      </c>
      <c r="EG92" s="167">
        <v>4000</v>
      </c>
      <c r="EH92" s="167">
        <v>4000</v>
      </c>
      <c r="EI92" s="167">
        <v>4000</v>
      </c>
      <c r="EJ92" s="167">
        <v>4000</v>
      </c>
      <c r="EK92" s="167">
        <v>4000</v>
      </c>
      <c r="EL92" s="167">
        <v>4000</v>
      </c>
      <c r="EM92" s="167">
        <v>4000</v>
      </c>
      <c r="EN92" s="167">
        <v>4000</v>
      </c>
      <c r="EO92" s="167">
        <v>4000</v>
      </c>
      <c r="EP92" t="str">
        <f t="shared" si="1"/>
        <v>1y 397d</v>
      </c>
    </row>
    <row r="93" spans="2:146" x14ac:dyDescent="0.25">
      <c r="B93" s="9">
        <v>90</v>
      </c>
      <c r="D93">
        <v>8191154.6915233703</v>
      </c>
      <c r="E93" s="12">
        <v>-10465037234.610834</v>
      </c>
      <c r="F93" s="12">
        <v>8685542623.6319275</v>
      </c>
      <c r="G93" s="12">
        <v>0</v>
      </c>
      <c r="H93" s="12">
        <v>15226245.068450943</v>
      </c>
      <c r="I93" s="12">
        <v>2180946703.2573595</v>
      </c>
      <c r="J93" s="12">
        <v>-21405944052.46513</v>
      </c>
      <c r="K93" s="12">
        <v>14387613.118855063</v>
      </c>
      <c r="L93" s="12">
        <v>5021051.0242169397</v>
      </c>
      <c r="M93" s="12">
        <v>-18857861324.799107</v>
      </c>
      <c r="N93" s="12">
        <v>4977842304.8045559</v>
      </c>
      <c r="O93" s="12"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S93" s="6">
        <v>17962189.305110078</v>
      </c>
      <c r="AT93" s="167">
        <v>4000</v>
      </c>
      <c r="AU93" s="167">
        <v>4000</v>
      </c>
      <c r="AV93" s="167">
        <v>4000</v>
      </c>
      <c r="AW93" s="167">
        <v>4000</v>
      </c>
      <c r="AX93" s="167">
        <v>4000</v>
      </c>
      <c r="AY93" s="167">
        <v>4000</v>
      </c>
      <c r="AZ93" s="167">
        <v>4000</v>
      </c>
      <c r="BA93" s="167">
        <v>4000</v>
      </c>
      <c r="BB93" s="167">
        <v>4000</v>
      </c>
      <c r="BC93" s="167">
        <v>4000</v>
      </c>
      <c r="BD93" s="167">
        <v>4000</v>
      </c>
      <c r="BE93" s="167">
        <v>4000</v>
      </c>
      <c r="BF93" s="167">
        <v>4000</v>
      </c>
      <c r="BG93" s="167">
        <v>4000</v>
      </c>
      <c r="BH93" s="167">
        <v>4000</v>
      </c>
      <c r="BI93" s="167">
        <v>4000</v>
      </c>
      <c r="BJ93" s="167">
        <v>4000</v>
      </c>
      <c r="BK93" s="167">
        <v>4000</v>
      </c>
      <c r="BL93" s="167">
        <v>4000</v>
      </c>
      <c r="BM93" s="167">
        <v>4000</v>
      </c>
      <c r="BN93" s="167">
        <v>4000</v>
      </c>
      <c r="BO93" s="167">
        <v>4000</v>
      </c>
      <c r="BP93" s="167">
        <v>4000</v>
      </c>
      <c r="BQ93" s="167">
        <v>4000</v>
      </c>
      <c r="BR93" s="167">
        <v>4000</v>
      </c>
      <c r="BS93" s="167">
        <v>4000</v>
      </c>
      <c r="BT93" s="167">
        <v>4000</v>
      </c>
      <c r="BU93" s="167">
        <v>4000</v>
      </c>
      <c r="BV93" s="167">
        <v>4000</v>
      </c>
      <c r="BW93" s="167">
        <v>4000</v>
      </c>
      <c r="BX93" s="167">
        <v>4000</v>
      </c>
      <c r="BY93" s="167">
        <v>4000</v>
      </c>
      <c r="BZ93" s="167">
        <v>4000</v>
      </c>
      <c r="CA93" s="167">
        <v>4000</v>
      </c>
      <c r="CB93" s="167">
        <v>4000</v>
      </c>
      <c r="CC93" s="167">
        <v>4000</v>
      </c>
      <c r="CD93" s="167">
        <v>4000</v>
      </c>
      <c r="CE93" s="167">
        <v>4000</v>
      </c>
      <c r="CF93" s="167">
        <v>4000</v>
      </c>
      <c r="CG93" s="167">
        <v>4000</v>
      </c>
      <c r="CH93" s="167">
        <v>4000</v>
      </c>
      <c r="CI93" s="167">
        <v>4000</v>
      </c>
      <c r="CJ93" s="167">
        <v>4000</v>
      </c>
      <c r="CK93" s="167">
        <v>4000</v>
      </c>
      <c r="CL93" s="167">
        <v>4000</v>
      </c>
      <c r="CM93" s="167">
        <v>4000</v>
      </c>
      <c r="CN93" s="167">
        <v>4000</v>
      </c>
      <c r="CO93" s="167">
        <v>4000</v>
      </c>
      <c r="CP93" s="167">
        <v>4000</v>
      </c>
      <c r="CQ93" s="167">
        <v>4000</v>
      </c>
      <c r="CR93" s="167">
        <v>4000</v>
      </c>
      <c r="CS93" s="167">
        <v>4000</v>
      </c>
      <c r="CT93" s="167">
        <v>4000</v>
      </c>
      <c r="CU93" s="167">
        <v>4000</v>
      </c>
      <c r="CV93" s="167">
        <v>4000</v>
      </c>
      <c r="CW93" s="167">
        <v>4000</v>
      </c>
      <c r="CX93" s="167">
        <v>4000</v>
      </c>
      <c r="CY93" s="167">
        <v>4000</v>
      </c>
      <c r="CZ93" s="167">
        <v>4000</v>
      </c>
      <c r="DA93" s="167">
        <v>4000</v>
      </c>
      <c r="DB93" s="167">
        <v>4000</v>
      </c>
      <c r="DC93" s="167">
        <v>4000</v>
      </c>
      <c r="DD93" s="167">
        <v>4000</v>
      </c>
      <c r="DE93" s="167">
        <v>4000</v>
      </c>
      <c r="DF93" s="167">
        <v>4000</v>
      </c>
      <c r="DG93" s="167">
        <v>4000</v>
      </c>
      <c r="DH93" s="167">
        <v>4000</v>
      </c>
      <c r="DI93" s="167">
        <v>4000</v>
      </c>
      <c r="DJ93" s="167">
        <v>4000</v>
      </c>
      <c r="DK93" s="167">
        <v>4000</v>
      </c>
      <c r="DL93" s="167">
        <v>4000</v>
      </c>
      <c r="DM93" s="167">
        <v>4000</v>
      </c>
      <c r="DN93" s="167">
        <v>4000</v>
      </c>
      <c r="DO93" s="167">
        <v>4000</v>
      </c>
      <c r="DP93" s="167">
        <v>4000</v>
      </c>
      <c r="DQ93" s="167">
        <v>4000</v>
      </c>
      <c r="DR93" s="167">
        <v>4000</v>
      </c>
      <c r="DS93" s="167">
        <v>4000</v>
      </c>
      <c r="DT93" s="167">
        <v>4000</v>
      </c>
      <c r="DU93" s="167">
        <v>4000</v>
      </c>
      <c r="DV93" s="167">
        <v>4000</v>
      </c>
      <c r="DW93" s="167">
        <v>4000</v>
      </c>
      <c r="DX93" s="167">
        <v>4000</v>
      </c>
      <c r="DY93" s="167">
        <v>4000</v>
      </c>
      <c r="DZ93" s="167">
        <v>4000</v>
      </c>
      <c r="EA93" s="167">
        <v>4000</v>
      </c>
      <c r="EB93" s="167">
        <v>4000</v>
      </c>
      <c r="EC93" s="167">
        <v>4000</v>
      </c>
      <c r="ED93" s="167">
        <v>4000</v>
      </c>
      <c r="EE93" s="167">
        <v>4000</v>
      </c>
      <c r="EF93" s="167">
        <v>4000</v>
      </c>
      <c r="EG93" s="167">
        <v>4000</v>
      </c>
      <c r="EH93" s="167">
        <v>4000</v>
      </c>
      <c r="EI93" s="167">
        <v>4000</v>
      </c>
      <c r="EJ93" s="167">
        <v>4000</v>
      </c>
      <c r="EK93" s="167">
        <v>4000</v>
      </c>
      <c r="EL93" s="167">
        <v>4000</v>
      </c>
      <c r="EM93" s="167">
        <v>4000</v>
      </c>
      <c r="EN93" s="167">
        <v>4000</v>
      </c>
      <c r="EO93" s="167">
        <v>4000</v>
      </c>
      <c r="EP93" t="str">
        <f t="shared" si="1"/>
        <v>1y 405d</v>
      </c>
    </row>
    <row r="94" spans="2:146" x14ac:dyDescent="0.25">
      <c r="B94" s="9">
        <v>91</v>
      </c>
      <c r="D94">
        <v>8283190.1374955429</v>
      </c>
      <c r="E94" s="12">
        <v>-10989756607.870537</v>
      </c>
      <c r="F94" s="12">
        <v>8011298564.4328594</v>
      </c>
      <c r="G94" s="12">
        <v>0</v>
      </c>
      <c r="H94" s="12">
        <v>15413492.87055829</v>
      </c>
      <c r="I94" s="12">
        <v>3527957607.9800596</v>
      </c>
      <c r="J94" s="12">
        <v>-21270317624.412712</v>
      </c>
      <c r="K94" s="12">
        <v>13297618.265184235</v>
      </c>
      <c r="L94" s="12">
        <v>5105877.6293551875</v>
      </c>
      <c r="M94" s="12">
        <v>-19063973328.063385</v>
      </c>
      <c r="N94" s="12">
        <v>4412350143.8629932</v>
      </c>
      <c r="O94" s="12"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S94" s="6">
        <v>18141058.066534132</v>
      </c>
      <c r="AT94" s="167">
        <v>4000</v>
      </c>
      <c r="AU94" s="167">
        <v>4000</v>
      </c>
      <c r="AV94" s="167">
        <v>4000</v>
      </c>
      <c r="AW94" s="167">
        <v>4000</v>
      </c>
      <c r="AX94" s="167">
        <v>4000</v>
      </c>
      <c r="AY94" s="167">
        <v>4000</v>
      </c>
      <c r="AZ94" s="167">
        <v>4000</v>
      </c>
      <c r="BA94" s="167">
        <v>4000</v>
      </c>
      <c r="BB94" s="167">
        <v>4000</v>
      </c>
      <c r="BC94" s="167">
        <v>4000</v>
      </c>
      <c r="BD94" s="167">
        <v>4000</v>
      </c>
      <c r="BE94" s="167">
        <v>4000</v>
      </c>
      <c r="BF94" s="167">
        <v>4000</v>
      </c>
      <c r="BG94" s="167">
        <v>4000</v>
      </c>
      <c r="BH94" s="167">
        <v>4000</v>
      </c>
      <c r="BI94" s="167">
        <v>4000</v>
      </c>
      <c r="BJ94" s="167">
        <v>4000</v>
      </c>
      <c r="BK94" s="167">
        <v>4000</v>
      </c>
      <c r="BL94" s="167">
        <v>4000</v>
      </c>
      <c r="BM94" s="167">
        <v>4000</v>
      </c>
      <c r="BN94" s="167">
        <v>4000</v>
      </c>
      <c r="BO94" s="167">
        <v>4000</v>
      </c>
      <c r="BP94" s="167">
        <v>4000</v>
      </c>
      <c r="BQ94" s="167">
        <v>4000</v>
      </c>
      <c r="BR94" s="167">
        <v>4000</v>
      </c>
      <c r="BS94" s="167">
        <v>4000</v>
      </c>
      <c r="BT94" s="167">
        <v>4000</v>
      </c>
      <c r="BU94" s="167">
        <v>4000</v>
      </c>
      <c r="BV94" s="167">
        <v>4000</v>
      </c>
      <c r="BW94" s="167">
        <v>4000</v>
      </c>
      <c r="BX94" s="167">
        <v>4000</v>
      </c>
      <c r="BY94" s="167">
        <v>4000</v>
      </c>
      <c r="BZ94" s="167">
        <v>4000</v>
      </c>
      <c r="CA94" s="167">
        <v>4000</v>
      </c>
      <c r="CB94" s="167">
        <v>4000</v>
      </c>
      <c r="CC94" s="167">
        <v>4000</v>
      </c>
      <c r="CD94" s="167">
        <v>4000</v>
      </c>
      <c r="CE94" s="167">
        <v>4000</v>
      </c>
      <c r="CF94" s="167">
        <v>4000</v>
      </c>
      <c r="CG94" s="167">
        <v>4000</v>
      </c>
      <c r="CH94" s="167">
        <v>4000</v>
      </c>
      <c r="CI94" s="167">
        <v>4000</v>
      </c>
      <c r="CJ94" s="167">
        <v>4000</v>
      </c>
      <c r="CK94" s="167">
        <v>4000</v>
      </c>
      <c r="CL94" s="167">
        <v>4000</v>
      </c>
      <c r="CM94" s="167">
        <v>4000</v>
      </c>
      <c r="CN94" s="167">
        <v>4000</v>
      </c>
      <c r="CO94" s="167">
        <v>4000</v>
      </c>
      <c r="CP94" s="167">
        <v>4000</v>
      </c>
      <c r="CQ94" s="167">
        <v>4000</v>
      </c>
      <c r="CR94" s="167">
        <v>4000</v>
      </c>
      <c r="CS94" s="167">
        <v>4000</v>
      </c>
      <c r="CT94" s="167">
        <v>4000</v>
      </c>
      <c r="CU94" s="167">
        <v>4000</v>
      </c>
      <c r="CV94" s="167">
        <v>4000</v>
      </c>
      <c r="CW94" s="167">
        <v>4000</v>
      </c>
      <c r="CX94" s="167">
        <v>4000</v>
      </c>
      <c r="CY94" s="167">
        <v>4000</v>
      </c>
      <c r="CZ94" s="167">
        <v>4000</v>
      </c>
      <c r="DA94" s="167">
        <v>4000</v>
      </c>
      <c r="DB94" s="167">
        <v>4000</v>
      </c>
      <c r="DC94" s="167">
        <v>4000</v>
      </c>
      <c r="DD94" s="167">
        <v>4000</v>
      </c>
      <c r="DE94" s="167">
        <v>4000</v>
      </c>
      <c r="DF94" s="167">
        <v>4000</v>
      </c>
      <c r="DG94" s="167">
        <v>4000</v>
      </c>
      <c r="DH94" s="167">
        <v>4000</v>
      </c>
      <c r="DI94" s="167">
        <v>4000</v>
      </c>
      <c r="DJ94" s="167">
        <v>4000</v>
      </c>
      <c r="DK94" s="167">
        <v>4000</v>
      </c>
      <c r="DL94" s="167">
        <v>4000</v>
      </c>
      <c r="DM94" s="167">
        <v>4000</v>
      </c>
      <c r="DN94" s="167">
        <v>4000</v>
      </c>
      <c r="DO94" s="167">
        <v>4000</v>
      </c>
      <c r="DP94" s="167">
        <v>4000</v>
      </c>
      <c r="DQ94" s="167">
        <v>4000</v>
      </c>
      <c r="DR94" s="167">
        <v>4000</v>
      </c>
      <c r="DS94" s="167">
        <v>4000</v>
      </c>
      <c r="DT94" s="167">
        <v>4000</v>
      </c>
      <c r="DU94" s="167">
        <v>4000</v>
      </c>
      <c r="DV94" s="167">
        <v>4000</v>
      </c>
      <c r="DW94" s="167">
        <v>4000</v>
      </c>
      <c r="DX94" s="167">
        <v>4000</v>
      </c>
      <c r="DY94" s="167">
        <v>4000</v>
      </c>
      <c r="DZ94" s="167">
        <v>4000</v>
      </c>
      <c r="EA94" s="167">
        <v>4000</v>
      </c>
      <c r="EB94" s="167">
        <v>4000</v>
      </c>
      <c r="EC94" s="167">
        <v>4000</v>
      </c>
      <c r="ED94" s="167">
        <v>4000</v>
      </c>
      <c r="EE94" s="167">
        <v>4000</v>
      </c>
      <c r="EF94" s="167">
        <v>4000</v>
      </c>
      <c r="EG94" s="167">
        <v>4000</v>
      </c>
      <c r="EH94" s="167">
        <v>4000</v>
      </c>
      <c r="EI94" s="167">
        <v>4000</v>
      </c>
      <c r="EJ94" s="167">
        <v>4000</v>
      </c>
      <c r="EK94" s="167">
        <v>4000</v>
      </c>
      <c r="EL94" s="167">
        <v>4000</v>
      </c>
      <c r="EM94" s="167">
        <v>4000</v>
      </c>
      <c r="EN94" s="167">
        <v>4000</v>
      </c>
      <c r="EO94" s="167">
        <v>4000</v>
      </c>
      <c r="EP94" t="str">
        <f t="shared" si="1"/>
        <v>1y 414d</v>
      </c>
    </row>
    <row r="95" spans="2:146" x14ac:dyDescent="0.25">
      <c r="B95" s="9">
        <v>92</v>
      </c>
      <c r="D95">
        <v>8375225.5834677154</v>
      </c>
      <c r="E95" s="12">
        <v>-11471104432.541191</v>
      </c>
      <c r="F95" s="12">
        <v>7305437569.8141432</v>
      </c>
      <c r="G95" s="12">
        <v>0</v>
      </c>
      <c r="H95" s="12">
        <v>15601478.978316825</v>
      </c>
      <c r="I95" s="12">
        <v>4865728699.9859829</v>
      </c>
      <c r="J95" s="12">
        <v>-21046438644.356331</v>
      </c>
      <c r="K95" s="12">
        <v>12148488.246783076</v>
      </c>
      <c r="L95" s="12">
        <v>5191247.3735203771</v>
      </c>
      <c r="M95" s="12">
        <v>-19249736398.621773</v>
      </c>
      <c r="N95" s="12">
        <v>3838222344.1516218</v>
      </c>
      <c r="O95" s="12"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S95" s="6">
        <v>18319926.827958185</v>
      </c>
      <c r="AT95" s="167">
        <v>4000</v>
      </c>
      <c r="AU95" s="167">
        <v>4000</v>
      </c>
      <c r="AV95" s="167">
        <v>4000</v>
      </c>
      <c r="AW95" s="167">
        <v>4000</v>
      </c>
      <c r="AX95" s="167">
        <v>4000</v>
      </c>
      <c r="AY95" s="167">
        <v>4000</v>
      </c>
      <c r="AZ95" s="167">
        <v>4000</v>
      </c>
      <c r="BA95" s="167">
        <v>4000</v>
      </c>
      <c r="BB95" s="167">
        <v>4000</v>
      </c>
      <c r="BC95" s="167">
        <v>4000</v>
      </c>
      <c r="BD95" s="167">
        <v>4000</v>
      </c>
      <c r="BE95" s="167">
        <v>4000</v>
      </c>
      <c r="BF95" s="167">
        <v>4000</v>
      </c>
      <c r="BG95" s="167">
        <v>4000</v>
      </c>
      <c r="BH95" s="167">
        <v>4000</v>
      </c>
      <c r="BI95" s="167">
        <v>4000</v>
      </c>
      <c r="BJ95" s="167">
        <v>4000</v>
      </c>
      <c r="BK95" s="167">
        <v>4000</v>
      </c>
      <c r="BL95" s="167">
        <v>4000</v>
      </c>
      <c r="BM95" s="167">
        <v>4000</v>
      </c>
      <c r="BN95" s="167">
        <v>4000</v>
      </c>
      <c r="BO95" s="167">
        <v>4000</v>
      </c>
      <c r="BP95" s="167">
        <v>4000</v>
      </c>
      <c r="BQ95" s="167">
        <v>4000</v>
      </c>
      <c r="BR95" s="167">
        <v>4000</v>
      </c>
      <c r="BS95" s="167">
        <v>4000</v>
      </c>
      <c r="BT95" s="167">
        <v>4000</v>
      </c>
      <c r="BU95" s="167">
        <v>4000</v>
      </c>
      <c r="BV95" s="167">
        <v>4000</v>
      </c>
      <c r="BW95" s="167">
        <v>4000</v>
      </c>
      <c r="BX95" s="167">
        <v>4000</v>
      </c>
      <c r="BY95" s="167">
        <v>4000</v>
      </c>
      <c r="BZ95" s="167">
        <v>4000</v>
      </c>
      <c r="CA95" s="167">
        <v>4000</v>
      </c>
      <c r="CB95" s="167">
        <v>4000</v>
      </c>
      <c r="CC95" s="167">
        <v>4000</v>
      </c>
      <c r="CD95" s="167">
        <v>4000</v>
      </c>
      <c r="CE95" s="167">
        <v>4000</v>
      </c>
      <c r="CF95" s="167">
        <v>4000</v>
      </c>
      <c r="CG95" s="167">
        <v>4000</v>
      </c>
      <c r="CH95" s="167">
        <v>4000</v>
      </c>
      <c r="CI95" s="167">
        <v>4000</v>
      </c>
      <c r="CJ95" s="167">
        <v>4000</v>
      </c>
      <c r="CK95" s="167">
        <v>4000</v>
      </c>
      <c r="CL95" s="167">
        <v>4000</v>
      </c>
      <c r="CM95" s="167">
        <v>4000</v>
      </c>
      <c r="CN95" s="167">
        <v>4000</v>
      </c>
      <c r="CO95" s="167">
        <v>4000</v>
      </c>
      <c r="CP95" s="167">
        <v>4000</v>
      </c>
      <c r="CQ95" s="167">
        <v>4000</v>
      </c>
      <c r="CR95" s="167">
        <v>4000</v>
      </c>
      <c r="CS95" s="167">
        <v>4000</v>
      </c>
      <c r="CT95" s="167">
        <v>4000</v>
      </c>
      <c r="CU95" s="167">
        <v>4000</v>
      </c>
      <c r="CV95" s="167">
        <v>4000</v>
      </c>
      <c r="CW95" s="167">
        <v>4000</v>
      </c>
      <c r="CX95" s="167">
        <v>4000</v>
      </c>
      <c r="CY95" s="167">
        <v>4000</v>
      </c>
      <c r="CZ95" s="167">
        <v>4000</v>
      </c>
      <c r="DA95" s="167">
        <v>4000</v>
      </c>
      <c r="DB95" s="167">
        <v>4000</v>
      </c>
      <c r="DC95" s="167">
        <v>4000</v>
      </c>
      <c r="DD95" s="167">
        <v>4000</v>
      </c>
      <c r="DE95" s="167">
        <v>4000</v>
      </c>
      <c r="DF95" s="167">
        <v>4000</v>
      </c>
      <c r="DG95" s="167">
        <v>4000</v>
      </c>
      <c r="DH95" s="167">
        <v>4000</v>
      </c>
      <c r="DI95" s="167">
        <v>4000</v>
      </c>
      <c r="DJ95" s="167">
        <v>4000</v>
      </c>
      <c r="DK95" s="167">
        <v>4000</v>
      </c>
      <c r="DL95" s="167">
        <v>4000</v>
      </c>
      <c r="DM95" s="167">
        <v>4000</v>
      </c>
      <c r="DN95" s="167">
        <v>4000</v>
      </c>
      <c r="DO95" s="167">
        <v>4000</v>
      </c>
      <c r="DP95" s="167">
        <v>4000</v>
      </c>
      <c r="DQ95" s="167">
        <v>4000</v>
      </c>
      <c r="DR95" s="167">
        <v>4000</v>
      </c>
      <c r="DS95" s="167">
        <v>4000</v>
      </c>
      <c r="DT95" s="167">
        <v>4000</v>
      </c>
      <c r="DU95" s="167">
        <v>4000</v>
      </c>
      <c r="DV95" s="167">
        <v>4000</v>
      </c>
      <c r="DW95" s="167">
        <v>4000</v>
      </c>
      <c r="DX95" s="167">
        <v>4000</v>
      </c>
      <c r="DY95" s="167">
        <v>4000</v>
      </c>
      <c r="DZ95" s="167">
        <v>4000</v>
      </c>
      <c r="EA95" s="167">
        <v>4000</v>
      </c>
      <c r="EB95" s="167">
        <v>4000</v>
      </c>
      <c r="EC95" s="167">
        <v>4000</v>
      </c>
      <c r="ED95" s="167">
        <v>4000</v>
      </c>
      <c r="EE95" s="167">
        <v>4000</v>
      </c>
      <c r="EF95" s="167">
        <v>4000</v>
      </c>
      <c r="EG95" s="167">
        <v>4000</v>
      </c>
      <c r="EH95" s="167">
        <v>4000</v>
      </c>
      <c r="EI95" s="167">
        <v>4000</v>
      </c>
      <c r="EJ95" s="167">
        <v>4000</v>
      </c>
      <c r="EK95" s="167">
        <v>4000</v>
      </c>
      <c r="EL95" s="167">
        <v>4000</v>
      </c>
      <c r="EM95" s="167">
        <v>4000</v>
      </c>
      <c r="EN95" s="167">
        <v>4000</v>
      </c>
      <c r="EO95" s="167">
        <v>4000</v>
      </c>
      <c r="EP95" t="str">
        <f t="shared" si="1"/>
        <v>1y 422d</v>
      </c>
    </row>
    <row r="96" spans="2:146" x14ac:dyDescent="0.25">
      <c r="B96" s="9">
        <v>93</v>
      </c>
      <c r="D96">
        <v>8467261.029439887</v>
      </c>
      <c r="E96" s="12">
        <v>-11907181048.66571</v>
      </c>
      <c r="F96" s="12">
        <v>6570745350.6443472</v>
      </c>
      <c r="G96" s="12">
        <v>0</v>
      </c>
      <c r="H96" s="12">
        <v>15790142.132121745</v>
      </c>
      <c r="I96" s="12">
        <v>6188215798.5765905</v>
      </c>
      <c r="J96" s="12">
        <v>-20734810391.189671</v>
      </c>
      <c r="K96" s="12">
        <v>10945035.342527136</v>
      </c>
      <c r="L96" s="12">
        <v>5277131.6351507297</v>
      </c>
      <c r="M96" s="12">
        <v>-19414675519.698532</v>
      </c>
      <c r="N96" s="12">
        <v>3256259326.0151033</v>
      </c>
      <c r="O96" s="12"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S96" s="6">
        <v>18498795.589382239</v>
      </c>
      <c r="AT96" s="167">
        <v>4000</v>
      </c>
      <c r="AU96" s="167">
        <v>4000</v>
      </c>
      <c r="AV96" s="167">
        <v>4000</v>
      </c>
      <c r="AW96" s="167">
        <v>4000</v>
      </c>
      <c r="AX96" s="167">
        <v>4000</v>
      </c>
      <c r="AY96" s="167">
        <v>4000</v>
      </c>
      <c r="AZ96" s="167">
        <v>4000</v>
      </c>
      <c r="BA96" s="167">
        <v>4000</v>
      </c>
      <c r="BB96" s="167">
        <v>4000</v>
      </c>
      <c r="BC96" s="167">
        <v>4000</v>
      </c>
      <c r="BD96" s="167">
        <v>4000</v>
      </c>
      <c r="BE96" s="167">
        <v>4000</v>
      </c>
      <c r="BF96" s="167">
        <v>4000</v>
      </c>
      <c r="BG96" s="167">
        <v>4000</v>
      </c>
      <c r="BH96" s="167">
        <v>4000</v>
      </c>
      <c r="BI96" s="167">
        <v>4000</v>
      </c>
      <c r="BJ96" s="167">
        <v>4000</v>
      </c>
      <c r="BK96" s="167">
        <v>4000</v>
      </c>
      <c r="BL96" s="167">
        <v>4000</v>
      </c>
      <c r="BM96" s="167">
        <v>4000</v>
      </c>
      <c r="BN96" s="167">
        <v>4000</v>
      </c>
      <c r="BO96" s="167">
        <v>4000</v>
      </c>
      <c r="BP96" s="167">
        <v>4000</v>
      </c>
      <c r="BQ96" s="167">
        <v>4000</v>
      </c>
      <c r="BR96" s="167">
        <v>4000</v>
      </c>
      <c r="BS96" s="167">
        <v>4000</v>
      </c>
      <c r="BT96" s="167">
        <v>4000</v>
      </c>
      <c r="BU96" s="167">
        <v>4000</v>
      </c>
      <c r="BV96" s="167">
        <v>4000</v>
      </c>
      <c r="BW96" s="167">
        <v>4000</v>
      </c>
      <c r="BX96" s="167">
        <v>4000</v>
      </c>
      <c r="BY96" s="167">
        <v>4000</v>
      </c>
      <c r="BZ96" s="167">
        <v>4000</v>
      </c>
      <c r="CA96" s="167">
        <v>4000</v>
      </c>
      <c r="CB96" s="167">
        <v>4000</v>
      </c>
      <c r="CC96" s="167">
        <v>4000</v>
      </c>
      <c r="CD96" s="167">
        <v>4000</v>
      </c>
      <c r="CE96" s="167">
        <v>4000</v>
      </c>
      <c r="CF96" s="167">
        <v>4000</v>
      </c>
      <c r="CG96" s="167">
        <v>4000</v>
      </c>
      <c r="CH96" s="167">
        <v>4000</v>
      </c>
      <c r="CI96" s="167">
        <v>4000</v>
      </c>
      <c r="CJ96" s="167">
        <v>4000</v>
      </c>
      <c r="CK96" s="167">
        <v>4000</v>
      </c>
      <c r="CL96" s="167">
        <v>4000</v>
      </c>
      <c r="CM96" s="167">
        <v>4000</v>
      </c>
      <c r="CN96" s="167">
        <v>4000</v>
      </c>
      <c r="CO96" s="167">
        <v>4000</v>
      </c>
      <c r="CP96" s="167">
        <v>4000</v>
      </c>
      <c r="CQ96" s="167">
        <v>4000</v>
      </c>
      <c r="CR96" s="167">
        <v>4000</v>
      </c>
      <c r="CS96" s="167">
        <v>4000</v>
      </c>
      <c r="CT96" s="167">
        <v>4000</v>
      </c>
      <c r="CU96" s="167">
        <v>4000</v>
      </c>
      <c r="CV96" s="167">
        <v>4000</v>
      </c>
      <c r="CW96" s="167">
        <v>4000</v>
      </c>
      <c r="CX96" s="167">
        <v>4000</v>
      </c>
      <c r="CY96" s="167">
        <v>4000</v>
      </c>
      <c r="CZ96" s="167">
        <v>4000</v>
      </c>
      <c r="DA96" s="167">
        <v>4000</v>
      </c>
      <c r="DB96" s="167">
        <v>4000</v>
      </c>
      <c r="DC96" s="167">
        <v>4000</v>
      </c>
      <c r="DD96" s="167">
        <v>4000</v>
      </c>
      <c r="DE96" s="167">
        <v>4000</v>
      </c>
      <c r="DF96" s="167">
        <v>4000</v>
      </c>
      <c r="DG96" s="167">
        <v>4000</v>
      </c>
      <c r="DH96" s="167">
        <v>4000</v>
      </c>
      <c r="DI96" s="167">
        <v>4000</v>
      </c>
      <c r="DJ96" s="167">
        <v>4000</v>
      </c>
      <c r="DK96" s="167">
        <v>4000</v>
      </c>
      <c r="DL96" s="167">
        <v>4000</v>
      </c>
      <c r="DM96" s="167">
        <v>4000</v>
      </c>
      <c r="DN96" s="167">
        <v>4000</v>
      </c>
      <c r="DO96" s="167">
        <v>4000</v>
      </c>
      <c r="DP96" s="167">
        <v>4000</v>
      </c>
      <c r="DQ96" s="167">
        <v>4000</v>
      </c>
      <c r="DR96" s="167">
        <v>4000</v>
      </c>
      <c r="DS96" s="167">
        <v>4000</v>
      </c>
      <c r="DT96" s="167">
        <v>4000</v>
      </c>
      <c r="DU96" s="167">
        <v>4000</v>
      </c>
      <c r="DV96" s="167">
        <v>4000</v>
      </c>
      <c r="DW96" s="167">
        <v>4000</v>
      </c>
      <c r="DX96" s="167">
        <v>4000</v>
      </c>
      <c r="DY96" s="167">
        <v>4000</v>
      </c>
      <c r="DZ96" s="167">
        <v>4000</v>
      </c>
      <c r="EA96" s="167">
        <v>4000</v>
      </c>
      <c r="EB96" s="167">
        <v>4000</v>
      </c>
      <c r="EC96" s="167">
        <v>4000</v>
      </c>
      <c r="ED96" s="167">
        <v>4000</v>
      </c>
      <c r="EE96" s="167">
        <v>4000</v>
      </c>
      <c r="EF96" s="167">
        <v>4000</v>
      </c>
      <c r="EG96" s="167">
        <v>4000</v>
      </c>
      <c r="EH96" s="167">
        <v>4000</v>
      </c>
      <c r="EI96" s="167">
        <v>4000</v>
      </c>
      <c r="EJ96" s="167">
        <v>4000</v>
      </c>
      <c r="EK96" s="167">
        <v>4000</v>
      </c>
      <c r="EL96" s="167">
        <v>4000</v>
      </c>
      <c r="EM96" s="167">
        <v>4000</v>
      </c>
      <c r="EN96" s="167">
        <v>4000</v>
      </c>
      <c r="EO96" s="167">
        <v>4000</v>
      </c>
      <c r="EP96" t="str">
        <f t="shared" si="1"/>
        <v>2y 4d</v>
      </c>
    </row>
    <row r="97" spans="2:146" x14ac:dyDescent="0.25">
      <c r="B97" s="9">
        <v>94</v>
      </c>
      <c r="D97">
        <v>8559296.4754120596</v>
      </c>
      <c r="E97" s="12">
        <v>-12296265461.064732</v>
      </c>
      <c r="F97" s="12">
        <v>5810121401.4635439</v>
      </c>
      <c r="G97" s="12">
        <v>0</v>
      </c>
      <c r="H97" s="12">
        <v>15979417.34836131</v>
      </c>
      <c r="I97" s="12">
        <v>7489389113.0106964</v>
      </c>
      <c r="J97" s="12">
        <v>-20336384626.260082</v>
      </c>
      <c r="K97" s="12">
        <v>9692396.2471979503</v>
      </c>
      <c r="L97" s="12">
        <v>5363500.4486444341</v>
      </c>
      <c r="M97" s="12">
        <v>-19558353491.08696</v>
      </c>
      <c r="N97" s="12">
        <v>2667291218.6659813</v>
      </c>
      <c r="O97" s="12"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S97" s="6">
        <v>18677664.350806292</v>
      </c>
      <c r="AT97" s="167">
        <v>4000</v>
      </c>
      <c r="AU97" s="167">
        <v>4000</v>
      </c>
      <c r="AV97" s="167">
        <v>4000</v>
      </c>
      <c r="AW97" s="167">
        <v>4000</v>
      </c>
      <c r="AX97" s="167">
        <v>4000</v>
      </c>
      <c r="AY97" s="167">
        <v>4000</v>
      </c>
      <c r="AZ97" s="167">
        <v>4000</v>
      </c>
      <c r="BA97" s="167">
        <v>4000</v>
      </c>
      <c r="BB97" s="167">
        <v>4000</v>
      </c>
      <c r="BC97" s="167">
        <v>4000</v>
      </c>
      <c r="BD97" s="167">
        <v>4000</v>
      </c>
      <c r="BE97" s="167">
        <v>4000</v>
      </c>
      <c r="BF97" s="167">
        <v>4000</v>
      </c>
      <c r="BG97" s="167">
        <v>4000</v>
      </c>
      <c r="BH97" s="167">
        <v>4000</v>
      </c>
      <c r="BI97" s="167">
        <v>4000</v>
      </c>
      <c r="BJ97" s="167">
        <v>4000</v>
      </c>
      <c r="BK97" s="167">
        <v>4000</v>
      </c>
      <c r="BL97" s="167">
        <v>4000</v>
      </c>
      <c r="BM97" s="167">
        <v>4000</v>
      </c>
      <c r="BN97" s="167">
        <v>4000</v>
      </c>
      <c r="BO97" s="167">
        <v>4000</v>
      </c>
      <c r="BP97" s="167">
        <v>4000</v>
      </c>
      <c r="BQ97" s="167">
        <v>4000</v>
      </c>
      <c r="BR97" s="167">
        <v>4000</v>
      </c>
      <c r="BS97" s="167">
        <v>4000</v>
      </c>
      <c r="BT97" s="167">
        <v>4000</v>
      </c>
      <c r="BU97" s="167">
        <v>4000</v>
      </c>
      <c r="BV97" s="167">
        <v>4000</v>
      </c>
      <c r="BW97" s="167">
        <v>4000</v>
      </c>
      <c r="BX97" s="167">
        <v>4000</v>
      </c>
      <c r="BY97" s="167">
        <v>4000</v>
      </c>
      <c r="BZ97" s="167">
        <v>4000</v>
      </c>
      <c r="CA97" s="167">
        <v>4000</v>
      </c>
      <c r="CB97" s="167">
        <v>4000</v>
      </c>
      <c r="CC97" s="167">
        <v>4000</v>
      </c>
      <c r="CD97" s="167">
        <v>4000</v>
      </c>
      <c r="CE97" s="167">
        <v>4000</v>
      </c>
      <c r="CF97" s="167">
        <v>4000</v>
      </c>
      <c r="CG97" s="167">
        <v>4000</v>
      </c>
      <c r="CH97" s="167">
        <v>4000</v>
      </c>
      <c r="CI97" s="167">
        <v>4000</v>
      </c>
      <c r="CJ97" s="167">
        <v>4000</v>
      </c>
      <c r="CK97" s="167">
        <v>4000</v>
      </c>
      <c r="CL97" s="167">
        <v>4000</v>
      </c>
      <c r="CM97" s="167">
        <v>4000</v>
      </c>
      <c r="CN97" s="167">
        <v>4000</v>
      </c>
      <c r="CO97" s="167">
        <v>4000</v>
      </c>
      <c r="CP97" s="167">
        <v>4000</v>
      </c>
      <c r="CQ97" s="167">
        <v>4000</v>
      </c>
      <c r="CR97" s="167">
        <v>4000</v>
      </c>
      <c r="CS97" s="167">
        <v>4000</v>
      </c>
      <c r="CT97" s="167">
        <v>4000</v>
      </c>
      <c r="CU97" s="167">
        <v>4000</v>
      </c>
      <c r="CV97" s="167">
        <v>4000</v>
      </c>
      <c r="CW97" s="167">
        <v>4000</v>
      </c>
      <c r="CX97" s="167">
        <v>4000</v>
      </c>
      <c r="CY97" s="167">
        <v>4000</v>
      </c>
      <c r="CZ97" s="167">
        <v>4000</v>
      </c>
      <c r="DA97" s="167">
        <v>4000</v>
      </c>
      <c r="DB97" s="167">
        <v>4000</v>
      </c>
      <c r="DC97" s="167">
        <v>4000</v>
      </c>
      <c r="DD97" s="167">
        <v>4000</v>
      </c>
      <c r="DE97" s="167">
        <v>4000</v>
      </c>
      <c r="DF97" s="167">
        <v>4000</v>
      </c>
      <c r="DG97" s="167">
        <v>4000</v>
      </c>
      <c r="DH97" s="167">
        <v>4000</v>
      </c>
      <c r="DI97" s="167">
        <v>4000</v>
      </c>
      <c r="DJ97" s="167">
        <v>4000</v>
      </c>
      <c r="DK97" s="167">
        <v>4000</v>
      </c>
      <c r="DL97" s="167">
        <v>4000</v>
      </c>
      <c r="DM97" s="167">
        <v>4000</v>
      </c>
      <c r="DN97" s="167">
        <v>4000</v>
      </c>
      <c r="DO97" s="167">
        <v>4000</v>
      </c>
      <c r="DP97" s="167">
        <v>4000</v>
      </c>
      <c r="DQ97" s="167">
        <v>4000</v>
      </c>
      <c r="DR97" s="167">
        <v>4000</v>
      </c>
      <c r="DS97" s="167">
        <v>4000</v>
      </c>
      <c r="DT97" s="167">
        <v>4000</v>
      </c>
      <c r="DU97" s="167">
        <v>4000</v>
      </c>
      <c r="DV97" s="167">
        <v>4000</v>
      </c>
      <c r="DW97" s="167">
        <v>4000</v>
      </c>
      <c r="DX97" s="167">
        <v>4000</v>
      </c>
      <c r="DY97" s="167">
        <v>4000</v>
      </c>
      <c r="DZ97" s="167">
        <v>4000</v>
      </c>
      <c r="EA97" s="167">
        <v>4000</v>
      </c>
      <c r="EB97" s="167">
        <v>4000</v>
      </c>
      <c r="EC97" s="167">
        <v>4000</v>
      </c>
      <c r="ED97" s="167">
        <v>4000</v>
      </c>
      <c r="EE97" s="167">
        <v>4000</v>
      </c>
      <c r="EF97" s="167">
        <v>4000</v>
      </c>
      <c r="EG97" s="167">
        <v>4000</v>
      </c>
      <c r="EH97" s="167">
        <v>4000</v>
      </c>
      <c r="EI97" s="167">
        <v>4000</v>
      </c>
      <c r="EJ97" s="167">
        <v>4000</v>
      </c>
      <c r="EK97" s="167">
        <v>4000</v>
      </c>
      <c r="EL97" s="167">
        <v>4000</v>
      </c>
      <c r="EM97" s="167">
        <v>4000</v>
      </c>
      <c r="EN97" s="167">
        <v>4000</v>
      </c>
      <c r="EO97" s="167">
        <v>4000</v>
      </c>
      <c r="EP97" t="str">
        <f t="shared" si="1"/>
        <v>2y 13d</v>
      </c>
    </row>
    <row r="98" spans="2:146" x14ac:dyDescent="0.25">
      <c r="B98" s="9">
        <v>95</v>
      </c>
      <c r="D98">
        <v>8651331.921384234</v>
      </c>
      <c r="E98" s="12">
        <v>-12636822131.318272</v>
      </c>
      <c r="F98" s="12">
        <v>5026567557.5031204</v>
      </c>
      <c r="G98" s="12">
        <v>0</v>
      </c>
      <c r="H98" s="12">
        <v>16169236.233658846</v>
      </c>
      <c r="I98" s="12">
        <v>8763270947.4603348</v>
      </c>
      <c r="J98" s="12">
        <v>-19852563617.048054</v>
      </c>
      <c r="K98" s="12">
        <v>8396005.9079101682</v>
      </c>
      <c r="L98" s="12">
        <v>5450322.5617571007</v>
      </c>
      <c r="M98" s="12">
        <v>-19680373241.831036</v>
      </c>
      <c r="N98" s="12">
        <v>2072175764.1048214</v>
      </c>
      <c r="O98" s="12"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S98" s="6">
        <v>18856533.112230346</v>
      </c>
      <c r="AT98" s="167">
        <v>4000</v>
      </c>
      <c r="AU98" s="167">
        <v>4000</v>
      </c>
      <c r="AV98" s="167">
        <v>4000</v>
      </c>
      <c r="AW98" s="167">
        <v>4000</v>
      </c>
      <c r="AX98" s="167">
        <v>4000</v>
      </c>
      <c r="AY98" s="167">
        <v>4000</v>
      </c>
      <c r="AZ98" s="167">
        <v>4000</v>
      </c>
      <c r="BA98" s="167">
        <v>4000</v>
      </c>
      <c r="BB98" s="167">
        <v>4000</v>
      </c>
      <c r="BC98" s="167">
        <v>4000</v>
      </c>
      <c r="BD98" s="167">
        <v>4000</v>
      </c>
      <c r="BE98" s="167">
        <v>4000</v>
      </c>
      <c r="BF98" s="167">
        <v>4000</v>
      </c>
      <c r="BG98" s="167">
        <v>4000</v>
      </c>
      <c r="BH98" s="167">
        <v>4000</v>
      </c>
      <c r="BI98" s="167">
        <v>4000</v>
      </c>
      <c r="BJ98" s="167">
        <v>4000</v>
      </c>
      <c r="BK98" s="167">
        <v>4000</v>
      </c>
      <c r="BL98" s="167">
        <v>4000</v>
      </c>
      <c r="BM98" s="167">
        <v>4000</v>
      </c>
      <c r="BN98" s="167">
        <v>4000</v>
      </c>
      <c r="BO98" s="167">
        <v>4000</v>
      </c>
      <c r="BP98" s="167">
        <v>4000</v>
      </c>
      <c r="BQ98" s="167">
        <v>4000</v>
      </c>
      <c r="BR98" s="167">
        <v>4000</v>
      </c>
      <c r="BS98" s="167">
        <v>4000</v>
      </c>
      <c r="BT98" s="167">
        <v>4000</v>
      </c>
      <c r="BU98" s="167">
        <v>4000</v>
      </c>
      <c r="BV98" s="167">
        <v>4000</v>
      </c>
      <c r="BW98" s="167">
        <v>4000</v>
      </c>
      <c r="BX98" s="167">
        <v>4000</v>
      </c>
      <c r="BY98" s="167">
        <v>4000</v>
      </c>
      <c r="BZ98" s="167">
        <v>4000</v>
      </c>
      <c r="CA98" s="167">
        <v>4000</v>
      </c>
      <c r="CB98" s="167">
        <v>4000</v>
      </c>
      <c r="CC98" s="167">
        <v>4000</v>
      </c>
      <c r="CD98" s="167">
        <v>4000</v>
      </c>
      <c r="CE98" s="167">
        <v>4000</v>
      </c>
      <c r="CF98" s="167">
        <v>4000</v>
      </c>
      <c r="CG98" s="167">
        <v>4000</v>
      </c>
      <c r="CH98" s="167">
        <v>4000</v>
      </c>
      <c r="CI98" s="167">
        <v>4000</v>
      </c>
      <c r="CJ98" s="167">
        <v>4000</v>
      </c>
      <c r="CK98" s="167">
        <v>4000</v>
      </c>
      <c r="CL98" s="167">
        <v>4000</v>
      </c>
      <c r="CM98" s="167">
        <v>4000</v>
      </c>
      <c r="CN98" s="167">
        <v>4000</v>
      </c>
      <c r="CO98" s="167">
        <v>4000</v>
      </c>
      <c r="CP98" s="167">
        <v>4000</v>
      </c>
      <c r="CQ98" s="167">
        <v>4000</v>
      </c>
      <c r="CR98" s="167">
        <v>4000</v>
      </c>
      <c r="CS98" s="167">
        <v>4000</v>
      </c>
      <c r="CT98" s="167">
        <v>4000</v>
      </c>
      <c r="CU98" s="167">
        <v>4000</v>
      </c>
      <c r="CV98" s="167">
        <v>4000</v>
      </c>
      <c r="CW98" s="167">
        <v>4000</v>
      </c>
      <c r="CX98" s="167">
        <v>4000</v>
      </c>
      <c r="CY98" s="167">
        <v>4000</v>
      </c>
      <c r="CZ98" s="167">
        <v>4000</v>
      </c>
      <c r="DA98" s="167">
        <v>4000</v>
      </c>
      <c r="DB98" s="167">
        <v>4000</v>
      </c>
      <c r="DC98" s="167">
        <v>4000</v>
      </c>
      <c r="DD98" s="167">
        <v>4000</v>
      </c>
      <c r="DE98" s="167">
        <v>4000</v>
      </c>
      <c r="DF98" s="167">
        <v>4000</v>
      </c>
      <c r="DG98" s="167">
        <v>4000</v>
      </c>
      <c r="DH98" s="167">
        <v>4000</v>
      </c>
      <c r="DI98" s="167">
        <v>4000</v>
      </c>
      <c r="DJ98" s="167">
        <v>4000</v>
      </c>
      <c r="DK98" s="167">
        <v>4000</v>
      </c>
      <c r="DL98" s="167">
        <v>4000</v>
      </c>
      <c r="DM98" s="167">
        <v>4000</v>
      </c>
      <c r="DN98" s="167">
        <v>4000</v>
      </c>
      <c r="DO98" s="167">
        <v>4000</v>
      </c>
      <c r="DP98" s="167">
        <v>4000</v>
      </c>
      <c r="DQ98" s="167">
        <v>4000</v>
      </c>
      <c r="DR98" s="167">
        <v>4000</v>
      </c>
      <c r="DS98" s="167">
        <v>4000</v>
      </c>
      <c r="DT98" s="167">
        <v>4000</v>
      </c>
      <c r="DU98" s="167">
        <v>4000</v>
      </c>
      <c r="DV98" s="167">
        <v>4000</v>
      </c>
      <c r="DW98" s="167">
        <v>4000</v>
      </c>
      <c r="DX98" s="167">
        <v>4000</v>
      </c>
      <c r="DY98" s="167">
        <v>4000</v>
      </c>
      <c r="DZ98" s="167">
        <v>4000</v>
      </c>
      <c r="EA98" s="167">
        <v>4000</v>
      </c>
      <c r="EB98" s="167">
        <v>4000</v>
      </c>
      <c r="EC98" s="167">
        <v>4000</v>
      </c>
      <c r="ED98" s="167">
        <v>4000</v>
      </c>
      <c r="EE98" s="167">
        <v>4000</v>
      </c>
      <c r="EF98" s="167">
        <v>4000</v>
      </c>
      <c r="EG98" s="167">
        <v>4000</v>
      </c>
      <c r="EH98" s="167">
        <v>4000</v>
      </c>
      <c r="EI98" s="167">
        <v>4000</v>
      </c>
      <c r="EJ98" s="167">
        <v>4000</v>
      </c>
      <c r="EK98" s="167">
        <v>4000</v>
      </c>
      <c r="EL98" s="167">
        <v>4000</v>
      </c>
      <c r="EM98" s="167">
        <v>4000</v>
      </c>
      <c r="EN98" s="167">
        <v>4000</v>
      </c>
      <c r="EO98" s="167">
        <v>4000</v>
      </c>
      <c r="EP98" t="str">
        <f t="shared" si="1"/>
        <v>2y 21d</v>
      </c>
    </row>
    <row r="99" spans="2:146" x14ac:dyDescent="0.25">
      <c r="B99" s="9">
        <v>96</v>
      </c>
      <c r="D99">
        <v>8743367.3673564065</v>
      </c>
      <c r="E99" s="12">
        <v>-12927507037.834364</v>
      </c>
      <c r="F99" s="12">
        <v>4223176147.8135314</v>
      </c>
      <c r="G99" s="12">
        <v>0</v>
      </c>
      <c r="H99" s="12">
        <v>16359527.331410486</v>
      </c>
      <c r="I99" s="12">
        <v>10003973962.843672</v>
      </c>
      <c r="J99" s="12">
        <v>-19285198439.042198</v>
      </c>
      <c r="K99" s="12">
        <v>7061568.1719267229</v>
      </c>
      <c r="L99" s="12">
        <v>5537565.5001916885</v>
      </c>
      <c r="M99" s="12">
        <v>-19780380004.196896</v>
      </c>
      <c r="N99" s="12">
        <v>1471796024.466774</v>
      </c>
      <c r="O99" s="12"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S99" s="6">
        <v>19035401.873654399</v>
      </c>
      <c r="AT99" s="167">
        <v>4000</v>
      </c>
      <c r="AU99" s="167">
        <v>4000</v>
      </c>
      <c r="AV99" s="167">
        <v>4000</v>
      </c>
      <c r="AW99" s="167">
        <v>4000</v>
      </c>
      <c r="AX99" s="167">
        <v>4000</v>
      </c>
      <c r="AY99" s="167">
        <v>4000</v>
      </c>
      <c r="AZ99" s="167">
        <v>4000</v>
      </c>
      <c r="BA99" s="167">
        <v>4000</v>
      </c>
      <c r="BB99" s="167">
        <v>4000</v>
      </c>
      <c r="BC99" s="167">
        <v>4000</v>
      </c>
      <c r="BD99" s="167">
        <v>4000</v>
      </c>
      <c r="BE99" s="167">
        <v>4000</v>
      </c>
      <c r="BF99" s="167">
        <v>4000</v>
      </c>
      <c r="BG99" s="167">
        <v>4000</v>
      </c>
      <c r="BH99" s="167">
        <v>4000</v>
      </c>
      <c r="BI99" s="167">
        <v>4000</v>
      </c>
      <c r="BJ99" s="167">
        <v>4000</v>
      </c>
      <c r="BK99" s="167">
        <v>4000</v>
      </c>
      <c r="BL99" s="167">
        <v>4000</v>
      </c>
      <c r="BM99" s="167">
        <v>4000</v>
      </c>
      <c r="BN99" s="167">
        <v>4000</v>
      </c>
      <c r="BO99" s="167">
        <v>4000</v>
      </c>
      <c r="BP99" s="167">
        <v>4000</v>
      </c>
      <c r="BQ99" s="167">
        <v>4000</v>
      </c>
      <c r="BR99" s="167">
        <v>4000</v>
      </c>
      <c r="BS99" s="167">
        <v>4000</v>
      </c>
      <c r="BT99" s="167">
        <v>4000</v>
      </c>
      <c r="BU99" s="167">
        <v>4000</v>
      </c>
      <c r="BV99" s="167">
        <v>4000</v>
      </c>
      <c r="BW99" s="167">
        <v>4000</v>
      </c>
      <c r="BX99" s="167">
        <v>4000</v>
      </c>
      <c r="BY99" s="167">
        <v>4000</v>
      </c>
      <c r="BZ99" s="167">
        <v>4000</v>
      </c>
      <c r="CA99" s="167">
        <v>4000</v>
      </c>
      <c r="CB99" s="167">
        <v>4000</v>
      </c>
      <c r="CC99" s="167">
        <v>4000</v>
      </c>
      <c r="CD99" s="167">
        <v>4000</v>
      </c>
      <c r="CE99" s="167">
        <v>4000</v>
      </c>
      <c r="CF99" s="167">
        <v>4000</v>
      </c>
      <c r="CG99" s="167">
        <v>4000</v>
      </c>
      <c r="CH99" s="167">
        <v>4000</v>
      </c>
      <c r="CI99" s="167">
        <v>4000</v>
      </c>
      <c r="CJ99" s="167">
        <v>4000</v>
      </c>
      <c r="CK99" s="167">
        <v>4000</v>
      </c>
      <c r="CL99" s="167">
        <v>4000</v>
      </c>
      <c r="CM99" s="167">
        <v>4000</v>
      </c>
      <c r="CN99" s="167">
        <v>4000</v>
      </c>
      <c r="CO99" s="167">
        <v>4000</v>
      </c>
      <c r="CP99" s="167">
        <v>4000</v>
      </c>
      <c r="CQ99" s="167">
        <v>4000</v>
      </c>
      <c r="CR99" s="167">
        <v>4000</v>
      </c>
      <c r="CS99" s="167">
        <v>4000</v>
      </c>
      <c r="CT99" s="167">
        <v>4000</v>
      </c>
      <c r="CU99" s="167">
        <v>4000</v>
      </c>
      <c r="CV99" s="167">
        <v>4000</v>
      </c>
      <c r="CW99" s="167">
        <v>4000</v>
      </c>
      <c r="CX99" s="167">
        <v>4000</v>
      </c>
      <c r="CY99" s="167">
        <v>4000</v>
      </c>
      <c r="CZ99" s="167">
        <v>4000</v>
      </c>
      <c r="DA99" s="167">
        <v>4000</v>
      </c>
      <c r="DB99" s="167">
        <v>4000</v>
      </c>
      <c r="DC99" s="167">
        <v>4000</v>
      </c>
      <c r="DD99" s="167">
        <v>4000</v>
      </c>
      <c r="DE99" s="167">
        <v>4000</v>
      </c>
      <c r="DF99" s="167">
        <v>4000</v>
      </c>
      <c r="DG99" s="167">
        <v>4000</v>
      </c>
      <c r="DH99" s="167">
        <v>4000</v>
      </c>
      <c r="DI99" s="167">
        <v>4000</v>
      </c>
      <c r="DJ99" s="167">
        <v>4000</v>
      </c>
      <c r="DK99" s="167">
        <v>4000</v>
      </c>
      <c r="DL99" s="167">
        <v>4000</v>
      </c>
      <c r="DM99" s="167">
        <v>4000</v>
      </c>
      <c r="DN99" s="167">
        <v>4000</v>
      </c>
      <c r="DO99" s="167">
        <v>4000</v>
      </c>
      <c r="DP99" s="167">
        <v>4000</v>
      </c>
      <c r="DQ99" s="167">
        <v>4000</v>
      </c>
      <c r="DR99" s="167">
        <v>4000</v>
      </c>
      <c r="DS99" s="167">
        <v>4000</v>
      </c>
      <c r="DT99" s="167">
        <v>4000</v>
      </c>
      <c r="DU99" s="167">
        <v>4000</v>
      </c>
      <c r="DV99" s="167">
        <v>4000</v>
      </c>
      <c r="DW99" s="167">
        <v>4000</v>
      </c>
      <c r="DX99" s="167">
        <v>4000</v>
      </c>
      <c r="DY99" s="167">
        <v>4000</v>
      </c>
      <c r="DZ99" s="167">
        <v>4000</v>
      </c>
      <c r="EA99" s="167">
        <v>4000</v>
      </c>
      <c r="EB99" s="167">
        <v>4000</v>
      </c>
      <c r="EC99" s="167">
        <v>4000</v>
      </c>
      <c r="ED99" s="167">
        <v>4000</v>
      </c>
      <c r="EE99" s="167">
        <v>4000</v>
      </c>
      <c r="EF99" s="167">
        <v>4000</v>
      </c>
      <c r="EG99" s="167">
        <v>4000</v>
      </c>
      <c r="EH99" s="167">
        <v>4000</v>
      </c>
      <c r="EI99" s="167">
        <v>4000</v>
      </c>
      <c r="EJ99" s="167">
        <v>4000</v>
      </c>
      <c r="EK99" s="167">
        <v>4000</v>
      </c>
      <c r="EL99" s="167">
        <v>4000</v>
      </c>
      <c r="EM99" s="167">
        <v>4000</v>
      </c>
      <c r="EN99" s="167">
        <v>4000</v>
      </c>
      <c r="EO99" s="167">
        <v>4000</v>
      </c>
      <c r="EP99" t="str">
        <f t="shared" si="1"/>
        <v>2y 29d</v>
      </c>
    </row>
    <row r="100" spans="2:146" x14ac:dyDescent="0.25">
      <c r="B100" s="9">
        <v>97</v>
      </c>
      <c r="D100">
        <v>8835402.8133285791</v>
      </c>
      <c r="E100" s="12">
        <v>-13167172980.088301</v>
      </c>
      <c r="F100" s="12">
        <v>3403117791.2541795</v>
      </c>
      <c r="G100" s="12">
        <v>0</v>
      </c>
      <c r="H100" s="12">
        <v>16550216.498019559</v>
      </c>
      <c r="I100" s="12">
        <v>11205739561.259283</v>
      </c>
      <c r="J100" s="12">
        <v>-18636583453.885395</v>
      </c>
      <c r="K100" s="12">
        <v>5695023.4884876199</v>
      </c>
      <c r="L100" s="12">
        <v>5625195.6391821709</v>
      </c>
      <c r="M100" s="12">
        <v>-19858063329.182117</v>
      </c>
      <c r="N100" s="12">
        <v>867057903.16981208</v>
      </c>
      <c r="O100" s="12"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S100" s="6">
        <v>19214270.635078453</v>
      </c>
      <c r="AT100" s="167">
        <v>4000</v>
      </c>
      <c r="AU100" s="167">
        <v>4000</v>
      </c>
      <c r="AV100" s="167">
        <v>4000</v>
      </c>
      <c r="AW100" s="167">
        <v>4000</v>
      </c>
      <c r="AX100" s="167">
        <v>4000</v>
      </c>
      <c r="AY100" s="167">
        <v>4000</v>
      </c>
      <c r="AZ100" s="167">
        <v>4000</v>
      </c>
      <c r="BA100" s="167">
        <v>4000</v>
      </c>
      <c r="BB100" s="167">
        <v>4000</v>
      </c>
      <c r="BC100" s="167">
        <v>4000</v>
      </c>
      <c r="BD100" s="167">
        <v>4000</v>
      </c>
      <c r="BE100" s="167">
        <v>4000</v>
      </c>
      <c r="BF100" s="167">
        <v>4000</v>
      </c>
      <c r="BG100" s="167">
        <v>4000</v>
      </c>
      <c r="BH100" s="167">
        <v>4000</v>
      </c>
      <c r="BI100" s="167">
        <v>4000</v>
      </c>
      <c r="BJ100" s="167">
        <v>4000</v>
      </c>
      <c r="BK100" s="167">
        <v>4000</v>
      </c>
      <c r="BL100" s="167">
        <v>4000</v>
      </c>
      <c r="BM100" s="167">
        <v>4000</v>
      </c>
      <c r="BN100" s="167">
        <v>4000</v>
      </c>
      <c r="BO100" s="167">
        <v>4000</v>
      </c>
      <c r="BP100" s="167">
        <v>4000</v>
      </c>
      <c r="BQ100" s="167">
        <v>4000</v>
      </c>
      <c r="BR100" s="167">
        <v>4000</v>
      </c>
      <c r="BS100" s="167">
        <v>4000</v>
      </c>
      <c r="BT100" s="167">
        <v>4000</v>
      </c>
      <c r="BU100" s="167">
        <v>4000</v>
      </c>
      <c r="BV100" s="167">
        <v>4000</v>
      </c>
      <c r="BW100" s="167">
        <v>4000</v>
      </c>
      <c r="BX100" s="167">
        <v>4000</v>
      </c>
      <c r="BY100" s="167">
        <v>4000</v>
      </c>
      <c r="BZ100" s="167">
        <v>4000</v>
      </c>
      <c r="CA100" s="167">
        <v>4000</v>
      </c>
      <c r="CB100" s="167">
        <v>4000</v>
      </c>
      <c r="CC100" s="167">
        <v>4000</v>
      </c>
      <c r="CD100" s="167">
        <v>4000</v>
      </c>
      <c r="CE100" s="167">
        <v>4000</v>
      </c>
      <c r="CF100" s="167">
        <v>4000</v>
      </c>
      <c r="CG100" s="167">
        <v>4000</v>
      </c>
      <c r="CH100" s="167">
        <v>4000</v>
      </c>
      <c r="CI100" s="167">
        <v>4000</v>
      </c>
      <c r="CJ100" s="167">
        <v>4000</v>
      </c>
      <c r="CK100" s="167">
        <v>4000</v>
      </c>
      <c r="CL100" s="167">
        <v>4000</v>
      </c>
      <c r="CM100" s="167">
        <v>4000</v>
      </c>
      <c r="CN100" s="167">
        <v>4000</v>
      </c>
      <c r="CO100" s="167">
        <v>4000</v>
      </c>
      <c r="CP100" s="167">
        <v>4000</v>
      </c>
      <c r="CQ100" s="167">
        <v>4000</v>
      </c>
      <c r="CR100" s="167">
        <v>4000</v>
      </c>
      <c r="CS100" s="167">
        <v>4000</v>
      </c>
      <c r="CT100" s="167">
        <v>4000</v>
      </c>
      <c r="CU100" s="167">
        <v>4000</v>
      </c>
      <c r="CV100" s="167">
        <v>4000</v>
      </c>
      <c r="CW100" s="167">
        <v>4000</v>
      </c>
      <c r="CX100" s="167">
        <v>4000</v>
      </c>
      <c r="CY100" s="167">
        <v>4000</v>
      </c>
      <c r="CZ100" s="167">
        <v>4000</v>
      </c>
      <c r="DA100" s="167">
        <v>4000</v>
      </c>
      <c r="DB100" s="167">
        <v>4000</v>
      </c>
      <c r="DC100" s="167">
        <v>4000</v>
      </c>
      <c r="DD100" s="167">
        <v>4000</v>
      </c>
      <c r="DE100" s="167">
        <v>4000</v>
      </c>
      <c r="DF100" s="167">
        <v>4000</v>
      </c>
      <c r="DG100" s="167">
        <v>4000</v>
      </c>
      <c r="DH100" s="167">
        <v>4000</v>
      </c>
      <c r="DI100" s="167">
        <v>4000</v>
      </c>
      <c r="DJ100" s="167">
        <v>4000</v>
      </c>
      <c r="DK100" s="167">
        <v>4000</v>
      </c>
      <c r="DL100" s="167">
        <v>4000</v>
      </c>
      <c r="DM100" s="167">
        <v>4000</v>
      </c>
      <c r="DN100" s="167">
        <v>4000</v>
      </c>
      <c r="DO100" s="167">
        <v>4000</v>
      </c>
      <c r="DP100" s="167">
        <v>4000</v>
      </c>
      <c r="DQ100" s="167">
        <v>4000</v>
      </c>
      <c r="DR100" s="167">
        <v>4000</v>
      </c>
      <c r="DS100" s="167">
        <v>4000</v>
      </c>
      <c r="DT100" s="167">
        <v>4000</v>
      </c>
      <c r="DU100" s="167">
        <v>4000</v>
      </c>
      <c r="DV100" s="167">
        <v>4000</v>
      </c>
      <c r="DW100" s="167">
        <v>4000</v>
      </c>
      <c r="DX100" s="167">
        <v>4000</v>
      </c>
      <c r="DY100" s="167">
        <v>4000</v>
      </c>
      <c r="DZ100" s="167">
        <v>4000</v>
      </c>
      <c r="EA100" s="167">
        <v>4000</v>
      </c>
      <c r="EB100" s="167">
        <v>4000</v>
      </c>
      <c r="EC100" s="167">
        <v>4000</v>
      </c>
      <c r="ED100" s="167">
        <v>4000</v>
      </c>
      <c r="EE100" s="167">
        <v>4000</v>
      </c>
      <c r="EF100" s="167">
        <v>4000</v>
      </c>
      <c r="EG100" s="167">
        <v>4000</v>
      </c>
      <c r="EH100" s="167">
        <v>4000</v>
      </c>
      <c r="EI100" s="167">
        <v>4000</v>
      </c>
      <c r="EJ100" s="167">
        <v>4000</v>
      </c>
      <c r="EK100" s="167">
        <v>4000</v>
      </c>
      <c r="EL100" s="167">
        <v>4000</v>
      </c>
      <c r="EM100" s="167">
        <v>4000</v>
      </c>
      <c r="EN100" s="167">
        <v>4000</v>
      </c>
      <c r="EO100" s="167">
        <v>4000</v>
      </c>
      <c r="EP100" t="str">
        <f t="shared" si="1"/>
        <v>2y 37d</v>
      </c>
    </row>
    <row r="101" spans="2:146" x14ac:dyDescent="0.25">
      <c r="B101" s="9">
        <v>98</v>
      </c>
      <c r="D101">
        <v>8927438.2593007516</v>
      </c>
      <c r="E101" s="12">
        <v>-13354874106.098961</v>
      </c>
      <c r="F101" s="12">
        <v>2569628883.5093775</v>
      </c>
      <c r="G101" s="12">
        <v>0</v>
      </c>
      <c r="H101" s="12">
        <v>16741227.305706339</v>
      </c>
      <c r="I101" s="12">
        <v>12362975941.602037</v>
      </c>
      <c r="J101" s="12">
        <v>-17909446920.5527</v>
      </c>
      <c r="K101" s="12">
        <v>4302513.9636941338</v>
      </c>
      <c r="L101" s="12">
        <v>5713178.2818035632</v>
      </c>
      <c r="M101" s="12">
        <v>-19913158924.670109</v>
      </c>
      <c r="N101" s="12">
        <v>258887492.35924393</v>
      </c>
      <c r="O101" s="12"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S101" s="6">
        <v>19393139.396502506</v>
      </c>
      <c r="AT101" s="167">
        <v>4000</v>
      </c>
      <c r="AU101" s="167">
        <v>4000</v>
      </c>
      <c r="AV101" s="167">
        <v>4000</v>
      </c>
      <c r="AW101" s="167">
        <v>4000</v>
      </c>
      <c r="AX101" s="167">
        <v>4000</v>
      </c>
      <c r="AY101" s="167">
        <v>4000</v>
      </c>
      <c r="AZ101" s="167">
        <v>4000</v>
      </c>
      <c r="BA101" s="167">
        <v>4000</v>
      </c>
      <c r="BB101" s="167">
        <v>4000</v>
      </c>
      <c r="BC101" s="167">
        <v>4000</v>
      </c>
      <c r="BD101" s="167">
        <v>4000</v>
      </c>
      <c r="BE101" s="167">
        <v>4000</v>
      </c>
      <c r="BF101" s="167">
        <v>4000</v>
      </c>
      <c r="BG101" s="167">
        <v>4000</v>
      </c>
      <c r="BH101" s="167">
        <v>4000</v>
      </c>
      <c r="BI101" s="167">
        <v>4000</v>
      </c>
      <c r="BJ101" s="167">
        <v>4000</v>
      </c>
      <c r="BK101" s="167">
        <v>4000</v>
      </c>
      <c r="BL101" s="167">
        <v>4000</v>
      </c>
      <c r="BM101" s="167">
        <v>4000</v>
      </c>
      <c r="BN101" s="167">
        <v>4000</v>
      </c>
      <c r="BO101" s="167">
        <v>4000</v>
      </c>
      <c r="BP101" s="167">
        <v>4000</v>
      </c>
      <c r="BQ101" s="167">
        <v>4000</v>
      </c>
      <c r="BR101" s="167">
        <v>4000</v>
      </c>
      <c r="BS101" s="167">
        <v>4000</v>
      </c>
      <c r="BT101" s="167">
        <v>4000</v>
      </c>
      <c r="BU101" s="167">
        <v>4000</v>
      </c>
      <c r="BV101" s="167">
        <v>4000</v>
      </c>
      <c r="BW101" s="167">
        <v>4000</v>
      </c>
      <c r="BX101" s="167">
        <v>4000</v>
      </c>
      <c r="BY101" s="167">
        <v>4000</v>
      </c>
      <c r="BZ101" s="167">
        <v>4000</v>
      </c>
      <c r="CA101" s="167">
        <v>4000</v>
      </c>
      <c r="CB101" s="167">
        <v>4000</v>
      </c>
      <c r="CC101" s="167">
        <v>4000</v>
      </c>
      <c r="CD101" s="167">
        <v>4000</v>
      </c>
      <c r="CE101" s="167">
        <v>4000</v>
      </c>
      <c r="CF101" s="167">
        <v>4000</v>
      </c>
      <c r="CG101" s="167">
        <v>4000</v>
      </c>
      <c r="CH101" s="167">
        <v>4000</v>
      </c>
      <c r="CI101" s="167">
        <v>4000</v>
      </c>
      <c r="CJ101" s="167">
        <v>4000</v>
      </c>
      <c r="CK101" s="167">
        <v>4000</v>
      </c>
      <c r="CL101" s="167">
        <v>4000</v>
      </c>
      <c r="CM101" s="167">
        <v>4000</v>
      </c>
      <c r="CN101" s="167">
        <v>4000</v>
      </c>
      <c r="CO101" s="167">
        <v>4000</v>
      </c>
      <c r="CP101" s="167">
        <v>4000</v>
      </c>
      <c r="CQ101" s="167">
        <v>4000</v>
      </c>
      <c r="CR101" s="167">
        <v>4000</v>
      </c>
      <c r="CS101" s="167">
        <v>4000</v>
      </c>
      <c r="CT101" s="167">
        <v>4000</v>
      </c>
      <c r="CU101" s="167">
        <v>4000</v>
      </c>
      <c r="CV101" s="167">
        <v>4000</v>
      </c>
      <c r="CW101" s="167">
        <v>4000</v>
      </c>
      <c r="CX101" s="167">
        <v>4000</v>
      </c>
      <c r="CY101" s="167">
        <v>4000</v>
      </c>
      <c r="CZ101" s="167">
        <v>4000</v>
      </c>
      <c r="DA101" s="167">
        <v>4000</v>
      </c>
      <c r="DB101" s="167">
        <v>4000</v>
      </c>
      <c r="DC101" s="167">
        <v>4000</v>
      </c>
      <c r="DD101" s="167">
        <v>4000</v>
      </c>
      <c r="DE101" s="167">
        <v>4000</v>
      </c>
      <c r="DF101" s="167">
        <v>4000</v>
      </c>
      <c r="DG101" s="167">
        <v>4000</v>
      </c>
      <c r="DH101" s="167">
        <v>4000</v>
      </c>
      <c r="DI101" s="167">
        <v>4000</v>
      </c>
      <c r="DJ101" s="167">
        <v>4000</v>
      </c>
      <c r="DK101" s="167">
        <v>4000</v>
      </c>
      <c r="DL101" s="167">
        <v>4000</v>
      </c>
      <c r="DM101" s="167">
        <v>4000</v>
      </c>
      <c r="DN101" s="167">
        <v>4000</v>
      </c>
      <c r="DO101" s="167">
        <v>4000</v>
      </c>
      <c r="DP101" s="167">
        <v>4000</v>
      </c>
      <c r="DQ101" s="167">
        <v>4000</v>
      </c>
      <c r="DR101" s="167">
        <v>4000</v>
      </c>
      <c r="DS101" s="167">
        <v>4000</v>
      </c>
      <c r="DT101" s="167">
        <v>4000</v>
      </c>
      <c r="DU101" s="167">
        <v>4000</v>
      </c>
      <c r="DV101" s="167">
        <v>4000</v>
      </c>
      <c r="DW101" s="167">
        <v>4000</v>
      </c>
      <c r="DX101" s="167">
        <v>4000</v>
      </c>
      <c r="DY101" s="167">
        <v>4000</v>
      </c>
      <c r="DZ101" s="167">
        <v>4000</v>
      </c>
      <c r="EA101" s="167">
        <v>4000</v>
      </c>
      <c r="EB101" s="167">
        <v>4000</v>
      </c>
      <c r="EC101" s="167">
        <v>4000</v>
      </c>
      <c r="ED101" s="167">
        <v>4000</v>
      </c>
      <c r="EE101" s="167">
        <v>4000</v>
      </c>
      <c r="EF101" s="167">
        <v>4000</v>
      </c>
      <c r="EG101" s="167">
        <v>4000</v>
      </c>
      <c r="EH101" s="167">
        <v>4000</v>
      </c>
      <c r="EI101" s="167">
        <v>4000</v>
      </c>
      <c r="EJ101" s="167">
        <v>4000</v>
      </c>
      <c r="EK101" s="167">
        <v>4000</v>
      </c>
      <c r="EL101" s="167">
        <v>4000</v>
      </c>
      <c r="EM101" s="167">
        <v>4000</v>
      </c>
      <c r="EN101" s="167">
        <v>4000</v>
      </c>
      <c r="EO101" s="167">
        <v>4000</v>
      </c>
      <c r="EP101" t="str">
        <f t="shared" si="1"/>
        <v>2y 46d</v>
      </c>
    </row>
    <row r="102" spans="2:146" x14ac:dyDescent="0.25">
      <c r="B102" s="9">
        <v>99</v>
      </c>
      <c r="D102">
        <v>9019473.7052729242</v>
      </c>
      <c r="E102" s="12">
        <v>-13489869645.274466</v>
      </c>
      <c r="F102" s="12">
        <v>1725998824.5131323</v>
      </c>
      <c r="G102" s="12">
        <v>0</v>
      </c>
      <c r="H102" s="12">
        <v>16932481.468291786</v>
      </c>
      <c r="I102" s="12">
        <v>13470295366.780109</v>
      </c>
      <c r="J102" s="12">
        <v>-17106937757.963875</v>
      </c>
      <c r="K102" s="12">
        <v>2890346.1195215755</v>
      </c>
      <c r="L102" s="12">
        <v>5801477.7436729567</v>
      </c>
      <c r="M102" s="12">
        <v>-19945450298.458069</v>
      </c>
      <c r="N102" s="12">
        <v>-351771738.80760157</v>
      </c>
      <c r="O102" s="12"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S102" s="6">
        <v>19572008.157926559</v>
      </c>
      <c r="AT102" s="167">
        <v>4000</v>
      </c>
      <c r="AU102" s="167">
        <v>4000</v>
      </c>
      <c r="AV102" s="167">
        <v>4000</v>
      </c>
      <c r="AW102" s="167">
        <v>4000</v>
      </c>
      <c r="AX102" s="167">
        <v>4000</v>
      </c>
      <c r="AY102" s="167">
        <v>4000</v>
      </c>
      <c r="AZ102" s="167">
        <v>4000</v>
      </c>
      <c r="BA102" s="167">
        <v>4000</v>
      </c>
      <c r="BB102" s="167">
        <v>4000</v>
      </c>
      <c r="BC102" s="167">
        <v>4000</v>
      </c>
      <c r="BD102" s="167">
        <v>4000</v>
      </c>
      <c r="BE102" s="167">
        <v>4000</v>
      </c>
      <c r="BF102" s="167">
        <v>4000</v>
      </c>
      <c r="BG102" s="167">
        <v>4000</v>
      </c>
      <c r="BH102" s="167">
        <v>4000</v>
      </c>
      <c r="BI102" s="167">
        <v>4000</v>
      </c>
      <c r="BJ102" s="167">
        <v>4000</v>
      </c>
      <c r="BK102" s="167">
        <v>4000</v>
      </c>
      <c r="BL102" s="167">
        <v>4000</v>
      </c>
      <c r="BM102" s="167">
        <v>4000</v>
      </c>
      <c r="BN102" s="167">
        <v>4000</v>
      </c>
      <c r="BO102" s="167">
        <v>4000</v>
      </c>
      <c r="BP102" s="167">
        <v>4000</v>
      </c>
      <c r="BQ102" s="167">
        <v>4000</v>
      </c>
      <c r="BR102" s="167">
        <v>4000</v>
      </c>
      <c r="BS102" s="167">
        <v>4000</v>
      </c>
      <c r="BT102" s="167">
        <v>4000</v>
      </c>
      <c r="BU102" s="167">
        <v>4000</v>
      </c>
      <c r="BV102" s="167">
        <v>4000</v>
      </c>
      <c r="BW102" s="167">
        <v>4000</v>
      </c>
      <c r="BX102" s="167">
        <v>4000</v>
      </c>
      <c r="BY102" s="167">
        <v>4000</v>
      </c>
      <c r="BZ102" s="167">
        <v>4000</v>
      </c>
      <c r="CA102" s="167">
        <v>4000</v>
      </c>
      <c r="CB102" s="167">
        <v>4000</v>
      </c>
      <c r="CC102" s="167">
        <v>4000</v>
      </c>
      <c r="CD102" s="167">
        <v>4000</v>
      </c>
      <c r="CE102" s="167">
        <v>4000</v>
      </c>
      <c r="CF102" s="167">
        <v>4000</v>
      </c>
      <c r="CG102" s="167">
        <v>4000</v>
      </c>
      <c r="CH102" s="167">
        <v>4000</v>
      </c>
      <c r="CI102" s="167">
        <v>4000</v>
      </c>
      <c r="CJ102" s="167">
        <v>4000</v>
      </c>
      <c r="CK102" s="167">
        <v>4000</v>
      </c>
      <c r="CL102" s="167">
        <v>4000</v>
      </c>
      <c r="CM102" s="167">
        <v>4000</v>
      </c>
      <c r="CN102" s="167">
        <v>4000</v>
      </c>
      <c r="CO102" s="167">
        <v>4000</v>
      </c>
      <c r="CP102" s="167">
        <v>4000</v>
      </c>
      <c r="CQ102" s="167">
        <v>4000</v>
      </c>
      <c r="CR102" s="167">
        <v>4000</v>
      </c>
      <c r="CS102" s="167">
        <v>4000</v>
      </c>
      <c r="CT102" s="167">
        <v>4000</v>
      </c>
      <c r="CU102" s="167">
        <v>4000</v>
      </c>
      <c r="CV102" s="167">
        <v>4000</v>
      </c>
      <c r="CW102" s="167">
        <v>4000</v>
      </c>
      <c r="CX102" s="167">
        <v>4000</v>
      </c>
      <c r="CY102" s="167">
        <v>4000</v>
      </c>
      <c r="CZ102" s="167">
        <v>4000</v>
      </c>
      <c r="DA102" s="167">
        <v>4000</v>
      </c>
      <c r="DB102" s="167">
        <v>4000</v>
      </c>
      <c r="DC102" s="167">
        <v>4000</v>
      </c>
      <c r="DD102" s="167">
        <v>4000</v>
      </c>
      <c r="DE102" s="167">
        <v>4000</v>
      </c>
      <c r="DF102" s="167">
        <v>4000</v>
      </c>
      <c r="DG102" s="167">
        <v>4000</v>
      </c>
      <c r="DH102" s="167">
        <v>4000</v>
      </c>
      <c r="DI102" s="167">
        <v>4000</v>
      </c>
      <c r="DJ102" s="167">
        <v>4000</v>
      </c>
      <c r="DK102" s="167">
        <v>4000</v>
      </c>
      <c r="DL102" s="167">
        <v>4000</v>
      </c>
      <c r="DM102" s="167">
        <v>4000</v>
      </c>
      <c r="DN102" s="167">
        <v>4000</v>
      </c>
      <c r="DO102" s="167">
        <v>4000</v>
      </c>
      <c r="DP102" s="167">
        <v>4000</v>
      </c>
      <c r="DQ102" s="167">
        <v>4000</v>
      </c>
      <c r="DR102" s="167">
        <v>4000</v>
      </c>
      <c r="DS102" s="167">
        <v>4000</v>
      </c>
      <c r="DT102" s="167">
        <v>4000</v>
      </c>
      <c r="DU102" s="167">
        <v>4000</v>
      </c>
      <c r="DV102" s="167">
        <v>4000</v>
      </c>
      <c r="DW102" s="167">
        <v>4000</v>
      </c>
      <c r="DX102" s="167">
        <v>4000</v>
      </c>
      <c r="DY102" s="167">
        <v>4000</v>
      </c>
      <c r="DZ102" s="167">
        <v>4000</v>
      </c>
      <c r="EA102" s="167">
        <v>4000</v>
      </c>
      <c r="EB102" s="167">
        <v>4000</v>
      </c>
      <c r="EC102" s="167">
        <v>4000</v>
      </c>
      <c r="ED102" s="167">
        <v>4000</v>
      </c>
      <c r="EE102" s="167">
        <v>4000</v>
      </c>
      <c r="EF102" s="167">
        <v>4000</v>
      </c>
      <c r="EG102" s="167">
        <v>4000</v>
      </c>
      <c r="EH102" s="167">
        <v>4000</v>
      </c>
      <c r="EI102" s="167">
        <v>4000</v>
      </c>
      <c r="EJ102" s="167">
        <v>4000</v>
      </c>
      <c r="EK102" s="167">
        <v>4000</v>
      </c>
      <c r="EL102" s="167">
        <v>4000</v>
      </c>
      <c r="EM102" s="167">
        <v>4000</v>
      </c>
      <c r="EN102" s="167">
        <v>4000</v>
      </c>
      <c r="EO102" s="167">
        <v>4000</v>
      </c>
      <c r="EP102" t="str">
        <f t="shared" si="1"/>
        <v>2y 54d</v>
      </c>
    </row>
    <row r="103" spans="2:146" x14ac:dyDescent="0.25">
      <c r="B103" s="9">
        <v>100</v>
      </c>
      <c r="D103">
        <v>9111509.1512450967</v>
      </c>
      <c r="E103" s="12">
        <v>-13571626831.895287</v>
      </c>
      <c r="F103" s="12">
        <v>875557036.69039083</v>
      </c>
      <c r="G103" s="12">
        <v>0</v>
      </c>
      <c r="H103" s="12">
        <v>17123899.285929907</v>
      </c>
      <c r="I103" s="12">
        <v>14522550184.303152</v>
      </c>
      <c r="J103" s="12">
        <v>-16232608540.502998</v>
      </c>
      <c r="K103" s="12">
        <v>1464951.754150159</v>
      </c>
      <c r="L103" s="12">
        <v>5890057.4436398037</v>
      </c>
      <c r="M103" s="12">
        <v>-19954770189.764889</v>
      </c>
      <c r="N103" s="12">
        <v>-963961898.55858517</v>
      </c>
      <c r="O103" s="12"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T103" t="str">
        <f xml:space="preserve"> "y" &amp; ROUNDDOWN(AT2/$EX$4, 0)+1 &amp; " d" &amp; ROUND(MOD(AT2, $EX$4-0.0001)/$EX$5, 0)+1</f>
        <v>y1 d1</v>
      </c>
      <c r="AU103" t="str">
        <f t="shared" ref="AU103:DF103" si="2" xml:space="preserve"> "y" &amp; ROUNDDOWN(AU2/$EX$4, 0)+1 &amp; " d" &amp; ROUND(MOD(AU2, $EX$4-0.0001)/$EX$5, 0)+1</f>
        <v>y1 d10</v>
      </c>
      <c r="AV103" t="str">
        <f t="shared" si="2"/>
        <v>y1 d18</v>
      </c>
      <c r="AW103" t="str">
        <f t="shared" si="2"/>
        <v>y1 d27</v>
      </c>
      <c r="AX103" t="str">
        <f t="shared" si="2"/>
        <v>y1 d35</v>
      </c>
      <c r="AY103" t="str">
        <f t="shared" si="2"/>
        <v>y1 d44</v>
      </c>
      <c r="AZ103" t="str">
        <f t="shared" si="2"/>
        <v>y1 d53</v>
      </c>
      <c r="BA103" t="str">
        <f t="shared" si="2"/>
        <v>y1 d61</v>
      </c>
      <c r="BB103" t="str">
        <f t="shared" si="2"/>
        <v>y1 d70</v>
      </c>
      <c r="BC103" t="str">
        <f t="shared" si="2"/>
        <v>y1 d78</v>
      </c>
      <c r="BD103" t="str">
        <f t="shared" si="2"/>
        <v>y1 d87</v>
      </c>
      <c r="BE103" t="str">
        <f t="shared" si="2"/>
        <v>y1 d96</v>
      </c>
      <c r="BF103" t="str">
        <f t="shared" si="2"/>
        <v>y1 d104</v>
      </c>
      <c r="BG103" t="str">
        <f t="shared" si="2"/>
        <v>y1 d113</v>
      </c>
      <c r="BH103" t="str">
        <f t="shared" si="2"/>
        <v>y1 d122</v>
      </c>
      <c r="BI103" t="str">
        <f t="shared" si="2"/>
        <v>y1 d130</v>
      </c>
      <c r="BJ103" t="str">
        <f t="shared" si="2"/>
        <v>y1 d139</v>
      </c>
      <c r="BK103" t="str">
        <f t="shared" si="2"/>
        <v>y1 d147</v>
      </c>
      <c r="BL103" t="str">
        <f t="shared" si="2"/>
        <v>y1 d156</v>
      </c>
      <c r="BM103" t="str">
        <f t="shared" si="2"/>
        <v>y1 d165</v>
      </c>
      <c r="BN103" t="str">
        <f t="shared" si="2"/>
        <v>y1 d173</v>
      </c>
      <c r="BO103" t="str">
        <f t="shared" si="2"/>
        <v>y1 d182</v>
      </c>
      <c r="BP103" t="str">
        <f t="shared" si="2"/>
        <v>y1 d190</v>
      </c>
      <c r="BQ103" t="str">
        <f t="shared" si="2"/>
        <v>y1 d199</v>
      </c>
      <c r="BR103" t="str">
        <f t="shared" si="2"/>
        <v>y1 d208</v>
      </c>
      <c r="BS103" t="str">
        <f t="shared" si="2"/>
        <v>y1 d216</v>
      </c>
      <c r="BT103" t="str">
        <f t="shared" si="2"/>
        <v>y1 d225</v>
      </c>
      <c r="BU103" t="str">
        <f t="shared" si="2"/>
        <v>y1 d233</v>
      </c>
      <c r="BV103" t="str">
        <f t="shared" si="2"/>
        <v>y1 d242</v>
      </c>
      <c r="BW103" t="str">
        <f t="shared" si="2"/>
        <v>y1 d251</v>
      </c>
      <c r="BX103" t="str">
        <f t="shared" si="2"/>
        <v>y1 d259</v>
      </c>
      <c r="BY103" t="str">
        <f t="shared" si="2"/>
        <v>y1 d268</v>
      </c>
      <c r="BZ103" t="str">
        <f t="shared" si="2"/>
        <v>y1 d276</v>
      </c>
      <c r="CA103" t="str">
        <f t="shared" si="2"/>
        <v>y1 d285</v>
      </c>
      <c r="CB103" t="str">
        <f t="shared" si="2"/>
        <v>y1 d294</v>
      </c>
      <c r="CC103" t="str">
        <f t="shared" si="2"/>
        <v>y1 d302</v>
      </c>
      <c r="CD103" t="str">
        <f t="shared" si="2"/>
        <v>y1 d311</v>
      </c>
      <c r="CE103" t="str">
        <f t="shared" si="2"/>
        <v>y1 d319</v>
      </c>
      <c r="CF103" t="str">
        <f t="shared" si="2"/>
        <v>y1 d328</v>
      </c>
      <c r="CG103" t="str">
        <f t="shared" si="2"/>
        <v>y1 d337</v>
      </c>
      <c r="CH103" t="str">
        <f t="shared" si="2"/>
        <v>y1 d345</v>
      </c>
      <c r="CI103" t="str">
        <f t="shared" si="2"/>
        <v>y1 d354</v>
      </c>
      <c r="CJ103" t="str">
        <f t="shared" si="2"/>
        <v>y1 d363</v>
      </c>
      <c r="CK103" t="str">
        <f t="shared" si="2"/>
        <v>y1 d371</v>
      </c>
      <c r="CL103" t="str">
        <f t="shared" si="2"/>
        <v>y1 d380</v>
      </c>
      <c r="CM103" t="str">
        <f t="shared" si="2"/>
        <v>y1 d388</v>
      </c>
      <c r="CN103" t="str">
        <f t="shared" si="2"/>
        <v>y1 d397</v>
      </c>
      <c r="CO103" t="str">
        <f t="shared" si="2"/>
        <v>y1 d406</v>
      </c>
      <c r="CP103" t="str">
        <f t="shared" si="2"/>
        <v>y1 d414</v>
      </c>
      <c r="CQ103" t="str">
        <f t="shared" si="2"/>
        <v>y1 d423</v>
      </c>
      <c r="CR103" t="str">
        <f t="shared" si="2"/>
        <v>y2 d5</v>
      </c>
      <c r="CS103" t="str">
        <f t="shared" si="2"/>
        <v>y2 d14</v>
      </c>
      <c r="CT103" t="str">
        <f t="shared" si="2"/>
        <v>y2 d23</v>
      </c>
      <c r="CU103" t="str">
        <f t="shared" si="2"/>
        <v>y2 d31</v>
      </c>
      <c r="CV103" t="str">
        <f t="shared" si="2"/>
        <v>y2 d40</v>
      </c>
      <c r="CW103" t="str">
        <f t="shared" si="2"/>
        <v>y2 d48</v>
      </c>
      <c r="CX103" t="str">
        <f t="shared" si="2"/>
        <v>y2 d57</v>
      </c>
      <c r="CY103" t="str">
        <f t="shared" si="2"/>
        <v>y2 d66</v>
      </c>
      <c r="CZ103" t="str">
        <f t="shared" si="2"/>
        <v>y2 d74</v>
      </c>
      <c r="DA103" t="str">
        <f t="shared" si="2"/>
        <v>y2 d83</v>
      </c>
      <c r="DB103" t="str">
        <f t="shared" si="2"/>
        <v>y2 d91</v>
      </c>
      <c r="DC103" t="str">
        <f t="shared" si="2"/>
        <v>y2 d100</v>
      </c>
      <c r="DD103" t="str">
        <f t="shared" si="2"/>
        <v>y2 d109</v>
      </c>
      <c r="DE103" t="str">
        <f t="shared" si="2"/>
        <v>y2 d117</v>
      </c>
      <c r="DF103" t="str">
        <f t="shared" si="2"/>
        <v>y2 d126</v>
      </c>
      <c r="DG103" t="str">
        <f t="shared" ref="DG103:EO103" si="3" xml:space="preserve"> "y" &amp; ROUNDDOWN(DG2/$EX$4, 0)+1 &amp; " d" &amp; ROUND(MOD(DG2, $EX$4-0.0001)/$EX$5, 0)+1</f>
        <v>y2 d134</v>
      </c>
      <c r="DH103" t="str">
        <f t="shared" si="3"/>
        <v>y2 d143</v>
      </c>
      <c r="DI103" t="str">
        <f t="shared" si="3"/>
        <v>y2 d152</v>
      </c>
      <c r="DJ103" t="str">
        <f t="shared" si="3"/>
        <v>y2 d160</v>
      </c>
      <c r="DK103" t="str">
        <f t="shared" si="3"/>
        <v>y2 d169</v>
      </c>
      <c r="DL103" t="str">
        <f t="shared" si="3"/>
        <v>y2 d177</v>
      </c>
      <c r="DM103" t="str">
        <f t="shared" si="3"/>
        <v>y2 d186</v>
      </c>
      <c r="DN103" t="str">
        <f t="shared" si="3"/>
        <v>y2 d195</v>
      </c>
      <c r="DO103" t="str">
        <f t="shared" si="3"/>
        <v>y2 d203</v>
      </c>
      <c r="DP103" t="str">
        <f t="shared" si="3"/>
        <v>y2 d212</v>
      </c>
      <c r="DQ103" t="str">
        <f t="shared" si="3"/>
        <v>y2 d221</v>
      </c>
      <c r="DR103" t="str">
        <f t="shared" si="3"/>
        <v>y2 d229</v>
      </c>
      <c r="DS103" t="str">
        <f t="shared" si="3"/>
        <v>y2 d238</v>
      </c>
      <c r="DT103" t="str">
        <f t="shared" si="3"/>
        <v>y2 d246</v>
      </c>
      <c r="DU103" t="str">
        <f t="shared" si="3"/>
        <v>y2 d255</v>
      </c>
      <c r="DV103" t="str">
        <f t="shared" si="3"/>
        <v>y2 d264</v>
      </c>
      <c r="DW103" t="str">
        <f t="shared" si="3"/>
        <v>y2 d272</v>
      </c>
      <c r="DX103" t="str">
        <f t="shared" si="3"/>
        <v>y2 d281</v>
      </c>
      <c r="DY103" t="str">
        <f t="shared" si="3"/>
        <v>y2 d289</v>
      </c>
      <c r="DZ103" t="str">
        <f t="shared" si="3"/>
        <v>y2 d298</v>
      </c>
      <c r="EA103" t="str">
        <f t="shared" si="3"/>
        <v>y2 d307</v>
      </c>
      <c r="EB103" t="str">
        <f t="shared" si="3"/>
        <v>y2 d315</v>
      </c>
      <c r="EC103" t="str">
        <f t="shared" si="3"/>
        <v>y2 d324</v>
      </c>
      <c r="ED103" t="str">
        <f t="shared" si="3"/>
        <v>y2 d332</v>
      </c>
      <c r="EE103" t="str">
        <f t="shared" si="3"/>
        <v>y2 d341</v>
      </c>
      <c r="EF103" t="str">
        <f t="shared" si="3"/>
        <v>y2 d350</v>
      </c>
      <c r="EG103" t="str">
        <f t="shared" si="3"/>
        <v>y2 d358</v>
      </c>
      <c r="EH103" t="str">
        <f t="shared" si="3"/>
        <v>y2 d367</v>
      </c>
      <c r="EI103" t="str">
        <f t="shared" si="3"/>
        <v>y2 d375</v>
      </c>
      <c r="EJ103" t="str">
        <f t="shared" si="3"/>
        <v>y2 d384</v>
      </c>
      <c r="EK103" t="str">
        <f t="shared" si="3"/>
        <v>y2 d393</v>
      </c>
      <c r="EL103" t="str">
        <f t="shared" si="3"/>
        <v>y2 d401</v>
      </c>
      <c r="EM103" t="str">
        <f t="shared" si="3"/>
        <v>y2 d410</v>
      </c>
      <c r="EN103" t="str">
        <f t="shared" si="3"/>
        <v>y2 d418</v>
      </c>
      <c r="EO103" t="str">
        <f t="shared" si="3"/>
        <v>y3 d1</v>
      </c>
    </row>
    <row r="104" spans="2:146" x14ac:dyDescent="0.25">
      <c r="D104">
        <v>9203544.5972172692</v>
      </c>
      <c r="E104" s="14">
        <v>-13599823007.697136</v>
      </c>
      <c r="F104" s="14">
        <v>21659825.24779347</v>
      </c>
      <c r="G104" s="14">
        <v>0</v>
      </c>
      <c r="H104" s="14">
        <v>17315400.104407486</v>
      </c>
      <c r="I104" s="14">
        <v>15514867153.113949</v>
      </c>
      <c r="J104" s="14">
        <v>-15290394870.784441</v>
      </c>
      <c r="K104" s="14">
        <v>32847.339610586336</v>
      </c>
      <c r="L104" s="14">
        <v>5978880.000000095</v>
      </c>
      <c r="M104" s="14">
        <v>-19941001774.447273</v>
      </c>
      <c r="N104" s="14">
        <v>-1576713751.3196321</v>
      </c>
      <c r="O104" s="14">
        <v>0</v>
      </c>
    </row>
  </sheetData>
  <sheetProtection selectLockedCells="1"/>
  <mergeCells count="33">
    <mergeCell ref="ES3:EX3"/>
    <mergeCell ref="E2:G2"/>
    <mergeCell ref="I2:K2"/>
    <mergeCell ref="M2:O2"/>
    <mergeCell ref="U2:W2"/>
    <mergeCell ref="Q2:S2"/>
    <mergeCell ref="Y2:AA2"/>
    <mergeCell ref="AC2:AE2"/>
    <mergeCell ref="AG2:AI2"/>
    <mergeCell ref="AG7:AI7"/>
    <mergeCell ref="AG12:AI12"/>
    <mergeCell ref="AT1:CK1"/>
    <mergeCell ref="AG44:AI44"/>
    <mergeCell ref="AG48:AI48"/>
    <mergeCell ref="AG17:AI17"/>
    <mergeCell ref="AG52:AI52"/>
    <mergeCell ref="AG56:AI56"/>
    <mergeCell ref="AG26:AL26"/>
    <mergeCell ref="AJ28:AL28"/>
    <mergeCell ref="AG28:AI28"/>
    <mergeCell ref="AG32:AI32"/>
    <mergeCell ref="AG36:AI36"/>
    <mergeCell ref="AG40:AI40"/>
    <mergeCell ref="AJ32:AL32"/>
    <mergeCell ref="AJ36:AL36"/>
    <mergeCell ref="ES41:EX56"/>
    <mergeCell ref="ES31:EU33"/>
    <mergeCell ref="ES28:EU30"/>
    <mergeCell ref="ES37:EU39"/>
    <mergeCell ref="EV37:EX39"/>
    <mergeCell ref="ES34:EX36"/>
    <mergeCell ref="EV28:EX30"/>
    <mergeCell ref="EV31:EX33"/>
  </mergeCells>
  <conditionalFormatting sqref="AT3:EO102">
    <cfRule type="cellIs" dxfId="0" priority="1" operator="between">
      <formula>$ES$37</formula>
      <formula>$EV$37</formula>
    </cfRule>
    <cfRule type="colorScale" priority="2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PLWKerb">
                <anchor moveWithCells="1" sizeWithCells="1">
                  <from>
                    <xdr:col>147</xdr:col>
                    <xdr:colOff>542925</xdr:colOff>
                    <xdr:row>12</xdr:row>
                    <xdr:rowOff>95250</xdr:rowOff>
                  </from>
                  <to>
                    <xdr:col>154</xdr:col>
                    <xdr:colOff>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E2D6-CA93-4968-822D-C8F111D4BF1C}">
  <sheetPr codeName="Sheet3"/>
  <dimension ref="A1:O25"/>
  <sheetViews>
    <sheetView workbookViewId="0">
      <selection activeCell="B20" sqref="B20"/>
    </sheetView>
  </sheetViews>
  <sheetFormatPr defaultRowHeight="15" x14ac:dyDescent="0.25"/>
  <cols>
    <col min="1" max="12" width="9.140625" style="64"/>
  </cols>
  <sheetData>
    <row r="1" spans="1:15" ht="15.75" thickBot="1" x14ac:dyDescent="0.3"/>
    <row r="2" spans="1:15" ht="18" x14ac:dyDescent="0.35">
      <c r="A2" s="69" t="s">
        <v>122</v>
      </c>
      <c r="B2" s="70" t="s">
        <v>123</v>
      </c>
      <c r="C2" s="71" t="s">
        <v>25</v>
      </c>
      <c r="D2" s="70" t="s">
        <v>128</v>
      </c>
      <c r="E2" s="70" t="s">
        <v>18</v>
      </c>
      <c r="F2" s="70" t="s">
        <v>127</v>
      </c>
      <c r="G2" s="71" t="s">
        <v>125</v>
      </c>
      <c r="H2" s="71" t="s">
        <v>126</v>
      </c>
      <c r="I2" s="71" t="s">
        <v>74</v>
      </c>
      <c r="J2" s="71" t="s">
        <v>129</v>
      </c>
      <c r="K2" s="71" t="s">
        <v>86</v>
      </c>
      <c r="L2" s="72" t="s">
        <v>130</v>
      </c>
      <c r="N2" s="352" t="s">
        <v>124</v>
      </c>
      <c r="O2" s="353"/>
    </row>
    <row r="3" spans="1:15" x14ac:dyDescent="0.25">
      <c r="A3" s="4">
        <v>0</v>
      </c>
      <c r="B3" s="73" t="s">
        <v>0</v>
      </c>
      <c r="C3" s="74">
        <v>1.1723328E+18</v>
      </c>
      <c r="D3" s="96"/>
      <c r="E3" s="97"/>
      <c r="F3" s="97"/>
      <c r="G3" s="97"/>
      <c r="H3" s="97"/>
      <c r="I3" s="97"/>
      <c r="J3" s="74"/>
      <c r="K3" s="74">
        <v>261600000</v>
      </c>
      <c r="L3" s="78"/>
      <c r="N3" s="85" t="s">
        <v>14</v>
      </c>
      <c r="O3" s="88">
        <v>15</v>
      </c>
    </row>
    <row r="4" spans="1:15" x14ac:dyDescent="0.25">
      <c r="A4" s="4">
        <v>1</v>
      </c>
      <c r="B4" s="73" t="s">
        <v>1</v>
      </c>
      <c r="C4" s="74">
        <v>168554557309.73999</v>
      </c>
      <c r="D4" s="74">
        <v>5263138304</v>
      </c>
      <c r="E4" s="77">
        <v>0.2</v>
      </c>
      <c r="F4" s="77">
        <v>0.12217304763960307</v>
      </c>
      <c r="G4" s="77">
        <v>0.26179938779914941</v>
      </c>
      <c r="H4" s="77">
        <v>1.2217304763960306</v>
      </c>
      <c r="I4" s="77">
        <v>3.1400001049041699</v>
      </c>
      <c r="J4" s="74">
        <v>9646663</v>
      </c>
      <c r="K4" s="74">
        <v>250000</v>
      </c>
      <c r="L4" s="99">
        <v>0</v>
      </c>
      <c r="N4" s="4" t="s">
        <v>9</v>
      </c>
      <c r="O4" s="75">
        <v>5</v>
      </c>
    </row>
    <row r="5" spans="1:15" x14ac:dyDescent="0.25">
      <c r="A5" s="4">
        <v>2</v>
      </c>
      <c r="B5" s="73" t="s">
        <v>2</v>
      </c>
      <c r="C5" s="74">
        <v>8169073260180</v>
      </c>
      <c r="D5" s="74">
        <v>9832684544</v>
      </c>
      <c r="E5" s="77">
        <v>0.01</v>
      </c>
      <c r="F5" s="77">
        <v>3.6651914291880923E-2</v>
      </c>
      <c r="G5" s="77">
        <v>0</v>
      </c>
      <c r="H5" s="77">
        <v>0.26179938779914941</v>
      </c>
      <c r="I5" s="77">
        <v>3.14</v>
      </c>
      <c r="J5" s="74">
        <v>85109365</v>
      </c>
      <c r="K5" s="74">
        <v>700000</v>
      </c>
      <c r="L5" s="99">
        <v>0</v>
      </c>
      <c r="N5" s="4" t="s">
        <v>7</v>
      </c>
      <c r="O5" s="75">
        <v>4</v>
      </c>
    </row>
    <row r="6" spans="1:15" x14ac:dyDescent="0.25">
      <c r="A6" s="4">
        <v>3</v>
      </c>
      <c r="B6" s="73" t="s">
        <v>4</v>
      </c>
      <c r="C6" s="74">
        <v>3530451718117.8003</v>
      </c>
      <c r="D6" s="74">
        <v>13599840256</v>
      </c>
      <c r="E6" s="77">
        <v>0</v>
      </c>
      <c r="F6" s="77">
        <v>0</v>
      </c>
      <c r="G6" s="77">
        <v>0</v>
      </c>
      <c r="H6" s="77">
        <v>0</v>
      </c>
      <c r="I6" s="77">
        <v>3.14</v>
      </c>
      <c r="J6" s="74">
        <v>84159286</v>
      </c>
      <c r="K6" s="74">
        <v>600000</v>
      </c>
      <c r="L6" s="99">
        <v>0</v>
      </c>
      <c r="N6" s="4" t="s">
        <v>16</v>
      </c>
      <c r="O6" s="75">
        <v>7</v>
      </c>
    </row>
    <row r="7" spans="1:15" x14ac:dyDescent="0.25">
      <c r="A7" s="4">
        <v>4</v>
      </c>
      <c r="B7" s="73" t="s">
        <v>7</v>
      </c>
      <c r="C7" s="74">
        <v>301265225555.70001</v>
      </c>
      <c r="D7" s="74">
        <v>20726155264</v>
      </c>
      <c r="E7" s="77">
        <v>5.0999999999999997E-2</v>
      </c>
      <c r="F7" s="77">
        <v>1.0471975511965976E-3</v>
      </c>
      <c r="G7" s="77">
        <v>0</v>
      </c>
      <c r="H7" s="77">
        <v>2.3649211364523164</v>
      </c>
      <c r="I7" s="77">
        <v>3.14</v>
      </c>
      <c r="J7" s="74">
        <v>47921949</v>
      </c>
      <c r="K7" s="74">
        <v>320000</v>
      </c>
      <c r="L7" s="99">
        <v>0</v>
      </c>
      <c r="N7" s="4" t="s">
        <v>2</v>
      </c>
      <c r="O7" s="75">
        <v>2</v>
      </c>
    </row>
    <row r="8" spans="1:15" x14ac:dyDescent="0.25">
      <c r="A8" s="4">
        <v>5</v>
      </c>
      <c r="B8" s="73" t="s">
        <v>9</v>
      </c>
      <c r="C8" s="74">
        <v>21477503447.967003</v>
      </c>
      <c r="D8" s="74">
        <v>40839348203</v>
      </c>
      <c r="E8" s="77">
        <v>0.14499999999999999</v>
      </c>
      <c r="F8" s="77">
        <v>8.7266462599716474E-2</v>
      </c>
      <c r="G8" s="77">
        <v>1.5707963267948966</v>
      </c>
      <c r="H8" s="77">
        <v>4.8869219055841224</v>
      </c>
      <c r="I8" s="77">
        <v>3.14</v>
      </c>
      <c r="J8" s="74">
        <v>32832840</v>
      </c>
      <c r="K8" s="74">
        <v>138000</v>
      </c>
      <c r="L8" s="99">
        <v>0</v>
      </c>
      <c r="N8" s="4" t="s">
        <v>10</v>
      </c>
      <c r="O8" s="75">
        <v>6</v>
      </c>
    </row>
    <row r="9" spans="1:15" x14ac:dyDescent="0.25">
      <c r="A9" s="4">
        <v>6</v>
      </c>
      <c r="B9" s="73" t="s">
        <v>10</v>
      </c>
      <c r="C9" s="74">
        <v>282436141452570</v>
      </c>
      <c r="D9" s="74">
        <v>68773560320</v>
      </c>
      <c r="E9" s="77">
        <v>0.05</v>
      </c>
      <c r="F9" s="77">
        <v>2.2759093446006056E-2</v>
      </c>
      <c r="G9" s="77">
        <v>0</v>
      </c>
      <c r="H9" s="77">
        <v>0.90757121103705141</v>
      </c>
      <c r="I9" s="77">
        <v>0.1</v>
      </c>
      <c r="J9" s="74">
        <v>2455985200</v>
      </c>
      <c r="K9" s="74">
        <v>6000000</v>
      </c>
      <c r="L9" s="99">
        <v>0</v>
      </c>
      <c r="N9" s="4" t="s">
        <v>4</v>
      </c>
      <c r="O9" s="75">
        <v>3</v>
      </c>
    </row>
    <row r="10" spans="1:15" x14ac:dyDescent="0.25">
      <c r="A10" s="4">
        <v>7</v>
      </c>
      <c r="B10" s="73" t="s">
        <v>16</v>
      </c>
      <c r="C10" s="74">
        <v>74386619097.839996</v>
      </c>
      <c r="D10" s="74">
        <v>90118820000</v>
      </c>
      <c r="E10" s="77">
        <v>0.26</v>
      </c>
      <c r="F10" s="77">
        <v>0.10733774899765128</v>
      </c>
      <c r="G10" s="77">
        <v>4.5378560551852569</v>
      </c>
      <c r="H10" s="77">
        <v>0.87266462599716477</v>
      </c>
      <c r="I10" s="77">
        <v>3.14</v>
      </c>
      <c r="J10" s="74">
        <v>119082940</v>
      </c>
      <c r="K10" s="74">
        <v>210000</v>
      </c>
      <c r="L10" s="99">
        <v>0</v>
      </c>
      <c r="N10" s="4" t="s">
        <v>11</v>
      </c>
      <c r="O10" s="75">
        <v>12</v>
      </c>
    </row>
    <row r="11" spans="1:15" x14ac:dyDescent="0.25">
      <c r="A11" s="4">
        <v>8</v>
      </c>
      <c r="B11" s="73" t="s">
        <v>3</v>
      </c>
      <c r="C11" s="74">
        <v>8286754.4103330001</v>
      </c>
      <c r="D11" s="74">
        <v>31500000</v>
      </c>
      <c r="E11" s="77">
        <v>0.55000000000000004</v>
      </c>
      <c r="F11" s="77">
        <v>0.20943951023931953</v>
      </c>
      <c r="G11" s="77">
        <v>0.17453292519943295</v>
      </c>
      <c r="H11" s="77">
        <v>1.3962634015954636</v>
      </c>
      <c r="I11" s="77">
        <v>0.9</v>
      </c>
      <c r="J11" s="74">
        <v>126123.27</v>
      </c>
      <c r="K11" s="74">
        <v>13000</v>
      </c>
      <c r="L11" s="99">
        <v>2</v>
      </c>
      <c r="N11" s="4" t="s">
        <v>6</v>
      </c>
      <c r="O11" s="75">
        <v>10</v>
      </c>
    </row>
    <row r="12" spans="1:15" x14ac:dyDescent="0.25">
      <c r="A12" s="4">
        <v>9</v>
      </c>
      <c r="B12" s="73" t="s">
        <v>5</v>
      </c>
      <c r="C12" s="74">
        <v>65117218443.606003</v>
      </c>
      <c r="D12" s="74">
        <v>12000000</v>
      </c>
      <c r="E12" s="77">
        <v>0</v>
      </c>
      <c r="F12" s="77">
        <v>0</v>
      </c>
      <c r="G12" s="77">
        <v>0</v>
      </c>
      <c r="H12" s="77">
        <v>0</v>
      </c>
      <c r="I12" s="77">
        <v>1.7</v>
      </c>
      <c r="J12" s="74">
        <v>2429559.1</v>
      </c>
      <c r="K12" s="74">
        <v>200000</v>
      </c>
      <c r="L12" s="99">
        <v>3</v>
      </c>
      <c r="N12" s="4" t="s">
        <v>1</v>
      </c>
      <c r="O12" s="75">
        <v>1</v>
      </c>
    </row>
    <row r="13" spans="1:15" x14ac:dyDescent="0.25">
      <c r="A13" s="4">
        <v>10</v>
      </c>
      <c r="B13" s="73" t="s">
        <v>6</v>
      </c>
      <c r="C13" s="74">
        <v>1765225925.7780001</v>
      </c>
      <c r="D13" s="74">
        <v>47000000</v>
      </c>
      <c r="E13" s="77">
        <v>0</v>
      </c>
      <c r="F13" s="77">
        <v>0.10471975511965977</v>
      </c>
      <c r="G13" s="77">
        <v>0.66322511575784515</v>
      </c>
      <c r="H13" s="77">
        <v>1.3613568165555769</v>
      </c>
      <c r="I13" s="77">
        <v>0.9</v>
      </c>
      <c r="J13" s="74">
        <v>2247428.4</v>
      </c>
      <c r="K13" s="74">
        <v>60000</v>
      </c>
      <c r="L13" s="99">
        <v>3</v>
      </c>
      <c r="N13" s="4" t="s">
        <v>5</v>
      </c>
      <c r="O13" s="75">
        <v>9</v>
      </c>
    </row>
    <row r="14" spans="1:15" x14ac:dyDescent="0.25">
      <c r="A14" s="4">
        <v>11</v>
      </c>
      <c r="B14" s="73" t="s">
        <v>8</v>
      </c>
      <c r="C14" s="74">
        <v>18562331133.465</v>
      </c>
      <c r="D14" s="74">
        <v>3200000</v>
      </c>
      <c r="E14" s="77">
        <v>0.03</v>
      </c>
      <c r="F14" s="77">
        <v>3.4906585039886592E-3</v>
      </c>
      <c r="G14" s="77">
        <v>0</v>
      </c>
      <c r="H14" s="77">
        <v>0</v>
      </c>
      <c r="I14" s="77">
        <v>1.7</v>
      </c>
      <c r="J14" s="74">
        <v>1049598.8999999999</v>
      </c>
      <c r="K14" s="74">
        <v>130000</v>
      </c>
      <c r="L14" s="99">
        <v>4</v>
      </c>
      <c r="N14" s="4" t="s">
        <v>15</v>
      </c>
      <c r="O14" s="75">
        <v>16</v>
      </c>
    </row>
    <row r="15" spans="1:15" x14ac:dyDescent="0.25">
      <c r="A15" s="4">
        <v>12</v>
      </c>
      <c r="B15" s="73" t="s">
        <v>11</v>
      </c>
      <c r="C15" s="74">
        <v>1961362132340.0999</v>
      </c>
      <c r="D15" s="74">
        <v>27184000</v>
      </c>
      <c r="E15" s="77">
        <v>0</v>
      </c>
      <c r="F15" s="77">
        <v>0</v>
      </c>
      <c r="G15" s="77">
        <v>0</v>
      </c>
      <c r="H15" s="77">
        <v>0</v>
      </c>
      <c r="I15" s="77">
        <v>3.14</v>
      </c>
      <c r="J15" s="74">
        <v>3723645.8</v>
      </c>
      <c r="K15" s="74">
        <v>500000</v>
      </c>
      <c r="L15" s="99">
        <v>6</v>
      </c>
      <c r="N15" s="4" t="s">
        <v>13</v>
      </c>
      <c r="O15" s="75">
        <v>14</v>
      </c>
    </row>
    <row r="16" spans="1:15" x14ac:dyDescent="0.25">
      <c r="A16" s="4">
        <v>13</v>
      </c>
      <c r="B16" s="73" t="s">
        <v>12</v>
      </c>
      <c r="C16" s="74">
        <v>207414036271.05002</v>
      </c>
      <c r="D16" s="74">
        <v>43152000</v>
      </c>
      <c r="E16" s="77">
        <v>0</v>
      </c>
      <c r="F16" s="77">
        <v>0</v>
      </c>
      <c r="G16" s="77">
        <v>0</v>
      </c>
      <c r="H16" s="77">
        <v>0</v>
      </c>
      <c r="I16" s="77">
        <v>0.9</v>
      </c>
      <c r="J16" s="74">
        <v>2406401.4</v>
      </c>
      <c r="K16" s="74">
        <v>300000</v>
      </c>
      <c r="L16" s="99">
        <v>6</v>
      </c>
      <c r="N16" s="4" t="s">
        <v>12</v>
      </c>
      <c r="O16" s="75">
        <v>13</v>
      </c>
    </row>
    <row r="17" spans="1:15" x14ac:dyDescent="0.25">
      <c r="A17" s="4">
        <v>14</v>
      </c>
      <c r="B17" s="73" t="s">
        <v>13</v>
      </c>
      <c r="C17" s="74">
        <v>2824361414525.7002</v>
      </c>
      <c r="D17" s="74">
        <v>68500000</v>
      </c>
      <c r="E17" s="77">
        <v>0</v>
      </c>
      <c r="F17" s="77">
        <v>4.363323129985824E-4</v>
      </c>
      <c r="G17" s="77">
        <v>0</v>
      </c>
      <c r="H17" s="77">
        <v>0</v>
      </c>
      <c r="I17" s="77">
        <v>3.14</v>
      </c>
      <c r="J17" s="74">
        <v>10856518</v>
      </c>
      <c r="K17" s="74">
        <v>600000</v>
      </c>
      <c r="L17" s="99">
        <v>6</v>
      </c>
      <c r="N17" s="4"/>
      <c r="O17" s="75"/>
    </row>
    <row r="18" spans="1:15" x14ac:dyDescent="0.25">
      <c r="A18" s="4">
        <v>15</v>
      </c>
      <c r="B18" s="73" t="s">
        <v>14</v>
      </c>
      <c r="C18" s="74">
        <v>2486026389.8190002</v>
      </c>
      <c r="D18" s="74">
        <v>128500000</v>
      </c>
      <c r="E18" s="77">
        <v>0.23499999999999999</v>
      </c>
      <c r="F18" s="77">
        <v>0.26179938779914941</v>
      </c>
      <c r="G18" s="77">
        <v>0.43633231299858238</v>
      </c>
      <c r="H18" s="77">
        <v>0.17453292519943295</v>
      </c>
      <c r="I18" s="77">
        <v>0.9</v>
      </c>
      <c r="J18" s="74">
        <v>1221060.8999999999</v>
      </c>
      <c r="K18" s="74">
        <v>65000</v>
      </c>
      <c r="L18" s="99">
        <v>6</v>
      </c>
      <c r="N18" s="4"/>
      <c r="O18" s="75"/>
    </row>
    <row r="19" spans="1:15" ht="15.75" thickBot="1" x14ac:dyDescent="0.3">
      <c r="A19" s="79">
        <v>16</v>
      </c>
      <c r="B19" s="80" t="s">
        <v>15</v>
      </c>
      <c r="C19" s="81">
        <v>721467454.88370001</v>
      </c>
      <c r="D19" s="81">
        <v>179890000</v>
      </c>
      <c r="E19" s="83">
        <v>0.17100000000000001</v>
      </c>
      <c r="F19" s="83">
        <v>7.4176493209759012E-2</v>
      </c>
      <c r="G19" s="83">
        <v>0.26179938779914941</v>
      </c>
      <c r="H19" s="83">
        <v>3.4906585039886591E-2</v>
      </c>
      <c r="I19" s="83">
        <v>0.9</v>
      </c>
      <c r="J19" s="81">
        <v>1042138.9</v>
      </c>
      <c r="K19" s="81">
        <v>44000</v>
      </c>
      <c r="L19" s="100">
        <v>6</v>
      </c>
      <c r="N19" s="79"/>
      <c r="O19" s="95"/>
    </row>
    <row r="20" spans="1:15" ht="15.75" thickBot="1" x14ac:dyDescent="0.3"/>
    <row r="21" spans="1:15" x14ac:dyDescent="0.25">
      <c r="A21" s="352" t="s">
        <v>202</v>
      </c>
      <c r="B21" s="353"/>
      <c r="C21" s="349" t="s">
        <v>100</v>
      </c>
      <c r="D21" s="350"/>
      <c r="E21" s="351"/>
    </row>
    <row r="22" spans="1:15" x14ac:dyDescent="0.25">
      <c r="A22" s="356" t="s">
        <v>203</v>
      </c>
      <c r="B22" s="357"/>
      <c r="C22" s="185" t="s">
        <v>208</v>
      </c>
      <c r="D22" s="186">
        <v>3</v>
      </c>
      <c r="E22" s="193" t="s">
        <v>209</v>
      </c>
    </row>
    <row r="23" spans="1:15" ht="15.75" thickBot="1" x14ac:dyDescent="0.3">
      <c r="A23" s="354" t="s">
        <v>101</v>
      </c>
      <c r="B23" s="355"/>
      <c r="C23" s="187" t="s">
        <v>209</v>
      </c>
      <c r="D23" s="5">
        <v>1</v>
      </c>
      <c r="E23" s="192" t="s">
        <v>50</v>
      </c>
    </row>
    <row r="24" spans="1:15" x14ac:dyDescent="0.25">
      <c r="B24" s="191"/>
      <c r="C24" s="187" t="s">
        <v>50</v>
      </c>
      <c r="D24" s="5">
        <v>2</v>
      </c>
      <c r="E24" s="192" t="s">
        <v>208</v>
      </c>
    </row>
    <row r="25" spans="1:15" ht="15.75" thickBot="1" x14ac:dyDescent="0.3">
      <c r="C25" s="188" t="s">
        <v>207</v>
      </c>
      <c r="D25" s="189">
        <v>4</v>
      </c>
      <c r="E25" s="189" t="s">
        <v>207</v>
      </c>
    </row>
  </sheetData>
  <sortState xmlns:xlrd2="http://schemas.microsoft.com/office/spreadsheetml/2017/richdata2" ref="C22:D25">
    <sortCondition ref="C21"/>
  </sortState>
  <mergeCells count="5">
    <mergeCell ref="C21:E21"/>
    <mergeCell ref="N2:O2"/>
    <mergeCell ref="A21:B21"/>
    <mergeCell ref="A23:B23"/>
    <mergeCell ref="A22:B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EA97-D309-401E-ACC7-4981E5883EAF}">
  <sheetPr codeName="Sheet2"/>
  <dimension ref="A1:B8"/>
  <sheetViews>
    <sheetView workbookViewId="0">
      <selection activeCell="J14" sqref="J14"/>
    </sheetView>
  </sheetViews>
  <sheetFormatPr defaultRowHeight="15" x14ac:dyDescent="0.25"/>
  <sheetData>
    <row r="1" spans="1:2" x14ac:dyDescent="0.25">
      <c r="A1">
        <v>2.1</v>
      </c>
      <c r="B1" t="s">
        <v>120</v>
      </c>
    </row>
    <row r="2" spans="1:2" x14ac:dyDescent="0.25">
      <c r="B2" t="s">
        <v>121</v>
      </c>
    </row>
    <row r="3" spans="1:2" x14ac:dyDescent="0.25">
      <c r="A3">
        <v>2.2000000000000002</v>
      </c>
      <c r="B3" t="s">
        <v>138</v>
      </c>
    </row>
    <row r="4" spans="1:2" x14ac:dyDescent="0.25">
      <c r="B4" t="s">
        <v>139</v>
      </c>
    </row>
    <row r="5" spans="1:2" x14ac:dyDescent="0.25">
      <c r="A5">
        <v>2.4</v>
      </c>
      <c r="B5" t="s">
        <v>205</v>
      </c>
    </row>
    <row r="6" spans="1:2" x14ac:dyDescent="0.25">
      <c r="A6">
        <v>2.5</v>
      </c>
      <c r="B6" t="s">
        <v>220</v>
      </c>
    </row>
    <row r="7" spans="1:2" x14ac:dyDescent="0.25">
      <c r="A7">
        <v>2.6</v>
      </c>
      <c r="B7" t="s">
        <v>221</v>
      </c>
    </row>
    <row r="8" spans="1:2" x14ac:dyDescent="0.25">
      <c r="A8">
        <v>2.7</v>
      </c>
      <c r="B8" t="s">
        <v>225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9DE92-DC2C-4893-BF78-A00436F7AA15}">
  <sheetPr codeName="Sheet1"/>
  <dimension ref="A1:AX34"/>
  <sheetViews>
    <sheetView workbookViewId="0">
      <selection activeCell="K22" sqref="K22"/>
    </sheetView>
  </sheetViews>
  <sheetFormatPr defaultRowHeight="15" x14ac:dyDescent="0.25"/>
  <cols>
    <col min="1" max="5" width="9.140625" style="170"/>
    <col min="6" max="11" width="9.140625" style="171"/>
    <col min="12" max="30" width="9.140625" style="170"/>
    <col min="31" max="31" width="46.7109375" style="172" bestFit="1" customWidth="1"/>
    <col min="32" max="32" width="9.140625" style="172"/>
    <col min="33" max="16384" width="9.140625" style="170"/>
  </cols>
  <sheetData>
    <row r="1" spans="1:50" x14ac:dyDescent="0.25">
      <c r="AE1" s="358" t="s">
        <v>192</v>
      </c>
      <c r="AF1" s="359"/>
      <c r="AG1" s="359"/>
      <c r="AH1" s="359"/>
      <c r="AI1" s="359"/>
      <c r="AJ1" s="359"/>
      <c r="AK1" s="359"/>
      <c r="AL1" s="359"/>
      <c r="AM1" s="359"/>
      <c r="AN1" s="359"/>
      <c r="AO1" s="359"/>
      <c r="AP1" s="360"/>
    </row>
    <row r="2" spans="1:50" x14ac:dyDescent="0.25">
      <c r="A2"/>
      <c r="B2" s="227" t="s">
        <v>194</v>
      </c>
      <c r="C2" s="227"/>
      <c r="D2"/>
      <c r="E2"/>
      <c r="L2"/>
      <c r="M2"/>
      <c r="N2"/>
      <c r="O2"/>
      <c r="P2"/>
      <c r="AE2" s="367" t="s">
        <v>184</v>
      </c>
      <c r="AF2" s="363" t="s">
        <v>185</v>
      </c>
      <c r="AG2" s="365" t="s">
        <v>186</v>
      </c>
      <c r="AH2" s="365" t="s">
        <v>187</v>
      </c>
      <c r="AI2" s="370" t="s">
        <v>188</v>
      </c>
      <c r="AJ2" s="371"/>
      <c r="AK2" s="370" t="s">
        <v>142</v>
      </c>
      <c r="AL2" s="371"/>
      <c r="AM2" s="363" t="s">
        <v>193</v>
      </c>
      <c r="AN2" s="370" t="s">
        <v>148</v>
      </c>
      <c r="AO2" s="371"/>
      <c r="AP2" s="361" t="s">
        <v>191</v>
      </c>
      <c r="AQ2" s="265" t="s">
        <v>198</v>
      </c>
      <c r="AR2" s="369"/>
      <c r="AS2" s="369"/>
      <c r="AT2" s="369"/>
      <c r="AU2" s="369"/>
      <c r="AV2" s="369"/>
      <c r="AW2" s="369"/>
      <c r="AX2" s="369"/>
    </row>
    <row r="3" spans="1:50" x14ac:dyDescent="0.25">
      <c r="A3"/>
      <c r="B3" t="s">
        <v>141</v>
      </c>
      <c r="C3">
        <v>1</v>
      </c>
      <c r="D3"/>
      <c r="E3"/>
      <c r="F3" s="171" t="s">
        <v>140</v>
      </c>
      <c r="G3" s="171" t="s">
        <v>200</v>
      </c>
      <c r="H3" s="171">
        <v>1</v>
      </c>
      <c r="I3" s="171">
        <v>2</v>
      </c>
      <c r="J3" s="171">
        <v>3</v>
      </c>
      <c r="K3" s="171" t="s">
        <v>195</v>
      </c>
      <c r="L3"/>
      <c r="M3"/>
      <c r="N3"/>
      <c r="O3"/>
      <c r="P3"/>
      <c r="AE3" s="368"/>
      <c r="AF3" s="364"/>
      <c r="AG3" s="366"/>
      <c r="AH3" s="366"/>
      <c r="AI3" s="182" t="s">
        <v>189</v>
      </c>
      <c r="AJ3" s="182" t="s">
        <v>190</v>
      </c>
      <c r="AK3" s="182" t="s">
        <v>189</v>
      </c>
      <c r="AL3" s="182" t="s">
        <v>190</v>
      </c>
      <c r="AM3" s="364"/>
      <c r="AN3" s="182" t="s">
        <v>189</v>
      </c>
      <c r="AO3" s="182" t="s">
        <v>190</v>
      </c>
      <c r="AP3" s="362"/>
      <c r="AQ3" s="169">
        <v>2000</v>
      </c>
      <c r="AR3" s="169">
        <v>4000</v>
      </c>
      <c r="AS3" s="169">
        <v>6000</v>
      </c>
      <c r="AT3" s="169">
        <v>8000</v>
      </c>
      <c r="AU3" s="169">
        <v>10000</v>
      </c>
      <c r="AV3" s="169">
        <v>15000</v>
      </c>
      <c r="AW3" s="169">
        <v>20000</v>
      </c>
      <c r="AX3" s="169">
        <v>30000</v>
      </c>
    </row>
    <row r="4" spans="1:50" x14ac:dyDescent="0.25">
      <c r="A4"/>
      <c r="B4" t="s">
        <v>143</v>
      </c>
      <c r="C4">
        <v>12000</v>
      </c>
      <c r="D4"/>
      <c r="E4"/>
      <c r="F4" s="171" t="s">
        <v>153</v>
      </c>
      <c r="H4" s="171">
        <f>IF(H3&lt;$C$15+1,1,0)</f>
        <v>0</v>
      </c>
      <c r="I4" s="171">
        <f t="shared" ref="I4:J4" si="0">IF(I3&lt;$C$15+1,1,0)</f>
        <v>0</v>
      </c>
      <c r="J4" s="171">
        <f t="shared" si="0"/>
        <v>0</v>
      </c>
      <c r="L4"/>
      <c r="M4"/>
      <c r="N4"/>
      <c r="O4"/>
      <c r="P4"/>
      <c r="S4" s="170" t="s">
        <v>142</v>
      </c>
      <c r="T4" s="170">
        <v>1</v>
      </c>
      <c r="V4" s="170" t="s">
        <v>152</v>
      </c>
      <c r="W4" s="170">
        <f>C5</f>
        <v>2</v>
      </c>
      <c r="AE4" s="180" t="s">
        <v>156</v>
      </c>
      <c r="AF4" s="181" t="s">
        <v>157</v>
      </c>
      <c r="AG4" s="86">
        <v>120</v>
      </c>
      <c r="AH4" s="183">
        <v>0.02</v>
      </c>
      <c r="AI4" s="86">
        <v>1.79</v>
      </c>
      <c r="AJ4" s="183">
        <v>2</v>
      </c>
      <c r="AK4" s="183">
        <v>9.14</v>
      </c>
      <c r="AL4" s="183">
        <v>10.199999999999999</v>
      </c>
      <c r="AM4" s="86">
        <v>0.14099999999999999</v>
      </c>
      <c r="AN4" s="86">
        <v>260</v>
      </c>
      <c r="AO4" s="86">
        <v>290</v>
      </c>
      <c r="AP4" s="88">
        <v>10</v>
      </c>
      <c r="AQ4" s="168">
        <f>$AJ4/(9.81*$AH4*(1+1.111/(-1+1/(1-EXP(-AQ$3/($AO4*9.81))))))</f>
        <v>4.7789691718898473</v>
      </c>
      <c r="AR4" s="168">
        <f t="shared" ref="AR4:AX19" si="1">$AJ4/(9.81*$AH4*(1+1.111/(-1+1/(1-EXP(-AR$3/($AO4*9.81))))))</f>
        <v>2.3054524577647273</v>
      </c>
      <c r="AS4" s="168">
        <f t="shared" si="1"/>
        <v>1.1271235213284414</v>
      </c>
      <c r="AT4" s="168">
        <f t="shared" si="1"/>
        <v>0.55459266161537746</v>
      </c>
      <c r="AU4" s="168">
        <f t="shared" si="1"/>
        <v>0.27373951612806197</v>
      </c>
      <c r="AV4" s="168">
        <f t="shared" si="1"/>
        <v>4.7095729028881206E-2</v>
      </c>
      <c r="AW4" s="168">
        <f t="shared" si="1"/>
        <v>8.1191624760449076E-3</v>
      </c>
      <c r="AX4" s="174">
        <f t="shared" si="1"/>
        <v>2.4149154612947032E-4</v>
      </c>
    </row>
    <row r="5" spans="1:50" x14ac:dyDescent="0.25">
      <c r="A5"/>
      <c r="B5" t="s">
        <v>152</v>
      </c>
      <c r="C5">
        <v>2</v>
      </c>
      <c r="D5"/>
      <c r="E5"/>
      <c r="F5" s="171" t="s">
        <v>143</v>
      </c>
      <c r="G5" s="171">
        <f>C20</f>
        <v>8700</v>
      </c>
      <c r="H5" s="171">
        <f>H4*$C$16</f>
        <v>0</v>
      </c>
      <c r="I5" s="171">
        <f t="shared" ref="I5:J5" si="2">I4*$C$16</f>
        <v>0</v>
      </c>
      <c r="J5" s="171">
        <f t="shared" si="2"/>
        <v>0</v>
      </c>
      <c r="K5" s="171">
        <f>C11</f>
        <v>3300</v>
      </c>
      <c r="L5"/>
      <c r="M5"/>
      <c r="N5"/>
      <c r="O5"/>
      <c r="P5"/>
      <c r="S5" s="170" t="s">
        <v>145</v>
      </c>
      <c r="T5" s="170">
        <f>C3</f>
        <v>1</v>
      </c>
      <c r="AE5" s="176" t="s">
        <v>158</v>
      </c>
      <c r="AF5" s="177" t="s">
        <v>159</v>
      </c>
      <c r="AG5" s="73">
        <v>110</v>
      </c>
      <c r="AH5" s="77">
        <v>0.02</v>
      </c>
      <c r="AI5" s="73">
        <v>0.51</v>
      </c>
      <c r="AJ5" s="77">
        <v>2</v>
      </c>
      <c r="AK5" s="77">
        <v>2.59</v>
      </c>
      <c r="AL5" s="77">
        <v>10.199999999999999</v>
      </c>
      <c r="AM5" s="73">
        <v>0.129</v>
      </c>
      <c r="AN5" s="73">
        <v>80</v>
      </c>
      <c r="AO5" s="73">
        <v>315</v>
      </c>
      <c r="AP5" s="75" t="s">
        <v>160</v>
      </c>
      <c r="AQ5" s="168">
        <f t="shared" ref="AQ5:AX20" si="3">$AJ5/(9.81*$AH5*(1+1.111/(-1+1/(1-EXP(-AQ$3/($AO5*9.81))))))</f>
        <v>5.0683229164852346</v>
      </c>
      <c r="AR5" s="168">
        <f t="shared" si="1"/>
        <v>2.5852811772544722</v>
      </c>
      <c r="AS5" s="168">
        <f t="shared" si="1"/>
        <v>1.335481027081409</v>
      </c>
      <c r="AT5" s="168">
        <f t="shared" si="1"/>
        <v>0.69431351042271372</v>
      </c>
      <c r="AU5" s="168">
        <f t="shared" si="1"/>
        <v>0.36216856459303343</v>
      </c>
      <c r="AV5" s="168">
        <f t="shared" si="1"/>
        <v>7.1586649476588368E-2</v>
      </c>
      <c r="AW5" s="168">
        <f t="shared" si="1"/>
        <v>1.4185770902260642E-2</v>
      </c>
      <c r="AX5" s="174">
        <f t="shared" si="1"/>
        <v>5.5766445320486104E-4</v>
      </c>
    </row>
    <row r="6" spans="1:50" x14ac:dyDescent="0.25">
      <c r="A6"/>
      <c r="B6" t="s">
        <v>154</v>
      </c>
      <c r="C6">
        <f>T4</f>
        <v>1</v>
      </c>
      <c r="D6"/>
      <c r="E6"/>
      <c r="F6" s="171" t="s">
        <v>148</v>
      </c>
      <c r="G6" s="171">
        <f>C22</f>
        <v>420</v>
      </c>
      <c r="H6" s="171">
        <f>$C$22</f>
        <v>420</v>
      </c>
      <c r="I6" s="171">
        <f t="shared" ref="I6:J6" si="4">$C$22</f>
        <v>420</v>
      </c>
      <c r="J6" s="171">
        <f t="shared" si="4"/>
        <v>420</v>
      </c>
      <c r="K6" s="171">
        <f>C12</f>
        <v>305</v>
      </c>
      <c r="L6"/>
      <c r="M6"/>
      <c r="N6"/>
      <c r="O6"/>
      <c r="P6"/>
      <c r="S6" s="170" t="s">
        <v>140</v>
      </c>
      <c r="T6" s="170">
        <v>1</v>
      </c>
      <c r="U6" s="170">
        <v>2</v>
      </c>
      <c r="V6" s="170">
        <v>3</v>
      </c>
      <c r="W6" s="170">
        <v>4</v>
      </c>
      <c r="X6" s="170">
        <v>5</v>
      </c>
      <c r="AE6" s="176" t="s">
        <v>161</v>
      </c>
      <c r="AF6" s="177" t="s">
        <v>157</v>
      </c>
      <c r="AG6" s="73">
        <v>400</v>
      </c>
      <c r="AH6" s="77">
        <v>0.09</v>
      </c>
      <c r="AI6" s="73">
        <v>13.79</v>
      </c>
      <c r="AJ6" s="77">
        <v>16</v>
      </c>
      <c r="AK6" s="77">
        <v>15.63</v>
      </c>
      <c r="AL6" s="77">
        <v>18.13</v>
      </c>
      <c r="AM6" s="73">
        <v>1.125</v>
      </c>
      <c r="AN6" s="73">
        <v>250</v>
      </c>
      <c r="AO6" s="73">
        <v>290</v>
      </c>
      <c r="AP6" s="75">
        <v>8</v>
      </c>
      <c r="AQ6" s="168">
        <f t="shared" si="3"/>
        <v>8.4959451944708402</v>
      </c>
      <c r="AR6" s="168">
        <f t="shared" si="1"/>
        <v>4.098582147137293</v>
      </c>
      <c r="AS6" s="168">
        <f t="shared" si="1"/>
        <v>2.0037751490283404</v>
      </c>
      <c r="AT6" s="168">
        <f t="shared" si="1"/>
        <v>0.98594250953844886</v>
      </c>
      <c r="AU6" s="168">
        <f t="shared" si="1"/>
        <v>0.48664802867211016</v>
      </c>
      <c r="AV6" s="168">
        <f t="shared" si="1"/>
        <v>8.372574049578882E-2</v>
      </c>
      <c r="AW6" s="168">
        <f t="shared" si="1"/>
        <v>1.4434066624079835E-2</v>
      </c>
      <c r="AX6" s="174">
        <f t="shared" si="1"/>
        <v>4.2931830423016947E-4</v>
      </c>
    </row>
    <row r="7" spans="1:50" ht="18" x14ac:dyDescent="0.35">
      <c r="A7"/>
      <c r="B7"/>
      <c r="C7"/>
      <c r="D7"/>
      <c r="E7"/>
      <c r="F7" s="171" t="s">
        <v>144</v>
      </c>
      <c r="G7" s="174">
        <f>1-EXP(-G5/(G6*9.81))</f>
        <v>0.87894956270724078</v>
      </c>
      <c r="H7" s="174">
        <f>1-EXP(-H5/(H6*9.81))</f>
        <v>0</v>
      </c>
      <c r="I7" s="174">
        <f t="shared" ref="I7:J7" si="5">1-EXP(-I5/(I6*9.81))</f>
        <v>0</v>
      </c>
      <c r="J7" s="174">
        <f t="shared" si="5"/>
        <v>0</v>
      </c>
      <c r="K7" s="174">
        <f>1-EXP(-K5/(K6*9.81))</f>
        <v>0.66810039330749693</v>
      </c>
      <c r="L7"/>
      <c r="M7"/>
      <c r="N7"/>
      <c r="O7"/>
      <c r="P7"/>
      <c r="S7" s="170" t="s">
        <v>153</v>
      </c>
      <c r="T7" s="170">
        <v>1</v>
      </c>
      <c r="U7" s="170">
        <f>IF($W$4&gt;T6, 1, 0)</f>
        <v>1</v>
      </c>
      <c r="V7" s="170">
        <f t="shared" ref="V7:X7" si="6">IF($W$4&gt;U6, 1, 0)</f>
        <v>0</v>
      </c>
      <c r="W7" s="170">
        <f t="shared" si="6"/>
        <v>0</v>
      </c>
      <c r="X7" s="170">
        <f t="shared" si="6"/>
        <v>0</v>
      </c>
      <c r="AE7" s="176" t="s">
        <v>162</v>
      </c>
      <c r="AF7" s="177" t="s">
        <v>157</v>
      </c>
      <c r="AG7" s="73">
        <v>150</v>
      </c>
      <c r="AH7" s="77">
        <v>0.09</v>
      </c>
      <c r="AI7" s="73">
        <v>9.6</v>
      </c>
      <c r="AJ7" s="77">
        <v>20</v>
      </c>
      <c r="AK7" s="77">
        <v>10.88</v>
      </c>
      <c r="AL7" s="77">
        <v>22.66</v>
      </c>
      <c r="AM7" s="73">
        <v>2.0390000000000001</v>
      </c>
      <c r="AN7" s="73">
        <v>120</v>
      </c>
      <c r="AO7" s="73">
        <v>250</v>
      </c>
      <c r="AP7" s="75">
        <v>6</v>
      </c>
      <c r="AQ7" s="168">
        <f t="shared" si="3"/>
        <v>9.4378635254888863</v>
      </c>
      <c r="AR7" s="168">
        <f t="shared" si="1"/>
        <v>4.0705414905251551</v>
      </c>
      <c r="AS7" s="168">
        <f t="shared" si="1"/>
        <v>1.7810828615182064</v>
      </c>
      <c r="AT7" s="168">
        <f t="shared" si="1"/>
        <v>0.78417166362753432</v>
      </c>
      <c r="AU7" s="168">
        <f t="shared" si="1"/>
        <v>0.34619193466660841</v>
      </c>
      <c r="AV7" s="168">
        <f t="shared" si="1"/>
        <v>4.5005420244936145E-2</v>
      </c>
      <c r="AW7" s="168">
        <f t="shared" si="1"/>
        <v>5.8582747435867062E-3</v>
      </c>
      <c r="AX7" s="174">
        <f t="shared" si="1"/>
        <v>9.9296491724287054E-5</v>
      </c>
    </row>
    <row r="8" spans="1:50" x14ac:dyDescent="0.25">
      <c r="A8"/>
      <c r="B8"/>
      <c r="C8"/>
      <c r="D8"/>
      <c r="E8"/>
      <c r="F8" s="171" t="s">
        <v>155</v>
      </c>
      <c r="G8" s="168">
        <f>$C$21*(C3/(1-G7))*(0.0747655 + 0.09)</f>
        <v>1.361130977177029</v>
      </c>
      <c r="H8" s="168">
        <f>H4*$C$21*(G9/(1-H7))*(0.0747655 + 0.09)</f>
        <v>0</v>
      </c>
      <c r="I8" s="168">
        <f t="shared" ref="I8:J8" si="7">I4*$C$21*(H9/(1-I7))*(0.0747655 + 0.09)</f>
        <v>0</v>
      </c>
      <c r="J8" s="168">
        <f t="shared" si="7"/>
        <v>0</v>
      </c>
      <c r="K8" s="168">
        <f>$C$10*(J9/(1-K7))*(0.0747655 + 0.09)</f>
        <v>16.461226117737599</v>
      </c>
      <c r="L8"/>
      <c r="M8"/>
      <c r="N8"/>
      <c r="O8"/>
      <c r="P8"/>
      <c r="S8" s="170" t="s">
        <v>143</v>
      </c>
      <c r="T8" s="170">
        <f>T7*$AB$17/$W$4</f>
        <v>6000</v>
      </c>
      <c r="U8" s="170">
        <f t="shared" ref="U8:X8" si="8">U7*$AB$17/$W$4</f>
        <v>6000</v>
      </c>
      <c r="V8" s="170">
        <f t="shared" si="8"/>
        <v>0</v>
      </c>
      <c r="W8" s="170">
        <f t="shared" si="8"/>
        <v>0</v>
      </c>
      <c r="X8" s="170">
        <f t="shared" si="8"/>
        <v>0</v>
      </c>
      <c r="AE8" s="176" t="s">
        <v>163</v>
      </c>
      <c r="AF8" s="177" t="s">
        <v>164</v>
      </c>
      <c r="AG8" s="73">
        <v>240</v>
      </c>
      <c r="AH8" s="77">
        <v>0.1</v>
      </c>
      <c r="AI8" s="73">
        <v>16.88</v>
      </c>
      <c r="AJ8" s="77">
        <v>20</v>
      </c>
      <c r="AK8" s="77">
        <v>17.21</v>
      </c>
      <c r="AL8" s="77">
        <v>20.39</v>
      </c>
      <c r="AM8" s="73">
        <v>1.2749999999999999</v>
      </c>
      <c r="AN8" s="73">
        <v>270</v>
      </c>
      <c r="AO8" s="73">
        <v>320</v>
      </c>
      <c r="AP8" s="75">
        <v>3</v>
      </c>
      <c r="AQ8" s="168">
        <f t="shared" si="3"/>
        <v>10.245422734137874</v>
      </c>
      <c r="AR8" s="168">
        <f t="shared" si="1"/>
        <v>5.2792410693057512</v>
      </c>
      <c r="AS8" s="168">
        <f t="shared" si="1"/>
        <v>2.7544701668682787</v>
      </c>
      <c r="AT8" s="168">
        <f t="shared" si="1"/>
        <v>1.4464015207829199</v>
      </c>
      <c r="AU8" s="168">
        <f t="shared" si="1"/>
        <v>0.76206006438301965</v>
      </c>
      <c r="AV8" s="168">
        <f t="shared" si="1"/>
        <v>0.15446430510426384</v>
      </c>
      <c r="AW8" s="168">
        <f t="shared" si="1"/>
        <v>3.1391300775594322E-2</v>
      </c>
      <c r="AX8" s="174">
        <f t="shared" si="1"/>
        <v>1.2980225679899338E-3</v>
      </c>
    </row>
    <row r="9" spans="1:50" x14ac:dyDescent="0.25">
      <c r="A9"/>
      <c r="B9" s="227" t="s">
        <v>195</v>
      </c>
      <c r="C9" s="227"/>
      <c r="D9"/>
      <c r="E9"/>
      <c r="F9" s="171" t="s">
        <v>149</v>
      </c>
      <c r="G9" s="168">
        <f>(C3+G8)/(1-G7)</f>
        <v>19.505348596689977</v>
      </c>
      <c r="H9" s="168">
        <f>(G9+H8)/(1-H7)</f>
        <v>19.505348596689977</v>
      </c>
      <c r="I9" s="168">
        <f t="shared" ref="I9:K9" si="9">(H9+I8)/(1-I7)</f>
        <v>19.505348596689977</v>
      </c>
      <c r="J9" s="168">
        <f t="shared" si="9"/>
        <v>19.505348596689977</v>
      </c>
      <c r="K9" s="168">
        <f t="shared" si="9"/>
        <v>108.3658250542904</v>
      </c>
      <c r="L9"/>
      <c r="M9"/>
      <c r="N9"/>
      <c r="O9"/>
      <c r="P9"/>
      <c r="S9" s="170" t="s">
        <v>148</v>
      </c>
      <c r="T9" s="170">
        <v>420</v>
      </c>
      <c r="U9" s="170">
        <v>420</v>
      </c>
      <c r="V9" s="170">
        <v>420</v>
      </c>
      <c r="W9" s="170">
        <v>420</v>
      </c>
      <c r="X9" s="170">
        <v>420</v>
      </c>
      <c r="AE9" s="176" t="s">
        <v>165</v>
      </c>
      <c r="AF9" s="177" t="s">
        <v>166</v>
      </c>
      <c r="AG9" s="73">
        <v>390</v>
      </c>
      <c r="AH9" s="77">
        <v>0.5</v>
      </c>
      <c r="AI9" s="73">
        <v>14.78</v>
      </c>
      <c r="AJ9" s="77">
        <v>60</v>
      </c>
      <c r="AK9" s="77">
        <v>3.01</v>
      </c>
      <c r="AL9" s="77">
        <v>12.24</v>
      </c>
      <c r="AM9" s="73">
        <v>3.5470000000000002</v>
      </c>
      <c r="AN9" s="73">
        <v>85</v>
      </c>
      <c r="AO9" s="73">
        <v>345</v>
      </c>
      <c r="AP9" s="75">
        <v>4</v>
      </c>
      <c r="AQ9" s="168">
        <f t="shared" si="3"/>
        <v>6.4547195447681736</v>
      </c>
      <c r="AR9" s="168">
        <f t="shared" si="1"/>
        <v>3.4836305384837853</v>
      </c>
      <c r="AS9" s="168">
        <f t="shared" si="1"/>
        <v>1.9024277821250148</v>
      </c>
      <c r="AT9" s="168">
        <f t="shared" si="1"/>
        <v>1.045525606577977</v>
      </c>
      <c r="AU9" s="168">
        <f t="shared" si="1"/>
        <v>0.576579246019013</v>
      </c>
      <c r="AV9" s="168">
        <f t="shared" si="1"/>
        <v>0.13107086792598235</v>
      </c>
      <c r="AW9" s="168">
        <f t="shared" si="1"/>
        <v>2.9888558674531052E-2</v>
      </c>
      <c r="AX9" s="174">
        <f t="shared" si="1"/>
        <v>1.5566387799206994E-3</v>
      </c>
    </row>
    <row r="10" spans="1:50" ht="18" x14ac:dyDescent="0.35">
      <c r="A10"/>
      <c r="B10" t="s">
        <v>154</v>
      </c>
      <c r="C10">
        <v>1.7</v>
      </c>
      <c r="D10"/>
      <c r="E10"/>
      <c r="F10" s="171" t="s">
        <v>150</v>
      </c>
      <c r="G10" s="168">
        <f>G7*G9</f>
        <v>17.144217619512947</v>
      </c>
      <c r="H10" s="168">
        <f>H7*H9</f>
        <v>0</v>
      </c>
      <c r="I10" s="168">
        <f t="shared" ref="I10:K10" si="10">I7*I9</f>
        <v>0</v>
      </c>
      <c r="J10" s="168">
        <f t="shared" si="10"/>
        <v>0</v>
      </c>
      <c r="K10" s="168">
        <f t="shared" si="10"/>
        <v>72.399250339862817</v>
      </c>
      <c r="L10"/>
      <c r="M10"/>
      <c r="N10"/>
      <c r="O10"/>
      <c r="P10"/>
      <c r="S10" s="170" t="s">
        <v>144</v>
      </c>
      <c r="T10" s="174">
        <f>1-EXP(-T8/(T9*9.81))</f>
        <v>0.76688887047030518</v>
      </c>
      <c r="U10" s="174">
        <f>1-EXP(-U8/(U9*9.81))</f>
        <v>0.76688887047030518</v>
      </c>
      <c r="V10" s="174">
        <f>1-EXP(-V8/(V9*9.81))</f>
        <v>0</v>
      </c>
      <c r="W10" s="174">
        <f>1-EXP(-W8/(W9*9.81))</f>
        <v>0</v>
      </c>
      <c r="X10" s="174">
        <f>1-EXP(-X8/(X9*9.81))</f>
        <v>0</v>
      </c>
      <c r="AE10" s="176" t="s">
        <v>167</v>
      </c>
      <c r="AF10" s="177" t="s">
        <v>166</v>
      </c>
      <c r="AG10" s="73">
        <v>10000</v>
      </c>
      <c r="AH10" s="77">
        <v>3</v>
      </c>
      <c r="AI10" s="73">
        <v>13.88</v>
      </c>
      <c r="AJ10" s="77">
        <v>60</v>
      </c>
      <c r="AK10" s="77">
        <v>0.47</v>
      </c>
      <c r="AL10" s="77">
        <v>2.04</v>
      </c>
      <c r="AM10" s="73">
        <v>1.53</v>
      </c>
      <c r="AN10" s="73">
        <v>185</v>
      </c>
      <c r="AO10" s="73">
        <v>800</v>
      </c>
      <c r="AP10" s="75" t="s">
        <v>160</v>
      </c>
      <c r="AQ10" s="168">
        <f t="shared" si="3"/>
        <v>1.5416048707380141</v>
      </c>
      <c r="AR10" s="168">
        <f t="shared" si="1"/>
        <v>1.1726618972987479</v>
      </c>
      <c r="AS10" s="168">
        <f t="shared" si="1"/>
        <v>0.89598963127146503</v>
      </c>
      <c r="AT10" s="168">
        <f t="shared" si="1"/>
        <v>0.68688881393479395</v>
      </c>
      <c r="AU10" s="168">
        <f t="shared" si="1"/>
        <v>0.5279241069305749</v>
      </c>
      <c r="AV10" s="168">
        <f t="shared" si="1"/>
        <v>0.27544701668682758</v>
      </c>
      <c r="AW10" s="168">
        <f t="shared" si="1"/>
        <v>0.14464015207829201</v>
      </c>
      <c r="AX10" s="174">
        <f t="shared" si="1"/>
        <v>4.0220718233204902E-2</v>
      </c>
    </row>
    <row r="11" spans="1:50" x14ac:dyDescent="0.25">
      <c r="A11"/>
      <c r="B11" t="s">
        <v>196</v>
      </c>
      <c r="C11">
        <v>3300</v>
      </c>
      <c r="D11"/>
      <c r="E11"/>
      <c r="L11"/>
      <c r="M11"/>
      <c r="N11"/>
      <c r="O11"/>
      <c r="P11"/>
      <c r="S11" s="170" t="s">
        <v>155</v>
      </c>
      <c r="T11" s="168">
        <f>T7*$T$4*(T5/(1-T10))*(0.0747655 + 0.09)</f>
        <v>0.70681095463960419</v>
      </c>
      <c r="U11" s="168">
        <f>U7*$T$4*(T12/(1-U10))*(0.0747655+ 0.09)</f>
        <v>5.175182680775765</v>
      </c>
      <c r="V11" s="168">
        <f t="shared" ref="V11:X11" si="11">V7*$T$4*(U12/(1-V10))*(0.0747655+ 0.09)</f>
        <v>0</v>
      </c>
      <c r="W11" s="168">
        <f t="shared" si="11"/>
        <v>0</v>
      </c>
      <c r="X11" s="168">
        <f t="shared" si="11"/>
        <v>0</v>
      </c>
      <c r="AE11" s="176" t="s">
        <v>168</v>
      </c>
      <c r="AF11" s="177" t="s">
        <v>157</v>
      </c>
      <c r="AG11" s="73">
        <v>820</v>
      </c>
      <c r="AH11" s="77">
        <v>0.9</v>
      </c>
      <c r="AI11" s="73">
        <v>108.2</v>
      </c>
      <c r="AJ11" s="77">
        <v>120</v>
      </c>
      <c r="AK11" s="77">
        <v>12.26</v>
      </c>
      <c r="AL11" s="77">
        <v>13.6</v>
      </c>
      <c r="AM11" s="73">
        <v>8.0239999999999991</v>
      </c>
      <c r="AN11" s="73">
        <v>275</v>
      </c>
      <c r="AO11" s="73">
        <v>305</v>
      </c>
      <c r="AP11" s="75">
        <v>8</v>
      </c>
      <c r="AQ11" s="168">
        <f t="shared" si="3"/>
        <v>6.6082156436531063</v>
      </c>
      <c r="AR11" s="168">
        <f t="shared" si="1"/>
        <v>3.2999481629416363</v>
      </c>
      <c r="AS11" s="168">
        <f t="shared" si="1"/>
        <v>1.6693199736700537</v>
      </c>
      <c r="AT11" s="168">
        <f t="shared" si="1"/>
        <v>0.84989225911666266</v>
      </c>
      <c r="AU11" s="168">
        <f t="shared" si="1"/>
        <v>0.43410812166880158</v>
      </c>
      <c r="AV11" s="168">
        <f t="shared" si="1"/>
        <v>8.1395832349893227E-2</v>
      </c>
      <c r="AW11" s="168">
        <f t="shared" si="1"/>
        <v>1.5297499795613432E-2</v>
      </c>
      <c r="AX11" s="174">
        <f t="shared" si="1"/>
        <v>5.4084570647061452E-4</v>
      </c>
    </row>
    <row r="12" spans="1:50" x14ac:dyDescent="0.25">
      <c r="A12"/>
      <c r="B12" t="s">
        <v>148</v>
      </c>
      <c r="C12">
        <v>305</v>
      </c>
      <c r="D12"/>
      <c r="E12"/>
      <c r="L12"/>
      <c r="M12"/>
      <c r="N12"/>
      <c r="O12"/>
      <c r="P12" s="175"/>
      <c r="S12" s="170" t="s">
        <v>149</v>
      </c>
      <c r="T12" s="168">
        <f>(T5+T11)/(1-T10)</f>
        <v>7.3218767292798104</v>
      </c>
      <c r="U12" s="168">
        <f>(T12+U11)/(1-U10)</f>
        <v>53.609878838769212</v>
      </c>
      <c r="V12" s="168">
        <f>(U12+V11)/(1-V10)</f>
        <v>53.609878838769212</v>
      </c>
      <c r="W12" s="168">
        <f>(V12+W11)/(1-W10)</f>
        <v>53.609878838769212</v>
      </c>
      <c r="X12" s="168">
        <f>(W12+X11)/(1-X10)</f>
        <v>53.609878838769212</v>
      </c>
      <c r="AE12" s="176" t="s">
        <v>169</v>
      </c>
      <c r="AF12" s="177" t="s">
        <v>170</v>
      </c>
      <c r="AG12" s="73">
        <v>3850</v>
      </c>
      <c r="AH12" s="77">
        <v>1</v>
      </c>
      <c r="AI12" s="73">
        <v>153.53</v>
      </c>
      <c r="AJ12" s="77">
        <v>180</v>
      </c>
      <c r="AK12" s="77">
        <v>15.66</v>
      </c>
      <c r="AL12" s="77">
        <v>18.350000000000001</v>
      </c>
      <c r="AM12" s="73">
        <v>10.797000000000001</v>
      </c>
      <c r="AN12" s="73">
        <v>290</v>
      </c>
      <c r="AO12" s="73">
        <v>340</v>
      </c>
      <c r="AP12" s="75" t="s">
        <v>160</v>
      </c>
      <c r="AQ12" s="168">
        <f t="shared" si="3"/>
        <v>9.5934420887776426</v>
      </c>
      <c r="AR12" s="168">
        <f t="shared" si="1"/>
        <v>5.1326138996283941</v>
      </c>
      <c r="AS12" s="168">
        <f t="shared" si="1"/>
        <v>2.7789718410743069</v>
      </c>
      <c r="AT12" s="168">
        <f t="shared" si="1"/>
        <v>1.514218873523856</v>
      </c>
      <c r="AU12" s="168">
        <f t="shared" si="1"/>
        <v>0.82790973486511332</v>
      </c>
      <c r="AV12" s="168">
        <f t="shared" si="1"/>
        <v>0.18418694283710513</v>
      </c>
      <c r="AW12" s="168">
        <f t="shared" si="1"/>
        <v>4.1100309261419013E-2</v>
      </c>
      <c r="AX12" s="174">
        <f t="shared" si="1"/>
        <v>2.0495869541751841E-3</v>
      </c>
    </row>
    <row r="13" spans="1:50" x14ac:dyDescent="0.25">
      <c r="A13"/>
      <c r="D13"/>
      <c r="E13"/>
      <c r="L13"/>
      <c r="M13"/>
      <c r="N13"/>
      <c r="O13"/>
      <c r="P13"/>
      <c r="S13" s="170" t="s">
        <v>150</v>
      </c>
      <c r="T13" s="168">
        <f>T10*T12</f>
        <v>5.6150657746402066</v>
      </c>
      <c r="U13" s="168">
        <f>U10*U12</f>
        <v>41.112819428713635</v>
      </c>
      <c r="V13" s="168">
        <f>V10*V12</f>
        <v>0</v>
      </c>
      <c r="W13" s="168">
        <f>W10*W12</f>
        <v>0</v>
      </c>
      <c r="X13" s="168">
        <f>X10*X12</f>
        <v>0</v>
      </c>
      <c r="AE13" s="176" t="s">
        <v>171</v>
      </c>
      <c r="AF13" s="177" t="s">
        <v>166</v>
      </c>
      <c r="AG13" s="73">
        <v>6000</v>
      </c>
      <c r="AH13" s="77">
        <v>2</v>
      </c>
      <c r="AI13" s="73">
        <v>162.30000000000001</v>
      </c>
      <c r="AJ13" s="77">
        <v>180</v>
      </c>
      <c r="AK13" s="77">
        <v>8.27</v>
      </c>
      <c r="AL13" s="77">
        <v>9.18</v>
      </c>
      <c r="AM13" s="73">
        <v>12.036</v>
      </c>
      <c r="AN13" s="73">
        <v>275</v>
      </c>
      <c r="AO13" s="73">
        <v>305</v>
      </c>
      <c r="AP13" s="75">
        <v>3</v>
      </c>
      <c r="AQ13" s="168">
        <f t="shared" si="3"/>
        <v>4.4605455594658476</v>
      </c>
      <c r="AR13" s="168">
        <f t="shared" si="1"/>
        <v>2.2274650099856044</v>
      </c>
      <c r="AS13" s="168">
        <f t="shared" si="1"/>
        <v>1.1267909822272864</v>
      </c>
      <c r="AT13" s="168">
        <f t="shared" si="1"/>
        <v>0.57367727490374731</v>
      </c>
      <c r="AU13" s="168">
        <f t="shared" si="1"/>
        <v>0.29302298212644112</v>
      </c>
      <c r="AV13" s="168">
        <f t="shared" si="1"/>
        <v>5.4942186836177929E-2</v>
      </c>
      <c r="AW13" s="168">
        <f t="shared" si="1"/>
        <v>1.0325812362039066E-2</v>
      </c>
      <c r="AX13" s="174">
        <f t="shared" si="1"/>
        <v>3.6507085186766484E-4</v>
      </c>
    </row>
    <row r="14" spans="1:50" x14ac:dyDescent="0.25">
      <c r="A14"/>
      <c r="B14" s="227" t="s">
        <v>201</v>
      </c>
      <c r="C14" s="227"/>
      <c r="D14"/>
      <c r="E14"/>
      <c r="L14"/>
      <c r="M14"/>
      <c r="N14"/>
      <c r="O14"/>
      <c r="P14"/>
      <c r="AE14" s="176" t="s">
        <v>172</v>
      </c>
      <c r="AF14" s="177" t="s">
        <v>166</v>
      </c>
      <c r="AG14" s="73">
        <v>1200</v>
      </c>
      <c r="AH14" s="77">
        <v>1.5</v>
      </c>
      <c r="AI14" s="73">
        <v>167.97</v>
      </c>
      <c r="AJ14" s="77">
        <v>215</v>
      </c>
      <c r="AK14" s="77">
        <v>11.42</v>
      </c>
      <c r="AL14" s="77">
        <v>14.62</v>
      </c>
      <c r="AM14" s="73">
        <v>13.702999999999999</v>
      </c>
      <c r="AN14" s="73">
        <v>250</v>
      </c>
      <c r="AO14" s="73">
        <v>320</v>
      </c>
      <c r="AP14" s="75">
        <v>3</v>
      </c>
      <c r="AQ14" s="168">
        <f t="shared" si="3"/>
        <v>7.3425529594654764</v>
      </c>
      <c r="AR14" s="168">
        <f t="shared" si="1"/>
        <v>3.7834560996691216</v>
      </c>
      <c r="AS14" s="168">
        <f t="shared" si="1"/>
        <v>1.9740369529222666</v>
      </c>
      <c r="AT14" s="168">
        <f t="shared" si="1"/>
        <v>1.0365877565610926</v>
      </c>
      <c r="AU14" s="168">
        <f t="shared" si="1"/>
        <v>0.54614304614116416</v>
      </c>
      <c r="AV14" s="168">
        <f t="shared" si="1"/>
        <v>0.11069941865805577</v>
      </c>
      <c r="AW14" s="168">
        <f t="shared" si="1"/>
        <v>2.2497098889175931E-2</v>
      </c>
      <c r="AX14" s="174">
        <f t="shared" si="1"/>
        <v>9.3024950705945266E-4</v>
      </c>
    </row>
    <row r="15" spans="1:50" x14ac:dyDescent="0.25">
      <c r="A15"/>
      <c r="B15" t="s">
        <v>152</v>
      </c>
      <c r="C15">
        <f>C5-2</f>
        <v>0</v>
      </c>
      <c r="D15"/>
      <c r="E15"/>
      <c r="L15"/>
      <c r="M15"/>
      <c r="N15"/>
      <c r="O15"/>
      <c r="P15"/>
      <c r="T15" s="168"/>
      <c r="U15" s="168"/>
      <c r="V15" s="168"/>
      <c r="W15" s="168"/>
      <c r="X15" s="168"/>
      <c r="AE15" s="176" t="s">
        <v>173</v>
      </c>
      <c r="AF15" s="177" t="s">
        <v>166</v>
      </c>
      <c r="AG15" s="73">
        <v>1100</v>
      </c>
      <c r="AH15" s="77">
        <v>1.25</v>
      </c>
      <c r="AI15" s="73">
        <v>205.16</v>
      </c>
      <c r="AJ15" s="77">
        <v>240</v>
      </c>
      <c r="AK15" s="77">
        <v>16.739999999999998</v>
      </c>
      <c r="AL15" s="77">
        <v>19.579999999999998</v>
      </c>
      <c r="AM15" s="73">
        <v>15.789</v>
      </c>
      <c r="AN15" s="73">
        <v>265</v>
      </c>
      <c r="AO15" s="73">
        <v>310</v>
      </c>
      <c r="AP15" s="75" t="s">
        <v>160</v>
      </c>
      <c r="AQ15" s="168">
        <f t="shared" si="3"/>
        <v>9.6246085090973246</v>
      </c>
      <c r="AR15" s="168">
        <f t="shared" si="1"/>
        <v>4.8583554006507388</v>
      </c>
      <c r="AS15" s="168">
        <f t="shared" si="1"/>
        <v>2.4839535995994346</v>
      </c>
      <c r="AT15" s="168">
        <f t="shared" si="1"/>
        <v>1.2781687358295593</v>
      </c>
      <c r="AU15" s="168">
        <f t="shared" si="1"/>
        <v>0.65986773593628856</v>
      </c>
      <c r="AV15" s="168">
        <f t="shared" si="1"/>
        <v>0.12708836220056857</v>
      </c>
      <c r="AW15" s="168">
        <f t="shared" si="1"/>
        <v>2.4536439126517373E-2</v>
      </c>
      <c r="AX15" s="174">
        <f t="shared" si="1"/>
        <v>9.1552420609801054E-4</v>
      </c>
    </row>
    <row r="16" spans="1:50" x14ac:dyDescent="0.25">
      <c r="A16"/>
      <c r="B16" t="s">
        <v>143</v>
      </c>
      <c r="C16">
        <f>IF(C15, (C4-C11-C20)/C15, 0)</f>
        <v>0</v>
      </c>
      <c r="D16"/>
      <c r="E16"/>
      <c r="L16"/>
      <c r="M16"/>
      <c r="N16"/>
      <c r="O16"/>
      <c r="P16"/>
      <c r="AB16" s="170" t="s">
        <v>151</v>
      </c>
      <c r="AE16" s="176" t="s">
        <v>174</v>
      </c>
      <c r="AF16" s="177" t="s">
        <v>175</v>
      </c>
      <c r="AG16" s="73">
        <v>1300</v>
      </c>
      <c r="AH16" s="77">
        <v>1.75</v>
      </c>
      <c r="AI16" s="73">
        <v>64.290000000000006</v>
      </c>
      <c r="AJ16" s="77">
        <v>250</v>
      </c>
      <c r="AK16" s="77">
        <v>3.75</v>
      </c>
      <c r="AL16" s="77">
        <v>14.57</v>
      </c>
      <c r="AM16" s="73">
        <v>14.568</v>
      </c>
      <c r="AN16" s="73">
        <v>90</v>
      </c>
      <c r="AO16" s="73">
        <v>350</v>
      </c>
      <c r="AP16" s="75">
        <v>4.5</v>
      </c>
      <c r="AQ16" s="168">
        <f t="shared" si="3"/>
        <v>7.7531841025815051</v>
      </c>
      <c r="AR16" s="168">
        <f t="shared" si="1"/>
        <v>4.2200658710783614</v>
      </c>
      <c r="AS16" s="168">
        <f t="shared" si="1"/>
        <v>2.3239144710672757</v>
      </c>
      <c r="AT16" s="168">
        <f t="shared" si="1"/>
        <v>1.2878406413565608</v>
      </c>
      <c r="AU16" s="168">
        <f t="shared" si="1"/>
        <v>0.71615858387200415</v>
      </c>
      <c r="AV16" s="168">
        <f t="shared" si="1"/>
        <v>0.16624856792104287</v>
      </c>
      <c r="AW16" s="168">
        <f t="shared" si="1"/>
        <v>3.8716766195935004E-2</v>
      </c>
      <c r="AX16" s="174">
        <f t="shared" si="1"/>
        <v>2.1033130126867079E-3</v>
      </c>
    </row>
    <row r="17" spans="1:50" x14ac:dyDescent="0.25">
      <c r="A17"/>
      <c r="B17" t="s">
        <v>154</v>
      </c>
      <c r="C17">
        <v>1</v>
      </c>
      <c r="D17"/>
      <c r="E17"/>
      <c r="L17"/>
      <c r="M17"/>
      <c r="N17"/>
      <c r="O17"/>
      <c r="P17"/>
      <c r="AB17" s="170">
        <f>C4</f>
        <v>12000</v>
      </c>
      <c r="AE17" s="176" t="s">
        <v>176</v>
      </c>
      <c r="AF17" s="177" t="s">
        <v>175</v>
      </c>
      <c r="AG17" s="73">
        <v>5300</v>
      </c>
      <c r="AH17" s="77">
        <v>3</v>
      </c>
      <c r="AI17" s="73">
        <v>568.75</v>
      </c>
      <c r="AJ17" s="77">
        <v>650</v>
      </c>
      <c r="AK17" s="77">
        <v>19.329999999999998</v>
      </c>
      <c r="AL17" s="77">
        <v>22.09</v>
      </c>
      <c r="AM17" s="73">
        <v>41.426000000000002</v>
      </c>
      <c r="AN17" s="73">
        <v>280</v>
      </c>
      <c r="AO17" s="73">
        <v>320</v>
      </c>
      <c r="AP17" s="75">
        <v>2</v>
      </c>
      <c r="AQ17" s="168">
        <f t="shared" si="3"/>
        <v>11.099207961982698</v>
      </c>
      <c r="AR17" s="168">
        <f t="shared" si="1"/>
        <v>5.7191778250812302</v>
      </c>
      <c r="AS17" s="168">
        <f t="shared" si="1"/>
        <v>2.9840093474406353</v>
      </c>
      <c r="AT17" s="168">
        <f t="shared" si="1"/>
        <v>1.5669349808481634</v>
      </c>
      <c r="AU17" s="168">
        <f t="shared" si="1"/>
        <v>0.82556506974827137</v>
      </c>
      <c r="AV17" s="168">
        <f t="shared" si="1"/>
        <v>0.16733633052961919</v>
      </c>
      <c r="AW17" s="168">
        <f t="shared" si="1"/>
        <v>3.4007242506893846E-2</v>
      </c>
      <c r="AX17" s="174">
        <f t="shared" si="1"/>
        <v>1.4061911153224285E-3</v>
      </c>
    </row>
    <row r="18" spans="1:50" x14ac:dyDescent="0.25">
      <c r="A18"/>
      <c r="B18"/>
      <c r="C18"/>
      <c r="D18"/>
      <c r="E18"/>
      <c r="L18"/>
      <c r="M18"/>
      <c r="N18"/>
      <c r="O18"/>
      <c r="P18"/>
      <c r="S18" s="170" t="s">
        <v>142</v>
      </c>
      <c r="T18" s="170">
        <f>T4</f>
        <v>1</v>
      </c>
      <c r="AE18" s="176" t="s">
        <v>177</v>
      </c>
      <c r="AF18" s="177" t="s">
        <v>170</v>
      </c>
      <c r="AG18" s="73">
        <v>18000</v>
      </c>
      <c r="AH18" s="77">
        <v>4</v>
      </c>
      <c r="AI18" s="73">
        <v>936.51</v>
      </c>
      <c r="AJ18" s="77">
        <v>1000</v>
      </c>
      <c r="AK18" s="77">
        <v>23.87</v>
      </c>
      <c r="AL18" s="77">
        <v>25.49</v>
      </c>
      <c r="AM18" s="73">
        <v>64.745000000000005</v>
      </c>
      <c r="AN18" s="73">
        <v>295</v>
      </c>
      <c r="AO18" s="73">
        <v>315</v>
      </c>
      <c r="AP18" s="75">
        <v>10.5</v>
      </c>
      <c r="AQ18" s="168">
        <f t="shared" si="3"/>
        <v>12.670807291213089</v>
      </c>
      <c r="AR18" s="168">
        <f t="shared" si="1"/>
        <v>6.4632029431361806</v>
      </c>
      <c r="AS18" s="168">
        <f t="shared" si="1"/>
        <v>3.3387025677035225</v>
      </c>
      <c r="AT18" s="168">
        <f t="shared" si="1"/>
        <v>1.7357837760567845</v>
      </c>
      <c r="AU18" s="168">
        <f t="shared" si="1"/>
        <v>0.90542141148258359</v>
      </c>
      <c r="AV18" s="168">
        <f t="shared" si="1"/>
        <v>0.17896662369147093</v>
      </c>
      <c r="AW18" s="168">
        <f t="shared" si="1"/>
        <v>3.5464427255651604E-2</v>
      </c>
      <c r="AX18" s="174">
        <f t="shared" si="1"/>
        <v>1.3941611330121528E-3</v>
      </c>
    </row>
    <row r="19" spans="1:50" x14ac:dyDescent="0.25">
      <c r="A19"/>
      <c r="B19" s="227" t="s">
        <v>200</v>
      </c>
      <c r="C19" s="227"/>
      <c r="D19"/>
      <c r="E19"/>
      <c r="L19"/>
      <c r="M19"/>
      <c r="N19"/>
      <c r="O19"/>
      <c r="P19"/>
      <c r="S19" s="170" t="s">
        <v>145</v>
      </c>
      <c r="T19" s="170">
        <f>T5</f>
        <v>1</v>
      </c>
      <c r="AE19" s="176" t="s">
        <v>178</v>
      </c>
      <c r="AF19" s="177" t="s">
        <v>175</v>
      </c>
      <c r="AG19" s="73">
        <v>13000</v>
      </c>
      <c r="AH19" s="77">
        <v>6</v>
      </c>
      <c r="AI19" s="73">
        <v>1379.03</v>
      </c>
      <c r="AJ19" s="77">
        <v>1500</v>
      </c>
      <c r="AK19" s="77">
        <v>23.44</v>
      </c>
      <c r="AL19" s="77">
        <v>25.49</v>
      </c>
      <c r="AM19" s="73">
        <v>98.683000000000007</v>
      </c>
      <c r="AN19" s="73">
        <v>285</v>
      </c>
      <c r="AO19" s="73">
        <v>310</v>
      </c>
      <c r="AP19" s="75">
        <v>2</v>
      </c>
      <c r="AQ19" s="168">
        <f t="shared" si="3"/>
        <v>12.532042329553811</v>
      </c>
      <c r="AR19" s="168">
        <f t="shared" si="1"/>
        <v>6.3259835945973171</v>
      </c>
      <c r="AS19" s="168">
        <f t="shared" si="1"/>
        <v>3.2343145828117641</v>
      </c>
      <c r="AT19" s="168">
        <f t="shared" si="1"/>
        <v>1.6642822081114055</v>
      </c>
      <c r="AU19" s="168">
        <f t="shared" si="1"/>
        <v>0.85920278116704241</v>
      </c>
      <c r="AV19" s="168">
        <f t="shared" si="1"/>
        <v>0.16547963828199036</v>
      </c>
      <c r="AW19" s="168">
        <f t="shared" si="1"/>
        <v>3.1948488445986169E-2</v>
      </c>
      <c r="AX19" s="174">
        <f t="shared" si="1"/>
        <v>1.1920888100234511E-3</v>
      </c>
    </row>
    <row r="20" spans="1:50" x14ac:dyDescent="0.25">
      <c r="A20"/>
      <c r="B20" t="s">
        <v>143</v>
      </c>
      <c r="C20">
        <f>(C4-C11)/(C5-1)</f>
        <v>8700</v>
      </c>
      <c r="D20"/>
      <c r="E20"/>
      <c r="L20"/>
      <c r="M20"/>
      <c r="N20"/>
      <c r="O20"/>
      <c r="P20"/>
      <c r="AE20" s="176" t="s">
        <v>179</v>
      </c>
      <c r="AF20" s="177" t="s">
        <v>180</v>
      </c>
      <c r="AG20" s="73">
        <v>17000</v>
      </c>
      <c r="AH20" s="77">
        <v>42.5</v>
      </c>
      <c r="AI20" s="73">
        <v>1866.67</v>
      </c>
      <c r="AJ20" s="77">
        <v>2000</v>
      </c>
      <c r="AK20" s="77">
        <v>4.4800000000000004</v>
      </c>
      <c r="AL20" s="77">
        <v>4.8</v>
      </c>
      <c r="AM20" s="73">
        <v>135.964</v>
      </c>
      <c r="AN20" s="73">
        <v>280</v>
      </c>
      <c r="AO20" s="73">
        <v>300</v>
      </c>
      <c r="AP20" s="75">
        <v>1.5</v>
      </c>
      <c r="AQ20" s="168">
        <f t="shared" si="3"/>
        <v>2.305093954671011</v>
      </c>
      <c r="AR20" s="168">
        <f t="shared" si="3"/>
        <v>1.1383478444592237</v>
      </c>
      <c r="AS20" s="168">
        <f t="shared" si="3"/>
        <v>0.56955071635188581</v>
      </c>
      <c r="AT20" s="168">
        <f t="shared" si="3"/>
        <v>0.28680160606118466</v>
      </c>
      <c r="AU20" s="168">
        <f t="shared" si="3"/>
        <v>0.14488560817138341</v>
      </c>
      <c r="AV20" s="168">
        <f t="shared" si="3"/>
        <v>2.6423721799457796E-2</v>
      </c>
      <c r="AW20" s="168">
        <f t="shared" si="3"/>
        <v>4.8298529371762601E-3</v>
      </c>
      <c r="AX20" s="174">
        <f t="shared" si="3"/>
        <v>1.6151047094454366E-4</v>
      </c>
    </row>
    <row r="21" spans="1:50" x14ac:dyDescent="0.25">
      <c r="A21"/>
      <c r="B21" t="s">
        <v>154</v>
      </c>
      <c r="C21">
        <v>1</v>
      </c>
      <c r="D21"/>
      <c r="E21"/>
      <c r="L21"/>
      <c r="M21"/>
      <c r="N21"/>
      <c r="O21"/>
      <c r="P21"/>
      <c r="S21" s="170" t="s">
        <v>146</v>
      </c>
      <c r="T21" s="170">
        <v>1</v>
      </c>
      <c r="U21" s="170">
        <v>2</v>
      </c>
      <c r="V21" s="170">
        <v>3</v>
      </c>
      <c r="W21" s="170">
        <v>4</v>
      </c>
      <c r="X21" s="170">
        <v>5</v>
      </c>
      <c r="AE21" s="176" t="s">
        <v>181</v>
      </c>
      <c r="AF21" s="177" t="s">
        <v>182</v>
      </c>
      <c r="AG21" s="73">
        <v>25000</v>
      </c>
      <c r="AH21" s="77">
        <v>9</v>
      </c>
      <c r="AI21" s="73">
        <v>1205.8800000000001</v>
      </c>
      <c r="AJ21" s="77">
        <v>2000</v>
      </c>
      <c r="AK21" s="77">
        <v>13.66</v>
      </c>
      <c r="AL21" s="77">
        <v>22.66</v>
      </c>
      <c r="AM21" s="73">
        <v>119.968</v>
      </c>
      <c r="AN21" s="73">
        <v>205</v>
      </c>
      <c r="AO21" s="73">
        <v>340</v>
      </c>
      <c r="AP21" s="75">
        <v>4</v>
      </c>
      <c r="AQ21" s="168">
        <f t="shared" ref="AQ21:AX24" si="12">$AJ21/(9.81*$AH21*(1+1.111/(-1+1/(1-EXP(-AQ$3/($AO21*9.81))))))</f>
        <v>11.843755665157582</v>
      </c>
      <c r="AR21" s="168">
        <f t="shared" si="12"/>
        <v>6.3365603699115969</v>
      </c>
      <c r="AS21" s="168">
        <f t="shared" si="12"/>
        <v>3.4308294334250702</v>
      </c>
      <c r="AT21" s="168">
        <f t="shared" si="12"/>
        <v>1.8694060166961186</v>
      </c>
      <c r="AU21" s="168">
        <f t="shared" si="12"/>
        <v>1.0221107837840904</v>
      </c>
      <c r="AV21" s="168">
        <f t="shared" si="12"/>
        <v>0.22739128745321621</v>
      </c>
      <c r="AW21" s="168">
        <f t="shared" si="12"/>
        <v>5.0741122544961742E-2</v>
      </c>
      <c r="AX21" s="174">
        <f t="shared" si="12"/>
        <v>2.5303542644138075E-3</v>
      </c>
    </row>
    <row r="22" spans="1:50" ht="15.75" thickBot="1" x14ac:dyDescent="0.3">
      <c r="A22"/>
      <c r="B22" t="s">
        <v>148</v>
      </c>
      <c r="C22">
        <v>420</v>
      </c>
      <c r="D22"/>
      <c r="E22"/>
      <c r="L22"/>
      <c r="M22"/>
      <c r="N22"/>
      <c r="O22"/>
      <c r="P22"/>
      <c r="S22" s="170" t="s">
        <v>143</v>
      </c>
      <c r="T22" s="170">
        <f>AB17</f>
        <v>12000</v>
      </c>
      <c r="AE22" s="178" t="s">
        <v>183</v>
      </c>
      <c r="AF22" s="179" t="s">
        <v>182</v>
      </c>
      <c r="AG22" s="80">
        <v>39000</v>
      </c>
      <c r="AH22" s="83">
        <v>15</v>
      </c>
      <c r="AI22" s="80">
        <v>3746.03</v>
      </c>
      <c r="AJ22" s="83">
        <v>4000</v>
      </c>
      <c r="AK22" s="83">
        <v>25.47</v>
      </c>
      <c r="AL22" s="83">
        <v>27.19</v>
      </c>
      <c r="AM22" s="80">
        <v>258.97800000000001</v>
      </c>
      <c r="AN22" s="80">
        <v>295</v>
      </c>
      <c r="AO22" s="80">
        <v>315</v>
      </c>
      <c r="AP22" s="95">
        <v>2</v>
      </c>
      <c r="AQ22" s="168">
        <f t="shared" si="12"/>
        <v>13.515527777293959</v>
      </c>
      <c r="AR22" s="168">
        <f t="shared" si="12"/>
        <v>6.8940831393452582</v>
      </c>
      <c r="AS22" s="168">
        <f t="shared" si="12"/>
        <v>3.5612827388837576</v>
      </c>
      <c r="AT22" s="168">
        <f t="shared" si="12"/>
        <v>1.8515026944605704</v>
      </c>
      <c r="AU22" s="168">
        <f t="shared" si="12"/>
        <v>0.96578283891475591</v>
      </c>
      <c r="AV22" s="168">
        <f t="shared" si="12"/>
        <v>0.19089773193756901</v>
      </c>
      <c r="AW22" s="168">
        <f t="shared" si="12"/>
        <v>3.782872240602838E-2</v>
      </c>
      <c r="AX22" s="174">
        <f t="shared" si="12"/>
        <v>1.4871052085462964E-3</v>
      </c>
    </row>
    <row r="23" spans="1:50" x14ac:dyDescent="0.25">
      <c r="A23"/>
      <c r="B23"/>
      <c r="C23"/>
      <c r="D23"/>
      <c r="E23"/>
      <c r="L23"/>
      <c r="M23"/>
      <c r="N23"/>
      <c r="O23"/>
      <c r="P23"/>
      <c r="S23" s="170" t="s">
        <v>148</v>
      </c>
      <c r="T23" s="170">
        <v>420</v>
      </c>
      <c r="AE23" s="172" t="s">
        <v>197</v>
      </c>
      <c r="AF23" s="172" t="s">
        <v>164</v>
      </c>
      <c r="AG23" s="170">
        <v>8000</v>
      </c>
      <c r="AH23" s="170">
        <v>0.25</v>
      </c>
      <c r="AI23" s="170">
        <v>4.8000000000000001E-2</v>
      </c>
      <c r="AJ23" s="170">
        <v>2</v>
      </c>
      <c r="AK23" s="170">
        <v>1.9E-2</v>
      </c>
      <c r="AL23" s="170">
        <v>0.81599999999999995</v>
      </c>
      <c r="AN23" s="170">
        <v>100</v>
      </c>
      <c r="AO23" s="170">
        <v>4200</v>
      </c>
      <c r="AQ23" s="168">
        <f t="shared" si="12"/>
        <v>0.77279019138787153</v>
      </c>
      <c r="AR23" s="168">
        <f t="shared" si="12"/>
        <v>0.73252293043216088</v>
      </c>
      <c r="AS23" s="168">
        <f t="shared" si="12"/>
        <v>0.69453332276159041</v>
      </c>
      <c r="AT23" s="168">
        <f t="shared" si="12"/>
        <v>0.65867452817354499</v>
      </c>
      <c r="AU23" s="168">
        <f t="shared" si="12"/>
        <v>0.62481097821927423</v>
      </c>
      <c r="AV23" s="168">
        <f t="shared" si="12"/>
        <v>0.54808142299354978</v>
      </c>
      <c r="AW23" s="168">
        <f t="shared" si="12"/>
        <v>0.48134356252402771</v>
      </c>
      <c r="AX23" s="174">
        <f t="shared" si="12"/>
        <v>0.37235751318076699</v>
      </c>
    </row>
    <row r="24" spans="1:50" ht="18" x14ac:dyDescent="0.35">
      <c r="A24"/>
      <c r="B24"/>
      <c r="C24"/>
      <c r="D24"/>
      <c r="E24"/>
      <c r="L24"/>
      <c r="M24"/>
      <c r="N24"/>
      <c r="O24"/>
      <c r="P24"/>
      <c r="S24" s="170" t="s">
        <v>144</v>
      </c>
      <c r="T24" s="174">
        <f>1-EXP(-T22/(T23*9.81))</f>
        <v>0.94565920128938985</v>
      </c>
      <c r="AE24" s="172" t="s">
        <v>199</v>
      </c>
      <c r="AF24" s="172" t="s">
        <v>175</v>
      </c>
      <c r="AG24" s="170">
        <v>1680</v>
      </c>
      <c r="AH24" s="170">
        <v>2.5</v>
      </c>
      <c r="AI24" s="170">
        <v>63.71</v>
      </c>
      <c r="AJ24" s="170">
        <v>375</v>
      </c>
      <c r="AM24" s="170">
        <v>18.54</v>
      </c>
      <c r="AN24" s="170">
        <v>70</v>
      </c>
      <c r="AO24" s="170">
        <v>412</v>
      </c>
      <c r="AQ24" s="168">
        <f t="shared" si="12"/>
        <v>8.9350327067473057</v>
      </c>
      <c r="AR24" s="168">
        <f t="shared" si="12"/>
        <v>5.3129017245034458</v>
      </c>
      <c r="AS24" s="168">
        <f t="shared" si="12"/>
        <v>3.1910724331848028</v>
      </c>
      <c r="AT24" s="168">
        <f t="shared" si="12"/>
        <v>1.9280646555451031</v>
      </c>
      <c r="AU24" s="168">
        <f t="shared" si="12"/>
        <v>1.1690944416353262</v>
      </c>
      <c r="AV24" s="168">
        <f t="shared" si="12"/>
        <v>0.33726937294292803</v>
      </c>
      <c r="AW24" s="168">
        <f t="shared" si="12"/>
        <v>9.7714364524661312E-2</v>
      </c>
      <c r="AX24" s="174">
        <f t="shared" si="12"/>
        <v>8.2252199039055552E-3</v>
      </c>
    </row>
    <row r="25" spans="1:50" x14ac:dyDescent="0.25">
      <c r="A25"/>
      <c r="B25"/>
      <c r="C25"/>
      <c r="D25"/>
      <c r="E25"/>
      <c r="L25"/>
      <c r="M25"/>
      <c r="N25"/>
      <c r="O25"/>
      <c r="P25"/>
      <c r="S25" s="170" t="s">
        <v>147</v>
      </c>
      <c r="T25" s="168">
        <f>T18*(T19/(1-T24))*(0.0747655+0.09)</f>
        <v>3.032077258883374</v>
      </c>
      <c r="AQ25" s="173"/>
    </row>
    <row r="26" spans="1:50" x14ac:dyDescent="0.25">
      <c r="A26"/>
      <c r="B26"/>
      <c r="C26"/>
      <c r="D26"/>
      <c r="E26"/>
      <c r="L26"/>
      <c r="M26"/>
      <c r="N26"/>
      <c r="O26"/>
      <c r="P26"/>
      <c r="S26" s="170" t="s">
        <v>149</v>
      </c>
      <c r="T26" s="168">
        <f>(T19+T25)/(1-T24)</f>
        <v>74.199815876024346</v>
      </c>
    </row>
    <row r="27" spans="1:50" x14ac:dyDescent="0.25">
      <c r="A27"/>
      <c r="B27"/>
      <c r="C27"/>
      <c r="D27"/>
      <c r="E27"/>
      <c r="L27"/>
      <c r="M27"/>
      <c r="N27"/>
      <c r="O27"/>
      <c r="P27"/>
      <c r="S27" s="170" t="s">
        <v>150</v>
      </c>
      <c r="T27" s="168">
        <f>T24*T26</f>
        <v>70.167738617140969</v>
      </c>
    </row>
    <row r="28" spans="1:50" x14ac:dyDescent="0.25">
      <c r="A28"/>
      <c r="B28"/>
      <c r="C28"/>
      <c r="D28"/>
      <c r="E28"/>
      <c r="L28"/>
      <c r="M28"/>
      <c r="N28"/>
      <c r="O28"/>
      <c r="P28"/>
    </row>
    <row r="29" spans="1:50" x14ac:dyDescent="0.25">
      <c r="A29"/>
      <c r="B29"/>
      <c r="C29"/>
      <c r="D29"/>
      <c r="E29"/>
      <c r="L29"/>
      <c r="M29"/>
      <c r="N29"/>
      <c r="O29"/>
      <c r="P29"/>
    </row>
    <row r="30" spans="1:50" x14ac:dyDescent="0.25">
      <c r="A30"/>
      <c r="B30"/>
      <c r="C30"/>
      <c r="D30"/>
      <c r="E30"/>
      <c r="L30"/>
      <c r="M30"/>
      <c r="N30"/>
      <c r="O30"/>
      <c r="P30"/>
    </row>
    <row r="31" spans="1:50" x14ac:dyDescent="0.25">
      <c r="A31"/>
      <c r="B31"/>
      <c r="C31"/>
      <c r="D31"/>
      <c r="E31"/>
      <c r="L31"/>
      <c r="M31"/>
      <c r="N31"/>
      <c r="O31"/>
      <c r="P31"/>
    </row>
    <row r="32" spans="1:50" x14ac:dyDescent="0.25">
      <c r="A32"/>
      <c r="B32"/>
      <c r="C32"/>
      <c r="D32"/>
      <c r="E32"/>
      <c r="L32"/>
      <c r="M32"/>
      <c r="N32"/>
      <c r="O32"/>
      <c r="P32"/>
    </row>
    <row r="33" spans="1:16" x14ac:dyDescent="0.25">
      <c r="A33"/>
      <c r="B33"/>
      <c r="C33"/>
      <c r="D33"/>
      <c r="E33"/>
      <c r="L33"/>
      <c r="M33"/>
      <c r="N33"/>
      <c r="O33"/>
      <c r="P33"/>
    </row>
    <row r="34" spans="1:16" x14ac:dyDescent="0.25">
      <c r="A34"/>
      <c r="B34"/>
      <c r="C34"/>
      <c r="D34"/>
      <c r="E34"/>
      <c r="L34"/>
      <c r="M34"/>
      <c r="N34"/>
      <c r="O34"/>
      <c r="P34"/>
    </row>
  </sheetData>
  <mergeCells count="15">
    <mergeCell ref="AQ2:AX2"/>
    <mergeCell ref="AI2:AJ2"/>
    <mergeCell ref="AK2:AL2"/>
    <mergeCell ref="AN2:AO2"/>
    <mergeCell ref="B14:C14"/>
    <mergeCell ref="B19:C19"/>
    <mergeCell ref="AE1:AP1"/>
    <mergeCell ref="AP2:AP3"/>
    <mergeCell ref="AM2:AM3"/>
    <mergeCell ref="AF2:AF3"/>
    <mergeCell ref="AH2:AH3"/>
    <mergeCell ref="AG2:AG3"/>
    <mergeCell ref="AE2:AE3"/>
    <mergeCell ref="B2:C2"/>
    <mergeCell ref="B9:C9"/>
  </mergeCells>
  <conditionalFormatting sqref="AX4:AX24">
    <cfRule type="colorScale" priority="8">
      <colorScale>
        <cfvo type="min"/>
        <cfvo type="max"/>
        <color rgb="FFFFC8C8"/>
        <color rgb="FFC8FFC8"/>
      </colorScale>
    </cfRule>
  </conditionalFormatting>
  <conditionalFormatting sqref="AW4:AW24">
    <cfRule type="colorScale" priority="7">
      <colorScale>
        <cfvo type="min"/>
        <cfvo type="max"/>
        <color rgb="FFFFC8C8"/>
        <color rgb="FFC8FFC8"/>
      </colorScale>
    </cfRule>
  </conditionalFormatting>
  <conditionalFormatting sqref="AV4:AV24">
    <cfRule type="colorScale" priority="6">
      <colorScale>
        <cfvo type="min"/>
        <cfvo type="max"/>
        <color rgb="FFFFC8C8"/>
        <color rgb="FFC8FFC8"/>
      </colorScale>
    </cfRule>
  </conditionalFormatting>
  <conditionalFormatting sqref="AU4:AU24">
    <cfRule type="colorScale" priority="5">
      <colorScale>
        <cfvo type="min"/>
        <cfvo type="max"/>
        <color rgb="FFFFC8C8"/>
        <color rgb="FFC8FFC8"/>
      </colorScale>
    </cfRule>
  </conditionalFormatting>
  <conditionalFormatting sqref="AT4:AT24">
    <cfRule type="colorScale" priority="4">
      <colorScale>
        <cfvo type="min"/>
        <cfvo type="max"/>
        <color rgb="FFFFC8C8"/>
        <color rgb="FFC8FFC8"/>
      </colorScale>
    </cfRule>
  </conditionalFormatting>
  <conditionalFormatting sqref="AS4:AS24">
    <cfRule type="colorScale" priority="3">
      <colorScale>
        <cfvo type="min"/>
        <cfvo type="max"/>
        <color rgb="FFFFC8C8"/>
        <color rgb="FFC8FFC8"/>
      </colorScale>
    </cfRule>
  </conditionalFormatting>
  <conditionalFormatting sqref="AR4:AR24">
    <cfRule type="colorScale" priority="2">
      <colorScale>
        <cfvo type="min"/>
        <cfvo type="max"/>
        <color rgb="FFFFC8C8"/>
        <color rgb="FFC8FFC8"/>
      </colorScale>
    </cfRule>
  </conditionalFormatting>
  <conditionalFormatting sqref="AQ4:AQ24">
    <cfRule type="colorScale" priority="1">
      <colorScale>
        <cfvo type="min"/>
        <cfvo type="max"/>
        <color rgb="FFFFC8C8"/>
        <color rgb="FFC8FFC8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Real</vt:lpstr>
      <vt:lpstr>RPlot</vt:lpstr>
      <vt:lpstr>RData</vt:lpstr>
      <vt:lpstr>Kerbal</vt:lpstr>
      <vt:lpstr>KPlot</vt:lpstr>
      <vt:lpstr>KData</vt:lpstr>
      <vt:lpstr>Version History</vt:lpstr>
      <vt:lpstr>Design Tool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Jonathan McClellan</cp:lastModifiedBy>
  <dcterms:created xsi:type="dcterms:W3CDTF">2018-08-12T11:47:45Z</dcterms:created>
  <dcterms:modified xsi:type="dcterms:W3CDTF">2020-10-31T17:23:16Z</dcterms:modified>
</cp:coreProperties>
</file>