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\Desktop\"/>
    </mc:Choice>
  </mc:AlternateContent>
  <xr:revisionPtr revIDLastSave="0" documentId="8_{806D438F-1CD3-4FD8-B601-5BF0BAF420F5}" xr6:coauthVersionLast="40" xr6:coauthVersionMax="40" xr10:uidLastSave="{00000000-0000-0000-0000-000000000000}"/>
  <bookViews>
    <workbookView xWindow="0" yWindow="0" windowWidth="20280" windowHeight="11415" activeTab="3" xr2:uid="{9A5EBC29-9AF3-4AA8-A481-597E200FBA0B}"/>
  </bookViews>
  <sheets>
    <sheet name="Real" sheetId="15" r:id="rId1"/>
    <sheet name="RPlot" sheetId="18" r:id="rId2"/>
    <sheet name="RData" sheetId="14" r:id="rId3"/>
    <sheet name="Kerbal" sheetId="12" r:id="rId4"/>
    <sheet name="KPlot" sheetId="10" r:id="rId5"/>
    <sheet name="KData" sheetId="19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O103" i="18" l="1"/>
  <c r="EN103" i="18"/>
  <c r="EM103" i="18"/>
  <c r="EL103" i="18"/>
  <c r="EK103" i="18"/>
  <c r="EJ103" i="18"/>
  <c r="EI103" i="18"/>
  <c r="EH103" i="18"/>
  <c r="EG103" i="18"/>
  <c r="EF103" i="18"/>
  <c r="EE103" i="18"/>
  <c r="ED103" i="18"/>
  <c r="EC103" i="18"/>
  <c r="EB103" i="18"/>
  <c r="EA103" i="18"/>
  <c r="DZ103" i="18"/>
  <c r="DY103" i="18"/>
  <c r="DX103" i="18"/>
  <c r="DW103" i="18"/>
  <c r="DV103" i="18"/>
  <c r="DU103" i="18"/>
  <c r="DT103" i="18"/>
  <c r="DS103" i="18"/>
  <c r="DR103" i="18"/>
  <c r="DQ103" i="18"/>
  <c r="DP103" i="18"/>
  <c r="DO103" i="18"/>
  <c r="DN103" i="18"/>
  <c r="DM103" i="18"/>
  <c r="DL103" i="18"/>
  <c r="DK103" i="18"/>
  <c r="DJ103" i="18"/>
  <c r="DI103" i="18"/>
  <c r="DH103" i="18"/>
  <c r="DG103" i="18"/>
  <c r="DF103" i="18"/>
  <c r="DE103" i="18"/>
  <c r="DD103" i="18"/>
  <c r="DC103" i="18"/>
  <c r="DB103" i="18"/>
  <c r="DA103" i="18"/>
  <c r="CZ103" i="18"/>
  <c r="CY103" i="18"/>
  <c r="CX103" i="18"/>
  <c r="CW103" i="18"/>
  <c r="CV103" i="18"/>
  <c r="CU103" i="18"/>
  <c r="CT103" i="18"/>
  <c r="CS103" i="18"/>
  <c r="CR103" i="18"/>
  <c r="CQ103" i="18"/>
  <c r="CP103" i="18"/>
  <c r="CO103" i="18"/>
  <c r="CN103" i="18"/>
  <c r="CM103" i="18"/>
  <c r="CL103" i="18"/>
  <c r="CK103" i="18"/>
  <c r="CJ103" i="18"/>
  <c r="CI103" i="18"/>
  <c r="CH103" i="18"/>
  <c r="CG103" i="18"/>
  <c r="CF103" i="18"/>
  <c r="CE103" i="18"/>
  <c r="CD103" i="18"/>
  <c r="CC103" i="18"/>
  <c r="CB103" i="18"/>
  <c r="CA103" i="18"/>
  <c r="BZ103" i="18"/>
  <c r="BY103" i="18"/>
  <c r="BX103" i="18"/>
  <c r="BW103" i="18"/>
  <c r="BV103" i="18"/>
  <c r="BU103" i="18"/>
  <c r="BT103" i="18"/>
  <c r="BS103" i="18"/>
  <c r="BR103" i="18"/>
  <c r="BQ103" i="18"/>
  <c r="BP103" i="18"/>
  <c r="BO103" i="18"/>
  <c r="BN103" i="18"/>
  <c r="BM103" i="18"/>
  <c r="BL103" i="18"/>
  <c r="BK103" i="18"/>
  <c r="BJ103" i="18"/>
  <c r="BI103" i="18"/>
  <c r="BH103" i="18"/>
  <c r="BG103" i="18"/>
  <c r="BF103" i="18"/>
  <c r="BE103" i="18"/>
  <c r="BD103" i="18"/>
  <c r="BC103" i="18"/>
  <c r="BB103" i="18"/>
  <c r="BA103" i="18"/>
  <c r="AZ103" i="18"/>
  <c r="AY103" i="18"/>
  <c r="AX103" i="18"/>
  <c r="AW103" i="18"/>
  <c r="AV103" i="18"/>
  <c r="AU103" i="18"/>
  <c r="AT103" i="18"/>
  <c r="EO103" i="10"/>
  <c r="EN103" i="10"/>
  <c r="EM103" i="10"/>
  <c r="EL103" i="10"/>
  <c r="EK103" i="10"/>
  <c r="EJ103" i="10"/>
  <c r="EI103" i="10"/>
  <c r="EH103" i="10"/>
  <c r="EG103" i="10"/>
  <c r="EF103" i="10"/>
  <c r="EE103" i="10"/>
  <c r="ED103" i="10"/>
  <c r="EC103" i="10"/>
  <c r="EB103" i="10"/>
  <c r="EA103" i="10"/>
  <c r="DZ103" i="10"/>
  <c r="DY103" i="10"/>
  <c r="DX103" i="10"/>
  <c r="DW103" i="10"/>
  <c r="DV103" i="10"/>
  <c r="DU103" i="10"/>
  <c r="DT103" i="10"/>
  <c r="DS103" i="10"/>
  <c r="DR103" i="10"/>
  <c r="DQ103" i="10"/>
  <c r="DP103" i="10"/>
  <c r="DO103" i="10"/>
  <c r="DN103" i="10"/>
  <c r="DM103" i="10"/>
  <c r="DL103" i="10"/>
  <c r="DK103" i="10"/>
  <c r="DJ103" i="10"/>
  <c r="DI103" i="10"/>
  <c r="DH103" i="10"/>
  <c r="DG103" i="10"/>
  <c r="DF103" i="10"/>
  <c r="DE103" i="10"/>
  <c r="DD103" i="10"/>
  <c r="DC103" i="10"/>
  <c r="DB103" i="10"/>
  <c r="DA103" i="10"/>
  <c r="CZ103" i="10"/>
  <c r="CY103" i="10"/>
  <c r="CX103" i="10"/>
  <c r="CW103" i="10"/>
  <c r="CV103" i="10"/>
  <c r="CU103" i="10"/>
  <c r="CT103" i="10"/>
  <c r="CS103" i="10"/>
  <c r="CR103" i="10"/>
  <c r="CQ103" i="10"/>
  <c r="CP103" i="10"/>
  <c r="CO103" i="10"/>
  <c r="CN103" i="10"/>
  <c r="CM103" i="10"/>
  <c r="CL103" i="10"/>
  <c r="CK103" i="10"/>
  <c r="CJ103" i="10"/>
  <c r="CI103" i="10"/>
  <c r="CH103" i="10"/>
  <c r="CG103" i="10"/>
  <c r="CF103" i="10"/>
  <c r="CE103" i="10"/>
  <c r="CD103" i="10"/>
  <c r="CC103" i="10"/>
  <c r="CB103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EX4" i="18" l="1"/>
  <c r="A4" i="12" l="1"/>
  <c r="A2" i="12"/>
  <c r="ES31" i="18"/>
  <c r="ES37" i="18" s="1"/>
  <c r="EV37" i="18" s="1"/>
  <c r="EX5" i="18"/>
  <c r="EU8" i="18"/>
  <c r="EP4" i="18" l="1"/>
  <c r="EP22" i="18"/>
  <c r="EP55" i="18"/>
  <c r="EP67" i="18"/>
  <c r="EP91" i="18"/>
  <c r="EU7" i="18"/>
  <c r="EP6" i="18"/>
  <c r="EP14" i="18"/>
  <c r="EP26" i="18"/>
  <c r="EP37" i="18"/>
  <c r="EP47" i="18"/>
  <c r="EP59" i="18"/>
  <c r="EP71" i="18"/>
  <c r="EP83" i="18"/>
  <c r="EP95" i="18"/>
  <c r="EP49" i="18"/>
  <c r="EP33" i="18"/>
  <c r="EP79" i="18"/>
  <c r="EP7" i="18"/>
  <c r="EP15" i="18"/>
  <c r="EP27" i="18"/>
  <c r="EP48" i="18"/>
  <c r="EP60" i="18"/>
  <c r="EP72" i="18"/>
  <c r="EP84" i="18"/>
  <c r="EP96" i="18"/>
  <c r="EP30" i="18"/>
  <c r="EP51" i="18"/>
  <c r="EP87" i="18"/>
  <c r="EP28" i="18"/>
  <c r="EP61" i="18"/>
  <c r="EP85" i="18"/>
  <c r="EP97" i="18"/>
  <c r="EP8" i="18"/>
  <c r="EP17" i="18"/>
  <c r="EP29" i="18"/>
  <c r="EP38" i="18"/>
  <c r="EP50" i="18"/>
  <c r="EP62" i="18"/>
  <c r="EP74" i="18"/>
  <c r="EP86" i="18"/>
  <c r="EP98" i="18"/>
  <c r="EP18" i="18"/>
  <c r="EP39" i="18"/>
  <c r="EP63" i="18"/>
  <c r="EP75" i="18"/>
  <c r="EP99" i="18"/>
  <c r="EP9" i="18"/>
  <c r="EP19" i="18"/>
  <c r="EP31" i="18"/>
  <c r="EP40" i="18"/>
  <c r="EP52" i="18"/>
  <c r="EP64" i="18"/>
  <c r="EP76" i="18"/>
  <c r="EP88" i="18"/>
  <c r="EP100" i="18"/>
  <c r="EP41" i="18"/>
  <c r="EP53" i="18"/>
  <c r="EP65" i="18"/>
  <c r="EP77" i="18"/>
  <c r="EP89" i="18"/>
  <c r="EP101" i="18"/>
  <c r="EP16" i="18"/>
  <c r="EP73" i="18"/>
  <c r="EP20" i="18"/>
  <c r="EP3" i="18"/>
  <c r="EU9" i="18" s="1"/>
  <c r="EP10" i="18"/>
  <c r="EP21" i="18"/>
  <c r="EP32" i="18"/>
  <c r="EP42" i="18"/>
  <c r="EP54" i="18"/>
  <c r="EP66" i="18"/>
  <c r="EP78" i="18"/>
  <c r="EP90" i="18"/>
  <c r="EP102" i="18"/>
  <c r="EU10" i="18" s="1"/>
  <c r="EP43" i="18"/>
  <c r="EP11" i="18"/>
  <c r="EP23" i="18"/>
  <c r="EP34" i="18"/>
  <c r="EP44" i="18"/>
  <c r="EP56" i="18"/>
  <c r="EP68" i="18"/>
  <c r="EP80" i="18"/>
  <c r="EP92" i="18"/>
  <c r="EP5" i="18"/>
  <c r="EP12" i="18"/>
  <c r="EP24" i="18"/>
  <c r="EP35" i="18"/>
  <c r="EP45" i="18"/>
  <c r="EP57" i="18"/>
  <c r="EP69" i="18"/>
  <c r="EP81" i="18"/>
  <c r="EP93" i="18"/>
  <c r="EP13" i="18"/>
  <c r="EP25" i="18"/>
  <c r="EP36" i="18"/>
  <c r="EP46" i="18"/>
  <c r="EP58" i="18"/>
  <c r="EP70" i="18"/>
  <c r="EP82" i="18"/>
  <c r="EP94" i="18"/>
  <c r="EX5" i="10"/>
  <c r="EX4" i="10"/>
  <c r="A4" i="15"/>
  <c r="A2" i="15"/>
  <c r="EP25" i="10" l="1"/>
  <c r="EP37" i="10"/>
  <c r="EP14" i="10"/>
  <c r="EP62" i="10"/>
  <c r="EP27" i="10"/>
  <c r="EP63" i="10"/>
  <c r="EP52" i="10"/>
  <c r="EP88" i="10"/>
  <c r="EP5" i="10"/>
  <c r="EP65" i="10"/>
  <c r="EP78" i="10"/>
  <c r="EP91" i="10"/>
  <c r="EP24" i="10"/>
  <c r="EP13" i="10"/>
  <c r="EP49" i="10"/>
  <c r="EP86" i="10"/>
  <c r="EP3" i="10"/>
  <c r="EU9" i="10" s="1"/>
  <c r="EP51" i="10"/>
  <c r="EP99" i="10"/>
  <c r="EP40" i="10"/>
  <c r="EP100" i="10"/>
  <c r="EP17" i="10"/>
  <c r="EP30" i="10"/>
  <c r="EP85" i="10"/>
  <c r="EP73" i="10"/>
  <c r="EP26" i="10"/>
  <c r="EP74" i="10"/>
  <c r="EP39" i="10"/>
  <c r="EP87" i="10"/>
  <c r="EP4" i="10"/>
  <c r="EP28" i="10"/>
  <c r="EP76" i="10"/>
  <c r="EP29" i="10"/>
  <c r="EP53" i="10"/>
  <c r="EP77" i="10"/>
  <c r="EP101" i="10"/>
  <c r="EP18" i="10"/>
  <c r="EP54" i="10"/>
  <c r="EP90" i="10"/>
  <c r="EP7" i="10"/>
  <c r="EP43" i="10"/>
  <c r="EP79" i="10"/>
  <c r="EP32" i="10"/>
  <c r="EP57" i="10"/>
  <c r="EP38" i="10"/>
  <c r="EP50" i="10"/>
  <c r="EP98" i="10"/>
  <c r="EP15" i="10"/>
  <c r="EP75" i="10"/>
  <c r="EP16" i="10"/>
  <c r="EP64" i="10"/>
  <c r="EP41" i="10"/>
  <c r="EP89" i="10"/>
  <c r="EP6" i="10"/>
  <c r="EP42" i="10"/>
  <c r="EP66" i="10"/>
  <c r="EP102" i="10"/>
  <c r="EU10" i="10" s="1"/>
  <c r="EP19" i="10"/>
  <c r="EP31" i="10"/>
  <c r="EP55" i="10"/>
  <c r="EP67" i="10"/>
  <c r="EP8" i="10"/>
  <c r="EP20" i="10"/>
  <c r="EP44" i="10"/>
  <c r="EP56" i="10"/>
  <c r="EP68" i="10"/>
  <c r="EP80" i="10"/>
  <c r="EP92" i="10"/>
  <c r="EP9" i="10"/>
  <c r="EP21" i="10"/>
  <c r="EP33" i="10"/>
  <c r="EP45" i="10"/>
  <c r="EP69" i="10"/>
  <c r="EP81" i="10"/>
  <c r="EP93" i="10"/>
  <c r="EP10" i="10"/>
  <c r="EP22" i="10"/>
  <c r="EP34" i="10"/>
  <c r="EP46" i="10"/>
  <c r="EP58" i="10"/>
  <c r="EP70" i="10"/>
  <c r="EP82" i="10"/>
  <c r="EP94" i="10"/>
  <c r="EP11" i="10"/>
  <c r="EP23" i="10"/>
  <c r="EP35" i="10"/>
  <c r="EP47" i="10"/>
  <c r="EP59" i="10"/>
  <c r="EP71" i="10"/>
  <c r="EP83" i="10"/>
  <c r="EP95" i="10"/>
  <c r="EP12" i="10"/>
  <c r="EP36" i="10"/>
  <c r="EP48" i="10"/>
  <c r="EP60" i="10"/>
  <c r="EP72" i="10"/>
  <c r="EP84" i="10"/>
  <c r="EP96" i="10"/>
  <c r="EP61" i="10"/>
  <c r="EP97" i="10"/>
  <c r="EU7" i="10"/>
  <c r="EU8" i="10"/>
  <c r="ES31" i="10" l="1"/>
  <c r="ES37" i="10" s="1"/>
  <c r="EV37" i="10" s="1"/>
  <c r="J5" i="14" l="1"/>
  <c r="J6" i="14"/>
  <c r="J7" i="14"/>
  <c r="J8" i="14"/>
  <c r="J9" i="14"/>
  <c r="J10" i="14"/>
  <c r="J11" i="14"/>
  <c r="J12" i="14"/>
  <c r="J4" i="14"/>
  <c r="C3" i="14"/>
  <c r="I12" i="14"/>
  <c r="H12" i="14"/>
  <c r="G12" i="14"/>
  <c r="F12" i="14"/>
  <c r="C12" i="14"/>
  <c r="I9" i="14"/>
  <c r="H9" i="14"/>
  <c r="G9" i="14"/>
  <c r="F9" i="14"/>
  <c r="C9" i="14"/>
  <c r="I10" i="14"/>
  <c r="H10" i="14"/>
  <c r="G10" i="14"/>
  <c r="F10" i="14"/>
  <c r="C10" i="14"/>
  <c r="I11" i="14"/>
  <c r="H11" i="14"/>
  <c r="G11" i="14"/>
  <c r="F11" i="14"/>
  <c r="C11" i="14"/>
  <c r="I8" i="14"/>
  <c r="H8" i="14"/>
  <c r="G8" i="14"/>
  <c r="F8" i="14"/>
  <c r="C8" i="14"/>
  <c r="I7" i="14"/>
  <c r="H7" i="14"/>
  <c r="G7" i="14"/>
  <c r="F7" i="14"/>
  <c r="C7" i="14"/>
  <c r="I6" i="14"/>
  <c r="G6" i="14"/>
  <c r="C6" i="14"/>
  <c r="I5" i="14"/>
  <c r="H5" i="14"/>
  <c r="G5" i="14"/>
  <c r="F5" i="14"/>
  <c r="C5" i="14"/>
  <c r="C4" i="14"/>
  <c r="I4" i="14"/>
  <c r="H4" i="14"/>
  <c r="G4" i="14"/>
  <c r="F4" i="14"/>
</calcChain>
</file>

<file path=xl/sharedStrings.xml><?xml version="1.0" encoding="utf-8"?>
<sst xmlns="http://schemas.openxmlformats.org/spreadsheetml/2006/main" count="430" uniqueCount="136">
  <si>
    <t>Kerbol</t>
  </si>
  <si>
    <t>Moho</t>
  </si>
  <si>
    <t>Eve</t>
  </si>
  <si>
    <t>Gilly</t>
  </si>
  <si>
    <t>Kerbin</t>
  </si>
  <si>
    <t>Mun</t>
  </si>
  <si>
    <t>Minmus</t>
  </si>
  <si>
    <t>Duna</t>
  </si>
  <si>
    <t>Ike</t>
  </si>
  <si>
    <t>Dres</t>
  </si>
  <si>
    <t>Jool</t>
  </si>
  <si>
    <t>Laythe</t>
  </si>
  <si>
    <t>Vall</t>
  </si>
  <si>
    <t>Tylo</t>
  </si>
  <si>
    <t>Bop</t>
  </si>
  <si>
    <t>Pol</t>
  </si>
  <si>
    <t>Eeloo</t>
  </si>
  <si>
    <t>G</t>
  </si>
  <si>
    <t>e</t>
  </si>
  <si>
    <t>a</t>
  </si>
  <si>
    <t>i</t>
  </si>
  <si>
    <t>Origin</t>
  </si>
  <si>
    <t>x</t>
  </si>
  <si>
    <t>y</t>
  </si>
  <si>
    <t>start</t>
  </si>
  <si>
    <t>µ</t>
  </si>
  <si>
    <t>z</t>
  </si>
  <si>
    <t>t</t>
  </si>
  <si>
    <t>Origin Orbit</t>
  </si>
  <si>
    <t>point</t>
  </si>
  <si>
    <t>Destination Orbit</t>
  </si>
  <si>
    <t>Direct Transfer</t>
  </si>
  <si>
    <t>Ascending Node Transfer</t>
  </si>
  <si>
    <t>Descending Node Transfer</t>
  </si>
  <si>
    <t>Origin Vector</t>
  </si>
  <si>
    <t>Destination Vector</t>
  </si>
  <si>
    <t>Ascending Node Vector</t>
  </si>
  <si>
    <t>Descending Node Vector</t>
  </si>
  <si>
    <t>In-Plane Transfer</t>
  </si>
  <si>
    <r>
      <t>90</t>
    </r>
    <r>
      <rPr>
        <b/>
        <sz val="10"/>
        <color theme="1"/>
        <rFont val="Calibri"/>
        <family val="2"/>
      </rPr>
      <t>° Transfer</t>
    </r>
  </si>
  <si>
    <t>Destination</t>
  </si>
  <si>
    <t>Parking Orbit [km]</t>
  </si>
  <si>
    <t>Δv Budget [m/s]</t>
  </si>
  <si>
    <t>year</t>
  </si>
  <si>
    <t>day</t>
  </si>
  <si>
    <t>duration</t>
  </si>
  <si>
    <t>years</t>
  </si>
  <si>
    <t>days</t>
  </si>
  <si>
    <t>height above surface</t>
  </si>
  <si>
    <t>Transfer</t>
  </si>
  <si>
    <t>Direct</t>
  </si>
  <si>
    <t>AN</t>
  </si>
  <si>
    <t>DN</t>
  </si>
  <si>
    <r>
      <t>90</t>
    </r>
    <r>
      <rPr>
        <b/>
        <sz val="11"/>
        <color theme="1"/>
        <rFont val="Calibri"/>
        <family val="2"/>
      </rPr>
      <t>°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</si>
  <si>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</si>
  <si>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p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</si>
  <si>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c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</si>
  <si>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</si>
  <si>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Optimum</t>
  </si>
  <si>
    <t>date</t>
  </si>
  <si>
    <t>ETE</t>
  </si>
  <si>
    <t>Debugging Vectors</t>
  </si>
  <si>
    <t>IP Transfer (scaled)</t>
  </si>
  <si>
    <t>IP Transfer (unscaled)</t>
  </si>
  <si>
    <t>NA Transfer (IP)</t>
  </si>
  <si>
    <t>NA Transfer (OP)</t>
  </si>
  <si>
    <t>ND Transfer (IP)</t>
  </si>
  <si>
    <t>ND Transfer (OP)</t>
  </si>
  <si>
    <t>90 Transfer (IP)</t>
  </si>
  <si>
    <t>90 Transfer (OP)</t>
  </si>
  <si>
    <t>IP Transfer Origin</t>
  </si>
  <si>
    <t>IP Transfer Origin (post const)</t>
  </si>
  <si>
    <t>Ω</t>
  </si>
  <si>
    <t>ω</t>
  </si>
  <si>
    <r>
      <t>M</t>
    </r>
    <r>
      <rPr>
        <b/>
        <vertAlign val="subscript"/>
        <sz val="11"/>
        <color theme="1"/>
        <rFont val="Calibri"/>
        <family val="2"/>
      </rPr>
      <t>epoch</t>
    </r>
  </si>
  <si>
    <t>Destination At Injection</t>
  </si>
  <si>
    <t>Sun</t>
  </si>
  <si>
    <t>Mercury</t>
  </si>
  <si>
    <t>Venus</t>
  </si>
  <si>
    <t>Earth</t>
  </si>
  <si>
    <t>Mars</t>
  </si>
  <si>
    <t>Jupiter</t>
  </si>
  <si>
    <t>Neptune</t>
  </si>
  <si>
    <t>Uranus</t>
  </si>
  <si>
    <t>Pluto</t>
  </si>
  <si>
    <t>SOI</t>
  </si>
  <si>
    <t>Radius</t>
  </si>
  <si>
    <t>Saturn</t>
  </si>
  <si>
    <t>Departure Date</t>
  </si>
  <si>
    <t>Best dV</t>
  </si>
  <si>
    <t>Threshold</t>
  </si>
  <si>
    <t>ETE bounds</t>
  </si>
  <si>
    <t>min years</t>
  </si>
  <si>
    <t>max years</t>
  </si>
  <si>
    <t>min days</t>
  </si>
  <si>
    <t>max days</t>
  </si>
  <si>
    <r>
      <t xml:space="preserve">max </t>
    </r>
    <r>
      <rPr>
        <i/>
        <sz val="11"/>
        <color theme="1"/>
        <rFont val="Calibri"/>
        <family val="2"/>
      </rPr>
      <t>Δv displayed</t>
    </r>
  </si>
  <si>
    <t>(1 year = 426 days)</t>
  </si>
  <si>
    <t>Allow Hyperbolic?</t>
  </si>
  <si>
    <t>Transfer Inputs</t>
  </si>
  <si>
    <t>Plane Change</t>
  </si>
  <si>
    <t>no</t>
  </si>
  <si>
    <t>no functionality yet</t>
  </si>
  <si>
    <t>leave 0 for automatic minimums</t>
  </si>
  <si>
    <t>leave 0 for automatic maximums</t>
  </si>
  <si>
    <t>Additional Launch Window Options</t>
  </si>
  <si>
    <t>Launch Date</t>
  </si>
  <si>
    <r>
      <t xml:space="preserve">Best </t>
    </r>
    <r>
      <rPr>
        <b/>
        <sz val="11"/>
        <color theme="1"/>
        <rFont val="Calibri"/>
        <family val="2"/>
      </rPr>
      <t>Δv [m/s]</t>
    </r>
  </si>
  <si>
    <t>Highlighted Cells Between</t>
  </si>
  <si>
    <t>To plot a specific transfer orbit, select the grid square you would like to plot and hit the big old button!</t>
  </si>
  <si>
    <t>Launch Window Results (next tab for interactive plot)</t>
  </si>
  <si>
    <t>Current Launch Window Plot Status</t>
  </si>
  <si>
    <t>Kerbal or Real?</t>
  </si>
  <si>
    <t>Start Date</t>
  </si>
  <si>
    <t>Min ETE</t>
  </si>
  <si>
    <t>Max ETE</t>
  </si>
  <si>
    <t>End Date</t>
  </si>
  <si>
    <t>Year Length</t>
  </si>
  <si>
    <t>Day Length</t>
  </si>
  <si>
    <t>Kerbal</t>
  </si>
  <si>
    <t>Index</t>
  </si>
  <si>
    <t>Name</t>
  </si>
  <si>
    <t>Index Lookup</t>
  </si>
  <si>
    <t>ω [deg]</t>
  </si>
  <si>
    <t>Ω [deg]</t>
  </si>
  <si>
    <t>I [deg]</t>
  </si>
  <si>
    <t>a [m]</t>
  </si>
  <si>
    <t>SOI [m]</t>
  </si>
  <si>
    <t>Par Ind</t>
  </si>
  <si>
    <t>Window Progress:</t>
  </si>
  <si>
    <t>finished!</t>
  </si>
  <si>
    <t>Real</t>
  </si>
  <si>
    <t>Launch Window Inputs</t>
  </si>
  <si>
    <t>Plot Transfer Inputs</t>
  </si>
  <si>
    <t>Launch Window Inputs (Dates In Kerbal Time)</t>
  </si>
  <si>
    <t>Plot Transfer Inputs (Dates In Kerbal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</si>
</sst>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Times New Roman"/>
      <family val="1"/>
    </font>
    <font>
      <sz val="1"/>
      <color theme="1"/>
      <name val="Times New Roman"/>
      <family val="1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rgb="FF000000"/>
      <name val="Calibri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</font>
    <font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9">
    <xf numFmtId="0" fontId="0" fillId="0" borderId="0" xfId="0"/>
    <xf numFmtId="11" fontId="0" fillId="0" borderId="0" xfId="0" applyNumberFormat="1"/>
    <xf numFmtId="0" fontId="0" fillId="0" borderId="11" xfId="0" applyBorder="1"/>
    <xf numFmtId="0" fontId="0" fillId="0" borderId="14" xfId="0" applyBorder="1"/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/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1" fontId="8" fillId="0" borderId="0" xfId="0" applyNumberFormat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11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14" fillId="0" borderId="0" xfId="0" applyFont="1"/>
    <xf numFmtId="11" fontId="14" fillId="0" borderId="0" xfId="0" applyNumberFormat="1" applyFont="1" applyAlignment="1">
      <alignment textRotation="90"/>
    </xf>
    <xf numFmtId="0" fontId="14" fillId="0" borderId="0" xfId="0" applyFont="1" applyAlignment="1">
      <alignment textRotation="90"/>
    </xf>
    <xf numFmtId="11" fontId="0" fillId="0" borderId="0" xfId="0" applyNumberFormat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4" xfId="0" applyBorder="1"/>
    <xf numFmtId="0" fontId="4" fillId="0" borderId="0" xfId="0" applyFont="1" applyBorder="1"/>
    <xf numFmtId="0" fontId="0" fillId="0" borderId="20" xfId="0" applyBorder="1"/>
    <xf numFmtId="0" fontId="0" fillId="0" borderId="6" xfId="0" applyBorder="1"/>
    <xf numFmtId="0" fontId="11" fillId="0" borderId="4" xfId="0" applyFont="1" applyFill="1" applyBorder="1"/>
    <xf numFmtId="0" fontId="20" fillId="0" borderId="0" xfId="0" applyFont="1" applyFill="1" applyBorder="1"/>
    <xf numFmtId="0" fontId="11" fillId="0" borderId="0" xfId="0" applyFont="1" applyFill="1" applyBorder="1"/>
    <xf numFmtId="0" fontId="4" fillId="0" borderId="20" xfId="0" applyFont="1" applyBorder="1"/>
    <xf numFmtId="0" fontId="4" fillId="0" borderId="27" xfId="0" applyFont="1" applyBorder="1"/>
    <xf numFmtId="0" fontId="0" fillId="0" borderId="29" xfId="0" applyBorder="1"/>
    <xf numFmtId="0" fontId="0" fillId="0" borderId="32" xfId="0" applyBorder="1"/>
    <xf numFmtId="0" fontId="0" fillId="0" borderId="33" xfId="0" applyBorder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9" fillId="0" borderId="24" xfId="0" applyFont="1" applyFill="1" applyBorder="1" applyAlignment="1">
      <alignment horizontal="right"/>
    </xf>
    <xf numFmtId="0" fontId="19" fillId="0" borderId="28" xfId="0" applyFont="1" applyFill="1" applyBorder="1" applyAlignment="1">
      <alignment horizontal="right"/>
    </xf>
    <xf numFmtId="0" fontId="19" fillId="0" borderId="25" xfId="0" applyFont="1" applyFill="1" applyBorder="1" applyAlignment="1">
      <alignment horizontal="right"/>
    </xf>
    <xf numFmtId="0" fontId="19" fillId="0" borderId="26" xfId="0" applyFont="1" applyFill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2" fillId="0" borderId="28" xfId="0" applyFont="1" applyBorder="1" applyAlignment="1">
      <alignment horizontal="right"/>
    </xf>
    <xf numFmtId="0" fontId="2" fillId="0" borderId="25" xfId="0" applyFont="1" applyBorder="1" applyAlignment="1">
      <alignment horizontal="right"/>
    </xf>
    <xf numFmtId="0" fontId="2" fillId="0" borderId="26" xfId="0" applyFont="1" applyBorder="1" applyAlignment="1">
      <alignment horizontal="right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44" xfId="0" applyBorder="1"/>
    <xf numFmtId="0" fontId="0" fillId="0" borderId="45" xfId="0" applyBorder="1"/>
    <xf numFmtId="0" fontId="1" fillId="0" borderId="25" xfId="0" applyFont="1" applyBorder="1" applyAlignment="1">
      <alignment horizontal="right"/>
    </xf>
    <xf numFmtId="0" fontId="1" fillId="0" borderId="26" xfId="0" applyFont="1" applyBorder="1" applyAlignment="1">
      <alignment horizontal="right"/>
    </xf>
    <xf numFmtId="0" fontId="0" fillId="0" borderId="36" xfId="0" applyBorder="1"/>
    <xf numFmtId="0" fontId="0" fillId="0" borderId="37" xfId="0" applyBorder="1"/>
    <xf numFmtId="1" fontId="0" fillId="0" borderId="31" xfId="0" applyNumberFormat="1" applyBorder="1" applyAlignment="1">
      <alignment horizontal="center"/>
    </xf>
    <xf numFmtId="0" fontId="1" fillId="0" borderId="28" xfId="0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/>
    <xf numFmtId="0" fontId="1" fillId="0" borderId="0" xfId="0" applyFont="1" applyAlignment="1">
      <alignment horizontal="right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1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1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1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11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5" fillId="0" borderId="52" xfId="0" applyFont="1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0" fillId="0" borderId="8" xfId="0" applyBorder="1"/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7" xfId="0" applyBorder="1" applyAlignment="1">
      <alignment horizontal="center"/>
    </xf>
    <xf numFmtId="11" fontId="0" fillId="2" borderId="12" xfId="0" applyNumberForma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Protection="1"/>
    <xf numFmtId="0" fontId="12" fillId="0" borderId="0" xfId="0" applyFont="1" applyAlignment="1" applyProtection="1">
      <alignment horizontal="center"/>
    </xf>
    <xf numFmtId="0" fontId="0" fillId="0" borderId="0" xfId="0" applyBorder="1" applyProtection="1"/>
    <xf numFmtId="0" fontId="0" fillId="0" borderId="4" xfId="0" applyBorder="1" applyProtection="1"/>
    <xf numFmtId="1" fontId="0" fillId="0" borderId="31" xfId="0" applyNumberFormat="1" applyBorder="1" applyAlignment="1" applyProtection="1">
      <alignment horizontal="center"/>
    </xf>
    <xf numFmtId="0" fontId="0" fillId="0" borderId="33" xfId="0" applyBorder="1" applyProtection="1"/>
    <xf numFmtId="0" fontId="0" fillId="0" borderId="45" xfId="0" applyBorder="1" applyProtection="1"/>
    <xf numFmtId="0" fontId="12" fillId="0" borderId="0" xfId="0" applyFont="1" applyProtection="1"/>
    <xf numFmtId="0" fontId="4" fillId="0" borderId="27" xfId="0" applyFont="1" applyBorder="1" applyProtection="1"/>
    <xf numFmtId="0" fontId="0" fillId="0" borderId="29" xfId="0" applyBorder="1" applyProtection="1"/>
    <xf numFmtId="0" fontId="1" fillId="0" borderId="25" xfId="0" applyFont="1" applyBorder="1" applyAlignment="1" applyProtection="1">
      <alignment horizontal="right"/>
    </xf>
    <xf numFmtId="0" fontId="0" fillId="0" borderId="36" xfId="0" applyBorder="1" applyAlignment="1" applyProtection="1">
      <alignment horizontal="center"/>
    </xf>
    <xf numFmtId="0" fontId="1" fillId="0" borderId="28" xfId="0" applyFont="1" applyBorder="1" applyAlignment="1" applyProtection="1">
      <alignment horizontal="right"/>
    </xf>
    <xf numFmtId="0" fontId="0" fillId="0" borderId="35" xfId="0" applyBorder="1" applyAlignment="1" applyProtection="1">
      <alignment horizontal="center"/>
    </xf>
    <xf numFmtId="0" fontId="0" fillId="0" borderId="44" xfId="0" applyBorder="1" applyProtection="1"/>
    <xf numFmtId="0" fontId="0" fillId="0" borderId="32" xfId="0" applyBorder="1" applyProtection="1"/>
    <xf numFmtId="0" fontId="0" fillId="0" borderId="36" xfId="0" applyBorder="1" applyProtection="1"/>
    <xf numFmtId="0" fontId="0" fillId="0" borderId="0" xfId="0" applyAlignment="1" applyProtection="1">
      <alignment horizontal="center"/>
    </xf>
    <xf numFmtId="0" fontId="4" fillId="0" borderId="0" xfId="0" applyFont="1" applyProtection="1"/>
    <xf numFmtId="0" fontId="1" fillId="0" borderId="26" xfId="0" applyFont="1" applyBorder="1" applyAlignment="1" applyProtection="1">
      <alignment horizontal="right"/>
    </xf>
    <xf numFmtId="0" fontId="0" fillId="0" borderId="37" xfId="0" applyBorder="1" applyProtection="1"/>
    <xf numFmtId="0" fontId="19" fillId="0" borderId="24" xfId="0" applyFont="1" applyFill="1" applyBorder="1" applyAlignment="1" applyProtection="1">
      <alignment horizontal="right"/>
    </xf>
    <xf numFmtId="0" fontId="19" fillId="0" borderId="28" xfId="0" applyFont="1" applyFill="1" applyBorder="1" applyAlignment="1" applyProtection="1">
      <alignment horizontal="right"/>
    </xf>
    <xf numFmtId="0" fontId="19" fillId="0" borderId="25" xfId="0" applyFont="1" applyFill="1" applyBorder="1" applyAlignment="1" applyProtection="1">
      <alignment horizontal="right"/>
    </xf>
    <xf numFmtId="0" fontId="11" fillId="0" borderId="0" xfId="0" applyFont="1" applyFill="1" applyBorder="1" applyProtection="1"/>
    <xf numFmtId="0" fontId="11" fillId="0" borderId="4" xfId="0" applyFont="1" applyFill="1" applyBorder="1" applyProtection="1"/>
    <xf numFmtId="0" fontId="19" fillId="0" borderId="26" xfId="0" applyFont="1" applyFill="1" applyBorder="1" applyAlignment="1" applyProtection="1">
      <alignment horizontal="right"/>
    </xf>
    <xf numFmtId="0" fontId="20" fillId="0" borderId="0" xfId="0" applyFont="1" applyFill="1" applyBorder="1" applyProtection="1"/>
    <xf numFmtId="0" fontId="2" fillId="0" borderId="24" xfId="0" applyFont="1" applyBorder="1" applyAlignment="1" applyProtection="1">
      <alignment horizontal="right"/>
    </xf>
    <xf numFmtId="0" fontId="2" fillId="0" borderId="28" xfId="0" applyFont="1" applyBorder="1" applyAlignment="1" applyProtection="1">
      <alignment horizontal="right"/>
    </xf>
    <xf numFmtId="0" fontId="2" fillId="0" borderId="25" xfId="0" applyFont="1" applyBorder="1" applyAlignment="1" applyProtection="1">
      <alignment horizontal="right"/>
    </xf>
    <xf numFmtId="0" fontId="2" fillId="0" borderId="26" xfId="0" applyFont="1" applyBorder="1" applyAlignment="1" applyProtection="1">
      <alignment horizontal="right"/>
    </xf>
    <xf numFmtId="0" fontId="4" fillId="0" borderId="20" xfId="0" applyFont="1" applyBorder="1" applyProtection="1"/>
    <xf numFmtId="0" fontId="0" fillId="0" borderId="6" xfId="0" applyBorder="1" applyProtection="1"/>
    <xf numFmtId="0" fontId="1" fillId="0" borderId="34" xfId="0" applyFont="1" applyBorder="1" applyAlignment="1" applyProtection="1">
      <alignment horizontal="center" vertical="center"/>
    </xf>
    <xf numFmtId="0" fontId="1" fillId="0" borderId="35" xfId="0" applyFont="1" applyBorder="1" applyAlignment="1" applyProtection="1">
      <alignment horizontal="center" vertical="center"/>
    </xf>
    <xf numFmtId="0" fontId="1" fillId="0" borderId="36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4" fillId="0" borderId="0" xfId="0" applyFont="1" applyBorder="1" applyProtection="1"/>
    <xf numFmtId="0" fontId="0" fillId="0" borderId="20" xfId="0" applyBorder="1" applyProtection="1"/>
    <xf numFmtId="0" fontId="0" fillId="4" borderId="24" xfId="0" applyFill="1" applyBorder="1" applyAlignment="1" applyProtection="1">
      <alignment horizontal="center"/>
      <protection locked="0"/>
    </xf>
    <xf numFmtId="0" fontId="0" fillId="4" borderId="28" xfId="0" applyFill="1" applyBorder="1" applyAlignment="1" applyProtection="1">
      <alignment horizontal="center"/>
      <protection locked="0"/>
    </xf>
    <xf numFmtId="0" fontId="0" fillId="4" borderId="26" xfId="0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8" xfId="0" applyFont="1" applyFill="1" applyBorder="1" applyAlignment="1" applyProtection="1">
      <alignment horizontal="center"/>
      <protection locked="0"/>
    </xf>
    <xf numFmtId="0" fontId="11" fillId="4" borderId="25" xfId="0" applyFont="1" applyFill="1" applyBorder="1" applyAlignment="1" applyProtection="1">
      <alignment horizontal="center"/>
      <protection locked="0"/>
    </xf>
    <xf numFmtId="0" fontId="11" fillId="4" borderId="26" xfId="0" applyFont="1" applyFill="1" applyBorder="1" applyAlignment="1" applyProtection="1">
      <alignment horizontal="center"/>
      <protection locked="0"/>
    </xf>
    <xf numFmtId="0" fontId="0" fillId="4" borderId="34" xfId="0" applyFill="1" applyBorder="1" applyAlignment="1" applyProtection="1">
      <alignment horizontal="center"/>
      <protection locked="0"/>
    </xf>
    <xf numFmtId="0" fontId="0" fillId="4" borderId="35" xfId="0" applyFill="1" applyBorder="1" applyAlignment="1" applyProtection="1">
      <alignment horizontal="center"/>
      <protection locked="0"/>
    </xf>
    <xf numFmtId="0" fontId="0" fillId="4" borderId="36" xfId="0" applyFill="1" applyBorder="1" applyAlignment="1" applyProtection="1">
      <alignment horizontal="center"/>
      <protection locked="0"/>
    </xf>
    <xf numFmtId="0" fontId="0" fillId="4" borderId="37" xfId="0" applyFill="1" applyBorder="1" applyAlignment="1" applyProtection="1">
      <alignment horizontal="center"/>
      <protection locked="0"/>
    </xf>
    <xf numFmtId="0" fontId="11" fillId="4" borderId="34" xfId="0" applyFont="1" applyFill="1" applyBorder="1" applyAlignment="1" applyProtection="1">
      <alignment horizontal="center"/>
      <protection locked="0"/>
    </xf>
    <xf numFmtId="0" fontId="11" fillId="4" borderId="35" xfId="0" applyFont="1" applyFill="1" applyBorder="1" applyAlignment="1" applyProtection="1">
      <alignment horizontal="center"/>
      <protection locked="0"/>
    </xf>
    <xf numFmtId="0" fontId="11" fillId="4" borderId="36" xfId="0" applyFont="1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center"/>
      <protection locked="0"/>
    </xf>
    <xf numFmtId="0" fontId="0" fillId="5" borderId="28" xfId="0" applyFill="1" applyBorder="1" applyAlignment="1" applyProtection="1">
      <alignment horizontal="center"/>
      <protection locked="0"/>
    </xf>
    <xf numFmtId="0" fontId="0" fillId="5" borderId="25" xfId="0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11" fillId="5" borderId="24" xfId="0" applyFont="1" applyFill="1" applyBorder="1" applyAlignment="1" applyProtection="1">
      <alignment horizontal="center"/>
      <protection locked="0"/>
    </xf>
    <xf numFmtId="0" fontId="11" fillId="5" borderId="28" xfId="0" applyFont="1" applyFill="1" applyBorder="1" applyAlignment="1" applyProtection="1">
      <alignment horizontal="center"/>
      <protection locked="0"/>
    </xf>
    <xf numFmtId="0" fontId="11" fillId="5" borderId="25" xfId="0" applyFont="1" applyFill="1" applyBorder="1" applyAlignment="1" applyProtection="1">
      <alignment horizontal="center"/>
      <protection locked="0"/>
    </xf>
    <xf numFmtId="0" fontId="11" fillId="5" borderId="26" xfId="0" applyFont="1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0" fontId="0" fillId="5" borderId="35" xfId="0" applyFill="1" applyBorder="1" applyAlignment="1" applyProtection="1">
      <alignment horizontal="center"/>
      <protection locked="0"/>
    </xf>
    <xf numFmtId="0" fontId="0" fillId="5" borderId="36" xfId="0" applyFill="1" applyBorder="1" applyAlignment="1" applyProtection="1">
      <alignment horizontal="center"/>
      <protection locked="0"/>
    </xf>
    <xf numFmtId="0" fontId="0" fillId="5" borderId="37" xfId="0" applyFill="1" applyBorder="1" applyAlignment="1" applyProtection="1">
      <alignment horizontal="center"/>
      <protection locked="0"/>
    </xf>
    <xf numFmtId="0" fontId="11" fillId="5" borderId="34" xfId="0" applyFont="1" applyFill="1" applyBorder="1" applyAlignment="1" applyProtection="1">
      <alignment horizontal="center"/>
      <protection locked="0"/>
    </xf>
    <xf numFmtId="0" fontId="11" fillId="5" borderId="35" xfId="0" applyFont="1" applyFill="1" applyBorder="1" applyAlignment="1" applyProtection="1">
      <alignment horizontal="center"/>
      <protection locked="0"/>
    </xf>
    <xf numFmtId="0" fontId="11" fillId="5" borderId="36" xfId="0" applyFont="1" applyFill="1" applyBorder="1" applyAlignment="1" applyProtection="1">
      <alignment horizontal="center"/>
      <protection locked="0"/>
    </xf>
    <xf numFmtId="1" fontId="15" fillId="0" borderId="0" xfId="0" applyNumberFormat="1" applyFont="1" applyProtection="1">
      <protection locked="0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0" fillId="0" borderId="38" xfId="0" applyFont="1" applyFill="1" applyBorder="1" applyAlignment="1">
      <alignment horizontal="center" vertical="center"/>
    </xf>
    <xf numFmtId="0" fontId="20" fillId="0" borderId="39" xfId="0" applyFont="1" applyFill="1" applyBorder="1" applyAlignment="1">
      <alignment horizontal="center" vertical="center"/>
    </xf>
    <xf numFmtId="0" fontId="20" fillId="0" borderId="40" xfId="0" applyFont="1" applyFill="1" applyBorder="1" applyAlignment="1">
      <alignment horizontal="center" vertical="center"/>
    </xf>
    <xf numFmtId="0" fontId="20" fillId="0" borderId="29" xfId="0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19" fillId="0" borderId="30" xfId="0" applyFont="1" applyFill="1" applyBorder="1" applyAlignment="1">
      <alignment horizontal="center" vertical="center"/>
    </xf>
    <xf numFmtId="0" fontId="3" fillId="0" borderId="38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0" fillId="0" borderId="46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2" fillId="0" borderId="41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wrapText="1"/>
    </xf>
    <xf numFmtId="0" fontId="4" fillId="0" borderId="39" xfId="0" applyFont="1" applyBorder="1" applyAlignment="1">
      <alignment horizontal="center" wrapText="1"/>
    </xf>
    <xf numFmtId="0" fontId="4" fillId="0" borderId="40" xfId="0" applyFont="1" applyBorder="1" applyAlignment="1">
      <alignment horizontal="center" wrapText="1"/>
    </xf>
    <xf numFmtId="0" fontId="4" fillId="0" borderId="29" xfId="0" applyFont="1" applyBorder="1" applyAlignment="1">
      <alignment horizontal="center" wrapText="1"/>
    </xf>
    <xf numFmtId="0" fontId="1" fillId="0" borderId="3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20" xfId="0" applyFont="1" applyBorder="1" applyAlignment="1">
      <alignment horizontal="right"/>
    </xf>
    <xf numFmtId="0" fontId="9" fillId="0" borderId="0" xfId="0" applyFont="1" applyAlignment="1">
      <alignment horizontal="center"/>
    </xf>
    <xf numFmtId="1" fontId="17" fillId="0" borderId="1" xfId="0" applyNumberFormat="1" applyFont="1" applyBorder="1" applyAlignment="1">
      <alignment horizontal="center" vertical="center"/>
    </xf>
    <xf numFmtId="1" fontId="17" fillId="0" borderId="16" xfId="0" applyNumberFormat="1" applyFont="1" applyBorder="1" applyAlignment="1">
      <alignment horizontal="center" vertical="center"/>
    </xf>
    <xf numFmtId="1" fontId="17" fillId="0" borderId="2" xfId="0" applyNumberFormat="1" applyFont="1" applyBorder="1" applyAlignment="1">
      <alignment horizontal="center" vertical="center"/>
    </xf>
    <xf numFmtId="1" fontId="17" fillId="0" borderId="3" xfId="0" applyNumberFormat="1" applyFont="1" applyBorder="1" applyAlignment="1">
      <alignment horizontal="center" vertical="center"/>
    </xf>
    <xf numFmtId="1" fontId="17" fillId="0" borderId="0" xfId="0" applyNumberFormat="1" applyFont="1" applyBorder="1" applyAlignment="1">
      <alignment horizontal="center" vertical="center"/>
    </xf>
    <xf numFmtId="1" fontId="17" fillId="0" borderId="4" xfId="0" applyNumberFormat="1" applyFont="1" applyBorder="1" applyAlignment="1">
      <alignment horizontal="center" vertical="center"/>
    </xf>
    <xf numFmtId="1" fontId="17" fillId="3" borderId="1" xfId="0" applyNumberFormat="1" applyFont="1" applyFill="1" applyBorder="1" applyAlignment="1">
      <alignment horizontal="center" vertical="center"/>
    </xf>
    <xf numFmtId="1" fontId="17" fillId="3" borderId="16" xfId="0" applyNumberFormat="1" applyFont="1" applyFill="1" applyBorder="1" applyAlignment="1">
      <alignment horizontal="center" vertical="center"/>
    </xf>
    <xf numFmtId="1" fontId="17" fillId="3" borderId="2" xfId="0" applyNumberFormat="1" applyFont="1" applyFill="1" applyBorder="1" applyAlignment="1">
      <alignment horizontal="center" vertical="center"/>
    </xf>
    <xf numFmtId="1" fontId="17" fillId="3" borderId="3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Border="1" applyAlignment="1">
      <alignment horizontal="center" vertical="center"/>
    </xf>
    <xf numFmtId="1" fontId="17" fillId="3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" fontId="17" fillId="0" borderId="5" xfId="0" applyNumberFormat="1" applyFont="1" applyBorder="1" applyAlignment="1">
      <alignment horizontal="center" vertical="center"/>
    </xf>
    <xf numFmtId="1" fontId="17" fillId="0" borderId="20" xfId="0" applyNumberFormat="1" applyFont="1" applyBorder="1" applyAlignment="1">
      <alignment horizontal="center" vertical="center"/>
    </xf>
    <xf numFmtId="1" fontId="17" fillId="0" borderId="6" xfId="0" applyNumberFormat="1" applyFont="1" applyBorder="1" applyAlignment="1">
      <alignment horizontal="center" vertical="center"/>
    </xf>
    <xf numFmtId="9" fontId="17" fillId="3" borderId="3" xfId="0" applyNumberFormat="1" applyFont="1" applyFill="1" applyBorder="1" applyAlignment="1" applyProtection="1">
      <alignment horizontal="center" vertical="center"/>
      <protection locked="0"/>
    </xf>
    <xf numFmtId="9" fontId="17" fillId="3" borderId="0" xfId="0" applyNumberFormat="1" applyFont="1" applyFill="1" applyBorder="1" applyAlignment="1" applyProtection="1">
      <alignment horizontal="center" vertical="center"/>
      <protection locked="0"/>
    </xf>
    <xf numFmtId="9" fontId="17" fillId="3" borderId="4" xfId="0" applyNumberFormat="1" applyFont="1" applyFill="1" applyBorder="1" applyAlignment="1" applyProtection="1">
      <alignment horizontal="center" vertical="center"/>
      <protection locked="0"/>
    </xf>
    <xf numFmtId="9" fontId="17" fillId="3" borderId="5" xfId="0" applyNumberFormat="1" applyFont="1" applyFill="1" applyBorder="1" applyAlignment="1" applyProtection="1">
      <alignment horizontal="center" vertical="center"/>
      <protection locked="0"/>
    </xf>
    <xf numFmtId="9" fontId="17" fillId="3" borderId="20" xfId="0" applyNumberFormat="1" applyFont="1" applyFill="1" applyBorder="1" applyAlignment="1" applyProtection="1">
      <alignment horizontal="center" vertical="center"/>
      <protection locked="0"/>
    </xf>
    <xf numFmtId="9" fontId="17" fillId="3" borderId="6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  <xf numFmtId="1" fontId="17" fillId="0" borderId="3" xfId="0" applyNumberFormat="1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1" fontId="17" fillId="0" borderId="5" xfId="0" applyNumberFormat="1" applyFont="1" applyFill="1" applyBorder="1" applyAlignment="1">
      <alignment horizontal="center" vertical="center"/>
    </xf>
    <xf numFmtId="1" fontId="17" fillId="0" borderId="20" xfId="0" applyNumberFormat="1" applyFont="1" applyFill="1" applyBorder="1" applyAlignment="1">
      <alignment horizontal="center" vertical="center"/>
    </xf>
    <xf numFmtId="1" fontId="17" fillId="0" borderId="4" xfId="0" applyNumberFormat="1" applyFont="1" applyFill="1" applyBorder="1" applyAlignment="1">
      <alignment horizontal="center" vertical="center"/>
    </xf>
    <xf numFmtId="1" fontId="17" fillId="0" borderId="6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top" wrapText="1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2" fillId="0" borderId="41" xfId="0" applyFont="1" applyBorder="1" applyAlignment="1" applyProtection="1">
      <alignment horizontal="center" vertical="center" wrapText="1"/>
    </xf>
    <xf numFmtId="0" fontId="2" fillId="0" borderId="42" xfId="0" applyFont="1" applyBorder="1" applyAlignment="1" applyProtection="1">
      <alignment horizontal="center" vertical="center" wrapText="1"/>
    </xf>
    <xf numFmtId="0" fontId="2" fillId="0" borderId="43" xfId="0" applyFont="1" applyBorder="1" applyAlignment="1" applyProtection="1">
      <alignment horizontal="center" vertical="center" wrapText="1"/>
    </xf>
    <xf numFmtId="0" fontId="1" fillId="0" borderId="21" xfId="0" applyFont="1" applyBorder="1" applyAlignment="1" applyProtection="1">
      <alignment horizontal="center"/>
    </xf>
    <xf numFmtId="0" fontId="1" fillId="0" borderId="22" xfId="0" applyFont="1" applyBorder="1" applyAlignment="1" applyProtection="1">
      <alignment horizontal="center"/>
    </xf>
    <xf numFmtId="0" fontId="1" fillId="0" borderId="23" xfId="0" applyFont="1" applyBorder="1" applyAlignment="1" applyProtection="1">
      <alignment horizontal="center"/>
    </xf>
    <xf numFmtId="0" fontId="20" fillId="0" borderId="38" xfId="0" applyFont="1" applyFill="1" applyBorder="1" applyAlignment="1" applyProtection="1">
      <alignment horizontal="center" vertical="center"/>
    </xf>
    <xf numFmtId="0" fontId="20" fillId="0" borderId="39" xfId="0" applyFont="1" applyFill="1" applyBorder="1" applyAlignment="1" applyProtection="1">
      <alignment horizontal="center" vertical="center"/>
    </xf>
    <xf numFmtId="0" fontId="20" fillId="0" borderId="40" xfId="0" applyFont="1" applyFill="1" applyBorder="1" applyAlignment="1" applyProtection="1">
      <alignment horizontal="center" vertical="center"/>
    </xf>
    <xf numFmtId="0" fontId="20" fillId="0" borderId="29" xfId="0" applyFont="1" applyFill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wrapText="1"/>
    </xf>
    <xf numFmtId="0" fontId="4" fillId="0" borderId="39" xfId="0" applyFont="1" applyBorder="1" applyAlignment="1" applyProtection="1">
      <alignment horizontal="center" wrapText="1"/>
    </xf>
    <xf numFmtId="0" fontId="4" fillId="0" borderId="40" xfId="0" applyFont="1" applyBorder="1" applyAlignment="1" applyProtection="1">
      <alignment horizontal="center" wrapText="1"/>
    </xf>
    <xf numFmtId="0" fontId="4" fillId="0" borderId="29" xfId="0" applyFont="1" applyBorder="1" applyAlignment="1" applyProtection="1">
      <alignment horizont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30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/>
    </xf>
    <xf numFmtId="0" fontId="19" fillId="0" borderId="3" xfId="0" applyFont="1" applyFill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/>
    </xf>
    <xf numFmtId="0" fontId="1" fillId="0" borderId="26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9" fillId="0" borderId="30" xfId="0" applyFont="1" applyFill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39" xfId="0" applyFont="1" applyFill="1" applyBorder="1" applyAlignment="1" applyProtection="1">
      <alignment horizontal="center" vertical="center"/>
    </xf>
    <xf numFmtId="0" fontId="11" fillId="0" borderId="40" xfId="0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/>
    </xf>
    <xf numFmtId="0" fontId="1" fillId="0" borderId="28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25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right"/>
    </xf>
    <xf numFmtId="0" fontId="1" fillId="0" borderId="0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20" xfId="0" applyFont="1" applyBorder="1" applyAlignment="1" applyProtection="1">
      <alignment horizontal="right"/>
    </xf>
    <xf numFmtId="0" fontId="0" fillId="0" borderId="0" xfId="0" applyAlignment="1" applyProtection="1">
      <alignment horizontal="center"/>
    </xf>
    <xf numFmtId="0" fontId="2" fillId="0" borderId="3" xfId="0" applyFont="1" applyBorder="1" applyAlignment="1" applyProtection="1">
      <alignment horizontal="center" wrapText="1"/>
    </xf>
    <xf numFmtId="0" fontId="2" fillId="0" borderId="5" xfId="0" applyFont="1" applyBorder="1" applyAlignment="1" applyProtection="1">
      <alignment horizontal="center" wrapText="1"/>
    </xf>
    <xf numFmtId="0" fontId="20" fillId="0" borderId="46" xfId="0" applyFont="1" applyFill="1" applyBorder="1" applyAlignment="1" applyProtection="1">
      <alignment horizontal="center" vertical="center"/>
    </xf>
    <xf numFmtId="0" fontId="20" fillId="0" borderId="6" xfId="0" applyFont="1" applyFill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center"/>
    </xf>
    <xf numFmtId="0" fontId="1" fillId="0" borderId="32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30" xfId="0" applyFont="1" applyBorder="1" applyAlignment="1" applyProtection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1">
    <cellStyle name="Normal" xfId="0" builtinId="0"/>
  </cellStyles>
  <dxfs count="2"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C8FFC8"/>
      <color rgb="FFFFC8C8"/>
      <color rgb="FF00FF00"/>
      <color rgb="FF0000FF"/>
      <color rgb="FFE67300"/>
      <color rgb="FF7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Top-down orbital plot (x-y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RPlot!$E$2</c:f>
              <c:strCache>
                <c:ptCount val="1"/>
                <c:pt idx="0">
                  <c:v>Origin Orbit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RPlot!$E$4:$E$104</c:f>
              <c:numCache>
                <c:formatCode>0.00E+00</c:formatCode>
                <c:ptCount val="101"/>
                <c:pt idx="0">
                  <c:v>-56950294258.091858</c:v>
                </c:pt>
                <c:pt idx="1">
                  <c:v>-65354477309.841003</c:v>
                </c:pt>
                <c:pt idx="2">
                  <c:v>-73505610444.21344</c:v>
                </c:pt>
                <c:pt idx="3">
                  <c:v>-81373046884.347137</c:v>
                </c:pt>
                <c:pt idx="4">
                  <c:v>-88927130815.213669</c:v>
                </c:pt>
                <c:pt idx="5">
                  <c:v>-96139293243.464233</c:v>
                </c:pt>
                <c:pt idx="6">
                  <c:v>-102982145762.86708</c:v>
                </c:pt>
                <c:pt idx="7">
                  <c:v>-109429572133.00426</c:v>
                </c:pt>
                <c:pt idx="8">
                  <c:v>-115456817554.88956</c:v>
                </c:pt>
                <c:pt idx="9">
                  <c:v>-121040575500.28777</c:v>
                </c:pt>
                <c:pt idx="10">
                  <c:v>-126159071922.20216</c:v>
                </c:pt>
                <c:pt idx="11">
                  <c:v>-130792146642.76733</c:v>
                </c:pt>
                <c:pt idx="12">
                  <c:v>-134921331682.16199</c:v>
                </c:pt>
                <c:pt idx="13">
                  <c:v>-138529926258.73917</c:v>
                </c:pt>
                <c:pt idx="14">
                  <c:v>-141603068156.97623</c:v>
                </c:pt>
                <c:pt idx="15">
                  <c:v>-144127801126.7424</c:v>
                </c:pt>
                <c:pt idx="16">
                  <c:v>-146093137945.45966</c:v>
                </c:pt>
                <c:pt idx="17">
                  <c:v>-147490118744.71606</c:v>
                </c:pt>
                <c:pt idx="18">
                  <c:v>-148311864175.52502</c:v>
                </c:pt>
                <c:pt idx="19">
                  <c:v>-148553622962.46402</c:v>
                </c:pt>
                <c:pt idx="20">
                  <c:v>-148212813377.1337</c:v>
                </c:pt>
                <c:pt idx="21">
                  <c:v>-147289058146.50034</c:v>
                </c:pt>
                <c:pt idx="22">
                  <c:v>-145784212302.45569</c:v>
                </c:pt>
                <c:pt idx="23">
                  <c:v>-143702383476.04099</c:v>
                </c:pt>
                <c:pt idx="24">
                  <c:v>-141049944143.87982</c:v>
                </c:pt>
                <c:pt idx="25">
                  <c:v>-137835535346.02997</c:v>
                </c:pt>
                <c:pt idx="26">
                  <c:v>-134070061414.18352</c:v>
                </c:pt>
                <c:pt idx="27">
                  <c:v>-129766675277.32092</c:v>
                </c:pt>
                <c:pt idx="28">
                  <c:v>-124940753948.82419</c:v>
                </c:pt>
                <c:pt idx="29">
                  <c:v>-119609863844.82588</c:v>
                </c:pt>
                <c:pt idx="30">
                  <c:v>-113793715638.19861</c:v>
                </c:pt>
                <c:pt idx="31">
                  <c:v>-107514108415.91696</c:v>
                </c:pt>
                <c:pt idx="32">
                  <c:v>-100794862979.19571</c:v>
                </c:pt>
                <c:pt idx="33">
                  <c:v>-93661744205.309708</c:v>
                </c:pt>
                <c:pt idx="34">
                  <c:v>-86142372476.632248</c:v>
                </c:pt>
                <c:pt idx="35">
                  <c:v>-78266124275.293503</c:v>
                </c:pt>
                <c:pt idx="36">
                  <c:v>-70064022139.90448</c:v>
                </c:pt>
                <c:pt idx="37">
                  <c:v>-61568614282.777946</c:v>
                </c:pt>
                <c:pt idx="38">
                  <c:v>-52813844270.632401</c:v>
                </c:pt>
                <c:pt idx="39">
                  <c:v>-43834911277.368652</c:v>
                </c:pt>
                <c:pt idx="40">
                  <c:v>-34668121522.547287</c:v>
                </c:pt>
                <c:pt idx="41">
                  <c:v>-25350731611.980877</c:v>
                </c:pt>
                <c:pt idx="42">
                  <c:v>-15920784595.649128</c:v>
                </c:pt>
                <c:pt idx="43">
                  <c:v>-6416939651.2035236</c:v>
                </c:pt>
                <c:pt idx="44">
                  <c:v>3121703613.0325589</c:v>
                </c:pt>
                <c:pt idx="45">
                  <c:v>12655785165.103178</c:v>
                </c:pt>
                <c:pt idx="46">
                  <c:v>22145867730.019245</c:v>
                </c:pt>
                <c:pt idx="47">
                  <c:v>31552621953.40868</c:v>
                </c:pt>
                <c:pt idx="48">
                  <c:v>40837012316.729919</c:v>
                </c:pt>
                <c:pt idx="49">
                  <c:v>49960482545.66951</c:v>
                </c:pt>
                <c:pt idx="50">
                  <c:v>58885139241.210327</c:v>
                </c:pt>
                <c:pt idx="51">
                  <c:v>67573932465.863159</c:v>
                </c:pt>
                <c:pt idx="52">
                  <c:v>75990832035.931442</c:v>
                </c:pt>
                <c:pt idx="53">
                  <c:v>84100998304.181488</c:v>
                </c:pt>
                <c:pt idx="54">
                  <c:v>91870946265.543762</c:v>
                </c:pt>
                <c:pt idx="55" formatCode="General">
                  <c:v>99268701880.715561</c:v>
                </c:pt>
                <c:pt idx="56">
                  <c:v>106263949587.78192</c:v>
                </c:pt>
                <c:pt idx="57">
                  <c:v>112828170058.98318</c:v>
                </c:pt>
                <c:pt idx="58">
                  <c:v>118934767357.09688</c:v>
                </c:pt>
                <c:pt idx="59">
                  <c:v>124559184751.90112</c:v>
                </c:pt>
                <c:pt idx="60">
                  <c:v>129679008570.10904</c:v>
                </c:pt>
                <c:pt idx="61">
                  <c:v>134274059570.13168</c:v>
                </c:pt>
                <c:pt idx="62">
                  <c:v>138326471454.09796</c:v>
                </c:pt>
                <c:pt idx="63">
                  <c:v>141820756251.83145</c:v>
                </c:pt>
                <c:pt idx="64">
                  <c:v>144743856433.0408</c:v>
                </c:pt>
                <c:pt idx="65">
                  <c:v>147085183723.00034</c:v>
                </c:pt>
                <c:pt idx="66">
                  <c:v>148836644711.78073</c:v>
                </c:pt>
                <c:pt idx="67">
                  <c:v>149992653456.06079</c:v>
                </c:pt>
                <c:pt idx="68">
                  <c:v>150550131374.32202</c:v>
                </c:pt>
                <c:pt idx="69">
                  <c:v>150508494829.60446</c:v>
                </c:pt>
                <c:pt idx="70">
                  <c:v>149869630877.98987</c:v>
                </c:pt>
                <c:pt idx="71">
                  <c:v>148637861734.81952</c:v>
                </c:pt>
                <c:pt idx="72">
                  <c:v>146819898573.80087</c:v>
                </c:pt>
                <c:pt idx="73">
                  <c:v>144424785326.29065</c:v>
                </c:pt>
                <c:pt idx="74">
                  <c:v>141463833189.06046</c:v>
                </c:pt>
                <c:pt idx="75">
                  <c:v>137950546578.84613</c:v>
                </c:pt>
                <c:pt idx="76">
                  <c:v>133900541291.24585</c:v>
                </c:pt>
                <c:pt idx="77">
                  <c:v>129331455630.51164</c:v>
                </c:pt>
                <c:pt idx="78">
                  <c:v>124262855276.08086</c:v>
                </c:pt>
                <c:pt idx="79">
                  <c:v>118716132642.03809</c:v>
                </c:pt>
                <c:pt idx="80">
                  <c:v>112714401467.92093</c:v>
                </c:pt>
                <c:pt idx="81">
                  <c:v>106282387354.26392</c:v>
                </c:pt>
                <c:pt idx="82">
                  <c:v>99446314925.009796</c:v>
                </c:pt>
                <c:pt idx="83">
                  <c:v>92233792262.362045</c:v>
                </c:pt>
                <c:pt idx="84">
                  <c:v>84673693218.819901</c:v>
                </c:pt>
                <c:pt idx="85">
                  <c:v>76796038167.040329</c:v>
                </c:pt>
                <c:pt idx="86">
                  <c:v>68631873701.752953</c:v>
                </c:pt>
                <c:pt idx="87">
                  <c:v>60213151760.187225</c:v>
                </c:pt>
                <c:pt idx="88">
                  <c:v>51572608579.191849</c:v>
                </c:pt>
                <c:pt idx="89">
                  <c:v>42743643859.345345</c:v>
                </c:pt>
                <c:pt idx="90">
                  <c:v>33760200459.534534</c:v>
                </c:pt>
                <c:pt idx="91">
                  <c:v>24656644900.518959</c:v>
                </c:pt>
                <c:pt idx="92">
                  <c:v>15467648913.427578</c:v>
                </c:pt>
                <c:pt idx="93">
                  <c:v>6228072229.5675421</c:v>
                </c:pt>
                <c:pt idx="94">
                  <c:v>-3027153228.2029686</c:v>
                </c:pt>
                <c:pt idx="95">
                  <c:v>-12263137624.581814</c:v>
                </c:pt>
                <c:pt idx="96">
                  <c:v>-21445145861.572136</c:v>
                </c:pt>
                <c:pt idx="97">
                  <c:v>-30538708522.737682</c:v>
                </c:pt>
                <c:pt idx="98">
                  <c:v>-39509731054.9552</c:v>
                </c:pt>
                <c:pt idx="99">
                  <c:v>-48324601145.016907</c:v>
                </c:pt>
                <c:pt idx="100" formatCode="General">
                  <c:v>-56950294258.087761</c:v>
                </c:pt>
              </c:numCache>
            </c:numRef>
          </c:xVal>
          <c:yVal>
            <c:numRef>
              <c:f>RPlot!$F$4:$F$104</c:f>
              <c:numCache>
                <c:formatCode>0.00E+00</c:formatCode>
                <c:ptCount val="101"/>
                <c:pt idx="0">
                  <c:v>135627576026.20248</c:v>
                </c:pt>
                <c:pt idx="1">
                  <c:v>131784885566.14709</c:v>
                </c:pt>
                <c:pt idx="2">
                  <c:v>127430304733.5712</c:v>
                </c:pt>
                <c:pt idx="3">
                  <c:v>122580067363.39917</c:v>
                </c:pt>
                <c:pt idx="4">
                  <c:v>117252182777.72112</c:v>
                </c:pt>
                <c:pt idx="5">
                  <c:v>111466381728.80965</c:v>
                </c:pt>
                <c:pt idx="6">
                  <c:v>105244057996.02403</c:v>
                </c:pt>
                <c:pt idx="7">
                  <c:v>98608205593.143158</c:v>
                </c:pt>
                <c:pt idx="8">
                  <c:v>91583351529.150009</c:v>
                </c:pt>
                <c:pt idx="9">
                  <c:v>84195484055.805328</c:v>
                </c:pt>
                <c:pt idx="10">
                  <c:v>76471976329.887375</c:v>
                </c:pt>
                <c:pt idx="11">
                  <c:v>68441505417.083649</c:v>
                </c:pt>
                <c:pt idx="12">
                  <c:v>60133966568.506813</c:v>
                </c:pt>
                <c:pt idx="13">
                  <c:v>51580382709.924683</c:v>
                </c:pt>
                <c:pt idx="14">
                  <c:v>42812809098.248756</c:v>
                </c:pt>
                <c:pt idx="15">
                  <c:v>33864233119.740311</c:v>
                </c:pt>
                <c:pt idx="16">
                  <c:v>24768469229.853001</c:v>
                </c:pt>
                <c:pt idx="17">
                  <c:v>15560049065.616484</c:v>
                </c:pt>
                <c:pt idx="18">
                  <c:v>6274106797.888979</c:v>
                </c:pt>
                <c:pt idx="19">
                  <c:v>-3053740167.5056281</c:v>
                </c:pt>
                <c:pt idx="20">
                  <c:v>-12387514984.073704</c:v>
                </c:pt>
                <c:pt idx="21">
                  <c:v>-21691009447.417336</c:v>
                </c:pt>
                <c:pt idx="22">
                  <c:v>-30927916104.096874</c:v>
                </c:pt>
                <c:pt idx="23">
                  <c:v>-40061964065.261749</c:v>
                </c:pt>
                <c:pt idx="24">
                  <c:v>-49057058141.906471</c:v>
                </c:pt>
                <c:pt idx="25">
                  <c:v>-57877420854.748833</c:v>
                </c:pt>
                <c:pt idx="26">
                  <c:v>-66487736806.692337</c:v>
                </c:pt>
                <c:pt idx="27">
                  <c:v>-74853298840.635712</c:v>
                </c:pt>
                <c:pt idx="28">
                  <c:v>-82940155341.102615</c:v>
                </c:pt>
                <c:pt idx="29">
                  <c:v>-90715257975.901276</c:v>
                </c:pt>
                <c:pt idx="30">
                  <c:v>-98146609115.027344</c:v>
                </c:pt>
                <c:pt idx="31">
                  <c:v>-105203408109.46962</c:v>
                </c:pt>
                <c:pt idx="32">
                  <c:v>-111856195563.75824</c:v>
                </c:pt>
                <c:pt idx="33">
                  <c:v>-118076994694.20421</c:v>
                </c:pt>
                <c:pt idx="34">
                  <c:v>-123839448831.01485</c:v>
                </c:pt>
                <c:pt idx="35">
                  <c:v>-129118954097.95338</c:v>
                </c:pt>
                <c:pt idx="36">
                  <c:v>-133892786288.95923</c:v>
                </c:pt>
                <c:pt idx="37">
                  <c:v>-138140220958.05042</c:v>
                </c:pt>
                <c:pt idx="38">
                  <c:v>-141842645747.6308</c:v>
                </c:pt>
                <c:pt idx="39">
                  <c:v>-144983664001.5759</c:v>
                </c:pt>
                <c:pt idx="40">
                  <c:v>-147549188743.52545</c:v>
                </c:pt>
                <c:pt idx="41">
                  <c:v>-149527526147.78024</c:v>
                </c:pt>
                <c:pt idx="42">
                  <c:v>-150909447689.98495</c:v>
                </c:pt>
                <c:pt idx="43">
                  <c:v>-151688250236.99194</c:v>
                </c:pt>
                <c:pt idx="44">
                  <c:v>-151859803419.33188</c:v>
                </c:pt>
                <c:pt idx="45">
                  <c:v>-151422583724.68152</c:v>
                </c:pt>
                <c:pt idx="46">
                  <c:v>-150377694855.50604</c:v>
                </c:pt>
                <c:pt idx="47">
                  <c:v>-148728874007.31354</c:v>
                </c:pt>
                <c:pt idx="48">
                  <c:v>-146482483844.15054</c:v>
                </c:pt>
                <c:pt idx="49">
                  <c:v>-143647490073.36847</c:v>
                </c:pt>
                <c:pt idx="50">
                  <c:v>-140235424650.44055</c:v>
                </c:pt>
                <c:pt idx="51">
                  <c:v>-136260334774.76605</c:v>
                </c:pt>
                <c:pt idx="52">
                  <c:v>-131738717966.92433</c:v>
                </c:pt>
                <c:pt idx="53">
                  <c:v>-126689443644.75052</c:v>
                </c:pt>
                <c:pt idx="54">
                  <c:v>-121133661737.87871</c:v>
                </c:pt>
                <c:pt idx="55" formatCode="General">
                  <c:v>-115094698996.15649</c:v>
                </c:pt>
                <c:pt idx="56">
                  <c:v>-108597943754.79123</c:v>
                </c:pt>
                <c:pt idx="57">
                  <c:v>-101670720016.63437</c:v>
                </c:pt>
                <c:pt idx="58">
                  <c:v>-94342151798.223053</c:v>
                </c:pt>
                <c:pt idx="59">
                  <c:v>-86643018759.922241</c:v>
                </c:pt>
                <c:pt idx="60">
                  <c:v>-78605604200.801147</c:v>
                </c:pt>
                <c:pt idx="61">
                  <c:v>-70263536545.078751</c:v>
                </c:pt>
                <c:pt idx="62">
                  <c:v>-61651625478.732979</c:v>
                </c:pt>
                <c:pt idx="63">
                  <c:v>-52805693912.070473</c:v>
                </c:pt>
                <c:pt idx="64">
                  <c:v>-43762406946.879662</c:v>
                </c:pt>
                <c:pt idx="65">
                  <c:v>-34559099015.71035</c:v>
                </c:pt>
                <c:pt idx="66">
                  <c:v>-25233600336.483749</c:v>
                </c:pt>
                <c:pt idx="67">
                  <c:v>-15824063788.965832</c:v>
                </c:pt>
                <c:pt idx="68">
                  <c:v>-6368793271.7309294</c:v>
                </c:pt>
                <c:pt idx="69">
                  <c:v>3093925459.6830502</c:v>
                </c:pt>
                <c:pt idx="70">
                  <c:v>12525990539.255205</c:v>
                </c:pt>
                <c:pt idx="71">
                  <c:v>21889645461.149532</c:v>
                </c:pt>
                <c:pt idx="72">
                  <c:v>31147635493.487907</c:v>
                </c:pt>
                <c:pt idx="73">
                  <c:v>40263358337.680252</c:v>
                </c:pt>
                <c:pt idx="74">
                  <c:v>49201008421.904915</c:v>
                </c:pt>
                <c:pt idx="75">
                  <c:v>57925714304.67495</c:v>
                </c:pt>
                <c:pt idx="76">
                  <c:v>66403668751.53614</c:v>
                </c:pt>
                <c:pt idx="77">
                  <c:v>74602251133.551544</c:v>
                </c:pt>
                <c:pt idx="78">
                  <c:v>82490141879.151459</c:v>
                </c:pt>
                <c:pt idx="79">
                  <c:v>90037428790.111389</c:v>
                </c:pt>
                <c:pt idx="80">
                  <c:v>97215705106.939102</c:v>
                </c:pt>
                <c:pt idx="81">
                  <c:v>103998159278.07776</c:v>
                </c:pt>
                <c:pt idx="82">
                  <c:v>110359656450.3756</c:v>
                </c:pt>
                <c:pt idx="83">
                  <c:v>116276811754.82144</c:v>
                </c:pt>
                <c:pt idx="84">
                  <c:v>121728055511.23424</c:v>
                </c:pt>
                <c:pt idx="85">
                  <c:v>126693690518.21895</c:v>
                </c:pt>
                <c:pt idx="86">
                  <c:v>131155941630.21535</c:v>
                </c:pt>
                <c:pt idx="87">
                  <c:v>135098997851.88614</c:v>
                </c:pt>
                <c:pt idx="88">
                  <c:v>138509047201.60547</c:v>
                </c:pt>
                <c:pt idx="89">
                  <c:v>141374304610.61548</c:v>
                </c:pt>
                <c:pt idx="90">
                  <c:v>143685033132.9053</c:v>
                </c:pt>
                <c:pt idx="91">
                  <c:v>145433558743.37442</c:v>
                </c:pt>
                <c:pt idx="92">
                  <c:v>146614278998.87674</c:v>
                </c:pt>
                <c:pt idx="93">
                  <c:v>147223665828.77466</c:v>
                </c:pt>
                <c:pt idx="94">
                  <c:v>147260262709.22415</c:v>
                </c:pt>
                <c:pt idx="95">
                  <c:v>146724676459.12839</c:v>
                </c:pt>
                <c:pt idx="96">
                  <c:v>145619563876.12595</c:v>
                </c:pt>
                <c:pt idx="97">
                  <c:v>143949613408.72516</c:v>
                </c:pt>
                <c:pt idx="98">
                  <c:v>141721522036.36423</c:v>
                </c:pt>
                <c:pt idx="99">
                  <c:v>138943967503.38098</c:v>
                </c:pt>
                <c:pt idx="100" formatCode="General">
                  <c:v>135627576026.20419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70-47EB-85D5-3043B621E4D8}"/>
            </c:ext>
          </c:extLst>
        </c:ser>
        <c:ser>
          <c:idx val="1"/>
          <c:order val="1"/>
          <c:tx>
            <c:strRef>
              <c:f>RPlot!$I$2</c:f>
              <c:strCache>
                <c:ptCount val="1"/>
                <c:pt idx="0">
                  <c:v>Destination Orbit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RPlot!$I$4:$I$104</c:f>
              <c:numCache>
                <c:formatCode>0.00E+00</c:formatCode>
                <c:ptCount val="101"/>
                <c:pt idx="0">
                  <c:v>964955412237.49561</c:v>
                </c:pt>
                <c:pt idx="1">
                  <c:v>899300422956.03577</c:v>
                </c:pt>
                <c:pt idx="2">
                  <c:v>830553073708.8645</c:v>
                </c:pt>
                <c:pt idx="3">
                  <c:v>758972376414.17688</c:v>
                </c:pt>
                <c:pt idx="4">
                  <c:v>684822238763.89221</c:v>
                </c:pt>
                <c:pt idx="5">
                  <c:v>608370749767.69531</c:v>
                </c:pt>
                <c:pt idx="6">
                  <c:v>529889522149.99158</c:v>
                </c:pt>
                <c:pt idx="7">
                  <c:v>449653087737.5882</c:v>
                </c:pt>
                <c:pt idx="8">
                  <c:v>367938341342.97845</c:v>
                </c:pt>
                <c:pt idx="9">
                  <c:v>285024028113.19092</c:v>
                </c:pt>
                <c:pt idx="10">
                  <c:v>201190268869.92636</c:v>
                </c:pt>
                <c:pt idx="11">
                  <c:v>116718117605.9527</c:v>
                </c:pt>
                <c:pt idx="12">
                  <c:v>31889145018.518093</c:v>
                </c:pt>
                <c:pt idx="13">
                  <c:v>-53014958252.821594</c:v>
                </c:pt>
                <c:pt idx="14">
                  <c:v>-137712765164.82565</c:v>
                </c:pt>
                <c:pt idx="15">
                  <c:v>-221923489152.82703</c:v>
                </c:pt>
                <c:pt idx="16">
                  <c:v>-305367360952.27771</c:v>
                </c:pt>
                <c:pt idx="17">
                  <c:v>-387766011925.60419</c:v>
                </c:pt>
                <c:pt idx="18">
                  <c:v>-468842870375.28943</c:v>
                </c:pt>
                <c:pt idx="19">
                  <c:v>-548323577179.92981</c:v>
                </c:pt>
                <c:pt idx="20">
                  <c:v>-625936426886.52173</c:v>
                </c:pt>
                <c:pt idx="21">
                  <c:v>-701412840124.6875</c:v>
                </c:pt>
                <c:pt idx="22">
                  <c:v>-774487872872.95691</c:v>
                </c:pt>
                <c:pt idx="23">
                  <c:v>-844900767698.00269</c:v>
                </c:pt>
                <c:pt idx="24">
                  <c:v>-912395551598.78967</c:v>
                </c:pt>
                <c:pt idx="25">
                  <c:v>-976721684512.60071</c:v>
                </c:pt>
                <c:pt idx="26">
                  <c:v>-1037634761872.0864</c:v>
                </c:pt>
                <c:pt idx="27">
                  <c:v>-1094897273835.7362</c:v>
                </c:pt>
                <c:pt idx="28">
                  <c:v>-1148279422942.8889</c:v>
                </c:pt>
                <c:pt idx="29">
                  <c:v>-1197560000964.1182</c:v>
                </c:pt>
                <c:pt idx="30">
                  <c:v>-1242527324625.9097</c:v>
                </c:pt>
                <c:pt idx="31">
                  <c:v>-1282980228684.5425</c:v>
                </c:pt>
                <c:pt idx="32">
                  <c:v>-1318729113510.3203</c:v>
                </c:pt>
                <c:pt idx="33">
                  <c:v>-1349597042925.5747</c:v>
                </c:pt>
                <c:pt idx="34">
                  <c:v>-1375420886528.0076</c:v>
                </c:pt>
                <c:pt idx="35">
                  <c:v>-1396052499139.1843</c:v>
                </c:pt>
                <c:pt idx="36">
                  <c:v>-1411359928365.7996</c:v>
                </c:pt>
                <c:pt idx="37">
                  <c:v>-1421228639573.2578</c:v>
                </c:pt>
                <c:pt idx="38">
                  <c:v>-1425562745877.5432</c:v>
                </c:pt>
                <c:pt idx="39">
                  <c:v>-1424286229098.1157</c:v>
                </c:pt>
                <c:pt idx="40">
                  <c:v>-1417344136022.9331</c:v>
                </c:pt>
                <c:pt idx="41">
                  <c:v>-1404703732862.8638</c:v>
                </c:pt>
                <c:pt idx="42">
                  <c:v>-1386355599466.989</c:v>
                </c:pt>
                <c:pt idx="43">
                  <c:v>-1362314643785.8699</c:v>
                </c:pt>
                <c:pt idx="44">
                  <c:v>-1332621016261.5515</c:v>
                </c:pt>
                <c:pt idx="45">
                  <c:v>-1297340903345.4666</c:v>
                </c:pt>
                <c:pt idx="46">
                  <c:v>-1256567179250.5132</c:v>
                </c:pt>
                <c:pt idx="47">
                  <c:v>-1210419895378.8962</c:v>
                </c:pt>
                <c:pt idx="48">
                  <c:v>-1159046587673.0078</c:v>
                </c:pt>
                <c:pt idx="49">
                  <c:v>-1102622383442.7253</c:v>
                </c:pt>
                <c:pt idx="50">
                  <c:v>-1041349891047.3151</c:v>
                </c:pt>
                <c:pt idx="51">
                  <c:v>-975458858156.4248</c:v>
                </c:pt>
                <c:pt idx="52">
                  <c:v>-905205587169.24829</c:v>
                </c:pt>
                <c:pt idx="53">
                  <c:v>-830872099702.14319</c:v>
                </c:pt>
                <c:pt idx="54">
                  <c:v>-752765045812.37964</c:v>
                </c:pt>
                <c:pt idx="55" formatCode="General">
                  <c:v>-671214357740.21411</c:v>
                </c:pt>
                <c:pt idx="56">
                  <c:v>-586571652335.87048</c:v>
                </c:pt>
                <c:pt idx="57">
                  <c:v>-499208390889.57239</c:v>
                </c:pt>
                <c:pt idx="58">
                  <c:v>-409513809685.26788</c:v>
                </c:pt>
                <c:pt idx="59">
                  <c:v>-317892639127.00641</c:v>
                </c:pt>
                <c:pt idx="60">
                  <c:v>-224762633610.53534</c:v>
                </c:pt>
                <c:pt idx="61">
                  <c:v>-130551938301.96576</c:v>
                </c:pt>
                <c:pt idx="62">
                  <c:v>-35696322515.230438</c:v>
                </c:pt>
                <c:pt idx="63">
                  <c:v>59363687662.627541</c:v>
                </c:pt>
                <c:pt idx="64">
                  <c:v>154185742562.79535</c:v>
                </c:pt>
                <c:pt idx="65">
                  <c:v>248328631468.53879</c:v>
                </c:pt>
                <c:pt idx="66">
                  <c:v>341355237279.87799</c:v>
                </c:pt>
                <c:pt idx="67">
                  <c:v>432835446188.25946</c:v>
                </c:pt>
                <c:pt idx="68">
                  <c:v>522348976156.82233</c:v>
                </c:pt>
                <c:pt idx="69">
                  <c:v>609488089716.46436</c:v>
                </c:pt>
                <c:pt idx="70">
                  <c:v>693860159043.01953</c:v>
                </c:pt>
                <c:pt idx="71">
                  <c:v>775090054397.34875</c:v>
                </c:pt>
                <c:pt idx="72">
                  <c:v>852822330687.81396</c:v>
                </c:pt>
                <c:pt idx="73">
                  <c:v>926723191036.54333</c:v>
                </c:pt>
                <c:pt idx="74">
                  <c:v>996482210671.2915</c:v>
                </c:pt>
                <c:pt idx="75">
                  <c:v>1061813809090.5765</c:v>
                </c:pt>
                <c:pt idx="76">
                  <c:v>1122458463129.8594</c:v>
                </c:pt>
                <c:pt idx="77">
                  <c:v>1178183658163.9956</c:v>
                </c:pt>
                <c:pt idx="78">
                  <c:v>1228784579098.8533</c:v>
                </c:pt>
                <c:pt idx="79">
                  <c:v>1274084546930.031</c:v>
                </c:pt>
                <c:pt idx="80">
                  <c:v>1313935210391.7036</c:v>
                </c:pt>
                <c:pt idx="81">
                  <c:v>1348216505515.4053</c:v>
                </c:pt>
                <c:pt idx="82">
                  <c:v>1376836398718.0059</c:v>
                </c:pt>
                <c:pt idx="83">
                  <c:v>1399730431309.8455</c:v>
                </c:pt>
                <c:pt idx="84">
                  <c:v>1416861085047.3274</c:v>
                </c:pt>
                <c:pt idx="85">
                  <c:v>1428216989554.2512</c:v>
                </c:pt>
                <c:pt idx="86">
                  <c:v>1433811993123.842</c:v>
                </c:pt>
                <c:pt idx="87">
                  <c:v>1433684118621.9434</c:v>
                </c:pt>
                <c:pt idx="88">
                  <c:v>1427894425984.2092</c:v>
                </c:pt>
                <c:pt idx="89">
                  <c:v>1416525802186.9478</c:v>
                </c:pt>
                <c:pt idx="90">
                  <c:v>1399681698627.4163</c:v>
                </c:pt>
                <c:pt idx="91">
                  <c:v>1377484834632.082</c:v>
                </c:pt>
                <c:pt idx="92">
                  <c:v>1350075884377.9392</c:v>
                </c:pt>
                <c:pt idx="93">
                  <c:v>1317612162917.7124</c:v>
                </c:pt>
                <c:pt idx="94">
                  <c:v>1280266325296.8242</c:v>
                </c:pt>
                <c:pt idx="95">
                  <c:v>1238225090985.8948</c:v>
                </c:pt>
                <c:pt idx="96">
                  <c:v>1191688004069.6453</c:v>
                </c:pt>
                <c:pt idx="97">
                  <c:v>1140866237867.8953</c:v>
                </c:pt>
                <c:pt idx="98">
                  <c:v>1085981450947.6666</c:v>
                </c:pt>
                <c:pt idx="99">
                  <c:v>1027264699841.6989</c:v>
                </c:pt>
                <c:pt idx="100" formatCode="General">
                  <c:v>964955412237.52734</c:v>
                </c:pt>
              </c:numCache>
            </c:numRef>
          </c:xVal>
          <c:yVal>
            <c:numRef>
              <c:f>RPlot!$J$4:$J$104</c:f>
              <c:numCache>
                <c:formatCode>0.00E+00</c:formatCode>
                <c:ptCount val="101"/>
                <c:pt idx="0">
                  <c:v>980126728491.80554</c:v>
                </c:pt>
                <c:pt idx="1">
                  <c:v>1036322412130.6075</c:v>
                </c:pt>
                <c:pt idx="2">
                  <c:v>1088331156489.2892</c:v>
                </c:pt>
                <c:pt idx="3">
                  <c:v>1136001640799.3708</c:v>
                </c:pt>
                <c:pt idx="4">
                  <c:v>1179197572600.6892</c:v>
                </c:pt>
                <c:pt idx="5">
                  <c:v>1217797519898.6697</c:v>
                </c:pt>
                <c:pt idx="6">
                  <c:v>1251694732402.1362</c:v>
                </c:pt>
                <c:pt idx="7">
                  <c:v>1280796959229.0576</c:v>
                </c:pt>
                <c:pt idx="8">
                  <c:v>1305026269690.6213</c:v>
                </c:pt>
                <c:pt idx="9">
                  <c:v>1324318882969.9502</c:v>
                </c:pt>
                <c:pt idx="10">
                  <c:v>1338625011708.6016</c:v>
                </c:pt>
                <c:pt idx="11">
                  <c:v>1347908723707.6045</c:v>
                </c:pt>
                <c:pt idx="12">
                  <c:v>1352147825144.3918</c:v>
                </c:pt>
                <c:pt idx="13">
                  <c:v>1351333767905.0928</c:v>
                </c:pt>
                <c:pt idx="14">
                  <c:v>1345471582834.5955</c:v>
                </c:pt>
                <c:pt idx="15">
                  <c:v>1334579839914.8262</c:v>
                </c:pt>
                <c:pt idx="16">
                  <c:v>1318690635594.3296</c:v>
                </c:pt>
                <c:pt idx="17">
                  <c:v>1297849606708.738</c:v>
                </c:pt>
                <c:pt idx="18">
                  <c:v>1272115969650.8135</c:v>
                </c:pt>
                <c:pt idx="19">
                  <c:v>1241562582669.844</c:v>
                </c:pt>
                <c:pt idx="20">
                  <c:v>1206276028402.5945</c:v>
                </c:pt>
                <c:pt idx="21">
                  <c:v>1166356712962.1743</c:v>
                </c:pt>
                <c:pt idx="22">
                  <c:v>1121918977138.3054</c:v>
                </c:pt>
                <c:pt idx="23">
                  <c:v>1073091214495.0879</c:v>
                </c:pt>
                <c:pt idx="24">
                  <c:v>1020015990394.5715</c:v>
                </c:pt>
                <c:pt idx="25">
                  <c:v>962850155231.93176</c:v>
                </c:pt>
                <c:pt idx="26">
                  <c:v>901764944448.72253</c:v>
                </c:pt>
                <c:pt idx="27">
                  <c:v>836946057204.27405</c:v>
                </c:pt>
                <c:pt idx="28">
                  <c:v>768593704943.96729</c:v>
                </c:pt>
                <c:pt idx="29">
                  <c:v>696922620521.28113</c:v>
                </c:pt>
                <c:pt idx="30">
                  <c:v>622162018024.83008</c:v>
                </c:pt>
                <c:pt idx="31">
                  <c:v>544555493050.93695</c:v>
                </c:pt>
                <c:pt idx="32">
                  <c:v>464360852867.40393</c:v>
                </c:pt>
                <c:pt idx="33">
                  <c:v>381849865757.60913</c:v>
                </c:pt>
                <c:pt idx="34">
                  <c:v>297307918839.2226</c:v>
                </c:pt>
                <c:pt idx="35">
                  <c:v>211033573843.12314</c:v>
                </c:pt>
                <c:pt idx="36">
                  <c:v>123338010739.01111</c:v>
                </c:pt>
                <c:pt idx="37">
                  <c:v>34544349727.809746</c:v>
                </c:pt>
                <c:pt idx="38">
                  <c:v>-55013156992.544998</c:v>
                </c:pt>
                <c:pt idx="39">
                  <c:v>-144990071124.81903</c:v>
                </c:pt>
                <c:pt idx="40">
                  <c:v>-235032857831.6478</c:v>
                </c:pt>
                <c:pt idx="41">
                  <c:v>-324780123226.69226</c:v>
                </c:pt>
                <c:pt idx="42">
                  <c:v>-413864002053.46289</c:v>
                </c:pt>
                <c:pt idx="43">
                  <c:v>-501911695515.10059</c:v>
                </c:pt>
                <c:pt idx="44">
                  <c:v>-588547156668.33289</c:v>
                </c:pt>
                <c:pt idx="45">
                  <c:v>-673392918017.37805</c:v>
                </c:pt>
                <c:pt idx="46">
                  <c:v>-756072052980.79944</c:v>
                </c:pt>
                <c:pt idx="47">
                  <c:v>-836210259809.39844</c:v>
                </c:pt>
                <c:pt idx="48">
                  <c:v>-913438053370.71448</c:v>
                </c:pt>
                <c:pt idx="49">
                  <c:v>-987393047060.81177</c:v>
                </c:pt>
                <c:pt idx="50">
                  <c:v>-1057722304039.7593</c:v>
                </c:pt>
                <c:pt idx="51">
                  <c:v>-1124084734104.74</c:v>
                </c:pt>
                <c:pt idx="52">
                  <c:v>-1186153509907.7742</c:v>
                </c:pt>
                <c:pt idx="53">
                  <c:v>-1243618473989.0439</c:v>
                </c:pt>
                <c:pt idx="54">
                  <c:v>-1296188506323.6501</c:v>
                </c:pt>
                <c:pt idx="55">
                  <c:v>-1343593820854.3333</c:v>
                </c:pt>
                <c:pt idx="56">
                  <c:v>-1385588158879.2456</c:v>
                </c:pt>
                <c:pt idx="57">
                  <c:v>-1421950847240.9617</c:v>
                </c:pt>
                <c:pt idx="58">
                  <c:v>-1452488690060.6333</c:v>
                </c:pt>
                <c:pt idx="59">
                  <c:v>-1477037664297.7063</c:v>
                </c:pt>
                <c:pt idx="60">
                  <c:v>-1495464391685.1875</c:v>
                </c:pt>
                <c:pt idx="61">
                  <c:v>-1507667362561.7954</c:v>
                </c:pt>
                <c:pt idx="62">
                  <c:v>-1513577890739.1567</c:v>
                </c:pt>
                <c:pt idx="63">
                  <c:v>-1513160782723.5806</c:v>
                </c:pt>
                <c:pt idx="64">
                  <c:v>-1506414709255.4512</c:v>
                </c:pt>
                <c:pt idx="65">
                  <c:v>-1493372272113.7905</c:v>
                </c:pt>
                <c:pt idx="66">
                  <c:v>-1474099764324.3357</c:v>
                </c:pt>
                <c:pt idx="67">
                  <c:v>-1448696627163.0239</c:v>
                </c:pt>
                <c:pt idx="68">
                  <c:v>-1417294612516.9631</c:v>
                </c:pt>
                <c:pt idx="69">
                  <c:v>-1380056664108.4109</c:v>
                </c:pt>
                <c:pt idx="70">
                  <c:v>-1337175535669.8311</c:v>
                </c:pt>
                <c:pt idx="71">
                  <c:v>-1288872168259.5703</c:v>
                </c:pt>
                <c:pt idx="72">
                  <c:v>-1235393852426.3604</c:v>
                </c:pt>
                <c:pt idx="73">
                  <c:v>-1177012203787.7754</c:v>
                </c:pt>
                <c:pt idx="74">
                  <c:v>-1114020982727.7332</c:v>
                </c:pt>
                <c:pt idx="75">
                  <c:v>-1046733790312.5269</c:v>
                </c:pt>
                <c:pt idx="76">
                  <c:v>-975481673169.99854</c:v>
                </c:pt>
                <c:pt idx="77">
                  <c:v>-900610669993.17725</c:v>
                </c:pt>
                <c:pt idx="78">
                  <c:v>-822479331561.28271</c:v>
                </c:pt>
                <c:pt idx="79">
                  <c:v>-741456244778.83423</c:v>
                </c:pt>
                <c:pt idx="80">
                  <c:v>-657917589295.14111</c:v>
                </c:pt>
                <c:pt idx="81">
                  <c:v>-572244752869.77466</c:v>
                </c:pt>
                <c:pt idx="82">
                  <c:v>-484822028889.42029</c:v>
                </c:pt>
                <c:pt idx="83">
                  <c:v>-396034416416.55756</c:v>
                </c:pt>
                <c:pt idx="84">
                  <c:v>-306265539956.35376</c:v>
                </c:pt>
                <c:pt idx="85">
                  <c:v>-215895702858.58408</c:v>
                </c:pt>
                <c:pt idx="86">
                  <c:v>-125300085011.22392</c:v>
                </c:pt>
                <c:pt idx="87">
                  <c:v>-34847092307.25428</c:v>
                </c:pt>
                <c:pt idx="88">
                  <c:v>55103137657.437622</c:v>
                </c:pt>
                <c:pt idx="89">
                  <c:v>144200072017.29318</c:v>
                </c:pt>
                <c:pt idx="90">
                  <c:v>232103962137.31747</c:v>
                </c:pt>
                <c:pt idx="91">
                  <c:v>318486869414.72125</c:v>
                </c:pt>
                <c:pt idx="92">
                  <c:v>403033542620.16357</c:v>
                </c:pt>
                <c:pt idx="93">
                  <c:v>485442153718.23969</c:v>
                </c:pt>
                <c:pt idx="94">
                  <c:v>565424900505.79529</c:v>
                </c:pt>
                <c:pt idx="95">
                  <c:v>642708485511.49695</c:v>
                </c:pt>
                <c:pt idx="96">
                  <c:v>717034481424.93567</c:v>
                </c:pt>
                <c:pt idx="97">
                  <c:v>788159593887.55164</c:v>
                </c:pt>
                <c:pt idx="98">
                  <c:v>855855832802.94922</c:v>
                </c:pt>
                <c:pt idx="99">
                  <c:v>919910603435.8385</c:v>
                </c:pt>
                <c:pt idx="100" formatCode="General">
                  <c:v>980126728491.77661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70-47EB-85D5-3043B621E4D8}"/>
            </c:ext>
          </c:extLst>
        </c:ser>
        <c:ser>
          <c:idx val="2"/>
          <c:order val="2"/>
          <c:tx>
            <c:strRef>
              <c:f>RPlot!$AG$2</c:f>
              <c:strCache>
                <c:ptCount val="1"/>
                <c:pt idx="0">
                  <c:v>Origin Vector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9112811906.9527721</c:v>
                </c:pt>
              </c:numCache>
            </c:numRef>
          </c:xVal>
          <c:yVal>
            <c:numRef>
              <c:f>RPlot!$AH$4:$AH$5</c:f>
              <c:numCache>
                <c:formatCode>0.00E+00</c:formatCode>
                <c:ptCount val="2"/>
                <c:pt idx="0">
                  <c:v>0</c:v>
                </c:pt>
                <c:pt idx="1">
                  <c:v>-151656289970.90024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70-47EB-85D5-3043B621E4D8}"/>
            </c:ext>
          </c:extLst>
        </c:ser>
        <c:ser>
          <c:idx val="3"/>
          <c:order val="3"/>
          <c:tx>
            <c:strRef>
              <c:f>RPlot!$AG$7</c:f>
              <c:strCache>
                <c:ptCount val="1"/>
                <c:pt idx="0">
                  <c:v>Destination Vector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-533060606165.17072</c:v>
                </c:pt>
              </c:numCache>
            </c:numRef>
          </c:xVal>
          <c:yVal>
            <c:numRef>
              <c:f>RPlot!$AH$9:$AH$10</c:f>
              <c:numCache>
                <c:formatCode>0.00E+00</c:formatCode>
                <c:ptCount val="2"/>
                <c:pt idx="0">
                  <c:v>0</c:v>
                </c:pt>
                <c:pt idx="1">
                  <c:v>1247855305997.5251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70-47EB-85D5-3043B621E4D8}"/>
            </c:ext>
          </c:extLst>
        </c:ser>
        <c:ser>
          <c:idx val="4"/>
          <c:order val="4"/>
          <c:tx>
            <c:strRef>
              <c:f>RPlot!$AG$12</c:f>
              <c:strCache>
                <c:ptCount val="1"/>
                <c:pt idx="0">
                  <c:v>Ascending Node Vector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RPlot!$AG$14:$AG$16</c:f>
              <c:numCache>
                <c:formatCode>0.00E+00</c:formatCode>
                <c:ptCount val="3"/>
                <c:pt idx="0">
                  <c:v>0</c:v>
                </c:pt>
                <c:pt idx="1">
                  <c:v>61050157549.223602</c:v>
                </c:pt>
                <c:pt idx="2">
                  <c:v>605591898905.75964</c:v>
                </c:pt>
              </c:numCache>
            </c:numRef>
          </c:xVal>
          <c:yVal>
            <c:numRef>
              <c:f>RPlot!$AH$14:$AH$16</c:f>
              <c:numCache>
                <c:formatCode>0.00E+00</c:formatCode>
                <c:ptCount val="3"/>
                <c:pt idx="0">
                  <c:v>0</c:v>
                </c:pt>
                <c:pt idx="1">
                  <c:v>-139307292875.35504</c:v>
                </c:pt>
                <c:pt idx="2">
                  <c:v>-1381869783968.4187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A70-47EB-85D5-3043B621E4D8}"/>
            </c:ext>
          </c:extLst>
        </c:ser>
        <c:ser>
          <c:idx val="5"/>
          <c:order val="5"/>
          <c:tx>
            <c:strRef>
              <c:f>RPlot!$AG$17</c:f>
              <c:strCache>
                <c:ptCount val="1"/>
                <c:pt idx="0">
                  <c:v>Descending Node Vector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RPlot!$AG$19:$AG$21</c:f>
              <c:numCache>
                <c:formatCode>0.00E+00</c:formatCode>
                <c:ptCount val="3"/>
                <c:pt idx="0">
                  <c:v>0</c:v>
                </c:pt>
                <c:pt idx="1">
                  <c:v>-59043648241.211052</c:v>
                </c:pt>
                <c:pt idx="2">
                  <c:v>-544756213374.91266</c:v>
                </c:pt>
              </c:numCache>
            </c:numRef>
          </c:xVal>
          <c:yVal>
            <c:numRef>
              <c:f>RPlot!$AH$19:$AH$21</c:f>
              <c:numCache>
                <c:formatCode>0.00E+00</c:formatCode>
                <c:ptCount val="3"/>
                <c:pt idx="0">
                  <c:v>0</c:v>
                </c:pt>
                <c:pt idx="1">
                  <c:v>134728739910.88374</c:v>
                </c:pt>
                <c:pt idx="2">
                  <c:v>1243051884036.1812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A70-47EB-85D5-3043B621E4D8}"/>
            </c:ext>
          </c:extLst>
        </c:ser>
        <c:ser>
          <c:idx val="6"/>
          <c:order val="6"/>
          <c:tx>
            <c:strRef>
              <c:f>RPlot!$M$2</c:f>
              <c:strCache>
                <c:ptCount val="1"/>
                <c:pt idx="0">
                  <c:v>Direct Transfer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RPlot!$M$4:$M$104</c:f>
              <c:numCache>
                <c:formatCode>0.00E+00</c:formatCode>
                <c:ptCount val="101"/>
                <c:pt idx="0">
                  <c:v>9112811906.9567356</c:v>
                </c:pt>
                <c:pt idx="1">
                  <c:v>14287146709.961565</c:v>
                </c:pt>
                <c:pt idx="2">
                  <c:v>19379398992.182201</c:v>
                </c:pt>
                <c:pt idx="3">
                  <c:v>24392910856.911854</c:v>
                </c:pt>
                <c:pt idx="4">
                  <c:v>29330869516.268719</c:v>
                </c:pt>
                <c:pt idx="5">
                  <c:v>34196314315.189957</c:v>
                </c:pt>
                <c:pt idx="6">
                  <c:v>38992143236.970657</c:v>
                </c:pt>
                <c:pt idx="7">
                  <c:v>43721118910.244347</c:v>
                </c:pt>
                <c:pt idx="8">
                  <c:v>48385874135.678337</c:v>
                </c:pt>
                <c:pt idx="9">
                  <c:v>52988916948.358421</c:v>
                </c:pt>
                <c:pt idx="10">
                  <c:v>57532635229.82132</c:v>
                </c:pt>
                <c:pt idx="11">
                  <c:v>62019300881.511589</c:v>
                </c:pt>
                <c:pt idx="12">
                  <c:v>66451073569.228889</c:v>
                </c:pt>
                <c:pt idx="13">
                  <c:v>70830004046.076752</c:v>
                </c:pt>
                <c:pt idx="14">
                  <c:v>75158037058.732376</c:v>
                </c:pt>
                <c:pt idx="15">
                  <c:v>79437013839.987686</c:v>
                </c:pt>
                <c:pt idx="16">
                  <c:v>83668674187.808548</c:v>
                </c:pt>
                <c:pt idx="17">
                  <c:v>87854658128.485641</c:v>
                </c:pt>
                <c:pt idx="18">
                  <c:v>91996507159.084137</c:v>
                </c:pt>
                <c:pt idx="19">
                  <c:v>96095665061.390915</c:v>
                </c:pt>
                <c:pt idx="20">
                  <c:v>100153478276.57098</c:v>
                </c:pt>
                <c:pt idx="21">
                  <c:v>104171195826.65121</c:v>
                </c:pt>
                <c:pt idx="22">
                  <c:v>108149968765.42053</c:v>
                </c:pt>
                <c:pt idx="23">
                  <c:v>112090849137.73483</c:v>
                </c:pt>
                <c:pt idx="24">
                  <c:v>115994788422.15764</c:v>
                </c:pt>
                <c:pt idx="25">
                  <c:v>119862635427.51567</c:v>
                </c:pt>
                <c:pt idx="26">
                  <c:v>123695133609.18884</c:v>
                </c:pt>
                <c:pt idx="27">
                  <c:v>127492917765.87354</c:v>
                </c:pt>
                <c:pt idx="28">
                  <c:v>131256510071.3567</c:v>
                </c:pt>
                <c:pt idx="29">
                  <c:v>134986315390.1246</c:v>
                </c:pt>
                <c:pt idx="30">
                  <c:v>138682615818.0574</c:v>
                </c:pt>
                <c:pt idx="31">
                  <c:v>142345564381.87643</c:v>
                </c:pt>
                <c:pt idx="32">
                  <c:v>145975177822.29572</c:v>
                </c:pt>
                <c:pt idx="33">
                  <c:v>149571328376.09515</c:v>
                </c:pt>
                <c:pt idx="34">
                  <c:v>153133734461.54132</c:v>
                </c:pt>
                <c:pt idx="35">
                  <c:v>156661950159.45526</c:v>
                </c:pt>
                <c:pt idx="36">
                  <c:v>160155353368.67145</c:v>
                </c:pt>
                <c:pt idx="37">
                  <c:v>163613132499.4726</c:v>
                </c:pt>
                <c:pt idx="38">
                  <c:v>167034271551.48953</c:v>
                </c:pt>
                <c:pt idx="39">
                  <c:v>170417533403.43283</c:v>
                </c:pt>
                <c:pt idx="40">
                  <c:v>173761441120.53586</c:v>
                </c:pt>
                <c:pt idx="41">
                  <c:v>177064257061.24182</c:v>
                </c:pt>
                <c:pt idx="42">
                  <c:v>180323959537.80405</c:v>
                </c:pt>
                <c:pt idx="43">
                  <c:v>183538216754.33176</c:v>
                </c:pt>
                <c:pt idx="44">
                  <c:v>186704357711.79507</c:v>
                </c:pt>
                <c:pt idx="45">
                  <c:v>189819339730.48163</c:v>
                </c:pt>
                <c:pt idx="46">
                  <c:v>192879712196.81857</c:v>
                </c:pt>
                <c:pt idx="47">
                  <c:v>195881576092.405</c:v>
                </c:pt>
                <c:pt idx="48">
                  <c:v>198820538807.93591</c:v>
                </c:pt>
                <c:pt idx="49">
                  <c:v>201691663682.80994</c:v>
                </c:pt>
                <c:pt idx="50">
                  <c:v>204489413641.76617</c:v>
                </c:pt>
                <c:pt idx="51">
                  <c:v>207207588222.21756</c:v>
                </c:pt>
                <c:pt idx="52">
                  <c:v>209839253199.13171</c:v>
                </c:pt>
                <c:pt idx="53">
                  <c:v>212376661917.6561</c:v>
                </c:pt>
                <c:pt idx="54">
                  <c:v>214811167336.32947</c:v>
                </c:pt>
                <c:pt idx="55">
                  <c:v>217133123665.112</c:v>
                </c:pt>
                <c:pt idx="56">
                  <c:v>219331776351.97226</c:v>
                </c:pt>
                <c:pt idx="57">
                  <c:v>221395139029.42041</c:v>
                </c:pt>
                <c:pt idx="58">
                  <c:v>223309855878.04065</c:v>
                </c:pt>
                <c:pt idx="59">
                  <c:v>225061047699.11719</c:v>
                </c:pt>
                <c:pt idx="60">
                  <c:v>226632139814.31778</c:v>
                </c:pt>
                <c:pt idx="61">
                  <c:v>228004669730.51288</c:v>
                </c:pt>
                <c:pt idx="62">
                  <c:v>229158072327.18192</c:v>
                </c:pt>
                <c:pt idx="63">
                  <c:v>230069440150.15323</c:v>
                </c:pt>
                <c:pt idx="64">
                  <c:v>230713256239.82904</c:v>
                </c:pt>
                <c:pt idx="65">
                  <c:v>231061096800.55643</c:v>
                </c:pt>
                <c:pt idx="66">
                  <c:v>231081300952.73688</c:v>
                </c:pt>
                <c:pt idx="67">
                  <c:v>230738604831.52985</c:v>
                </c:pt>
                <c:pt idx="68">
                  <c:v>229993737447.64771</c:v>
                </c:pt>
                <c:pt idx="69">
                  <c:v>228802976063.53073</c:v>
                </c:pt>
                <c:pt idx="70">
                  <c:v>227117659437.88477</c:v>
                </c:pt>
                <c:pt idx="71">
                  <c:v>224883658253.2908</c:v>
                </c:pt>
                <c:pt idx="72">
                  <c:v>222040803496.34073</c:v>
                </c:pt>
                <c:pt idx="73">
                  <c:v>218522275676.97147</c:v>
                </c:pt>
                <c:pt idx="74">
                  <c:v>214253960769.86676</c:v>
                </c:pt>
                <c:pt idx="75">
                  <c:v>209153782908.55222</c:v>
                </c:pt>
                <c:pt idx="76">
                  <c:v>203131029499.20532</c:v>
                </c:pt>
                <c:pt idx="77">
                  <c:v>196085691953.76053</c:v>
                </c:pt>
                <c:pt idx="78">
                  <c:v>187907855148.5647</c:v>
                </c:pt>
                <c:pt idx="79">
                  <c:v>178477181532.99286</c:v>
                </c:pt>
                <c:pt idx="80">
                  <c:v>167662552108.29587</c:v>
                </c:pt>
                <c:pt idx="81">
                  <c:v>155321946803.82275</c:v>
                </c:pt>
                <c:pt idx="82">
                  <c:v>141302671485.87021</c:v>
                </c:pt>
                <c:pt idx="83">
                  <c:v>125442068010.68677</c:v>
                </c:pt>
                <c:pt idx="84">
                  <c:v>107568876843.95874</c:v>
                </c:pt>
                <c:pt idx="85">
                  <c:v>87505457279.182755</c:v>
                </c:pt>
                <c:pt idx="86">
                  <c:v>65071105114.393082</c:v>
                </c:pt>
                <c:pt idx="87">
                  <c:v>40086736477.62233</c:v>
                </c:pt>
                <c:pt idx="88">
                  <c:v>12381221015.951361</c:v>
                </c:pt>
                <c:pt idx="89">
                  <c:v>-18200364118.663879</c:v>
                </c:pt>
                <c:pt idx="90">
                  <c:v>-51786342148.556572</c:v>
                </c:pt>
                <c:pt idx="91">
                  <c:v>-88465804931.826309</c:v>
                </c:pt>
                <c:pt idx="92">
                  <c:v>-128273838455.54796</c:v>
                </c:pt>
                <c:pt idx="93">
                  <c:v>-171175000572.66632</c:v>
                </c:pt>
                <c:pt idx="94">
                  <c:v>-217045850199.84967</c:v>
                </c:pt>
                <c:pt idx="95">
                  <c:v>-265657821618.37097</c:v>
                </c:pt>
                <c:pt idx="96">
                  <c:v>-316662271920.23474</c:v>
                </c:pt>
                <c:pt idx="97">
                  <c:v>-369580009570.9707</c:v>
                </c:pt>
                <c:pt idx="98">
                  <c:v>-423797898558.84583</c:v>
                </c:pt>
                <c:pt idx="99">
                  <c:v>-478575059666.16815</c:v>
                </c:pt>
                <c:pt idx="100" formatCode="General">
                  <c:v>-533060606169.98138</c:v>
                </c:pt>
              </c:numCache>
            </c:numRef>
          </c:xVal>
          <c:yVal>
            <c:numRef>
              <c:f>RPlot!$N$4:$N$104</c:f>
              <c:numCache>
                <c:formatCode>0.00E+00</c:formatCode>
                <c:ptCount val="101"/>
                <c:pt idx="0">
                  <c:v>-151656289970.92429</c:v>
                </c:pt>
                <c:pt idx="1">
                  <c:v>-150146085716.02332</c:v>
                </c:pt>
                <c:pt idx="2">
                  <c:v>-148552572035.78732</c:v>
                </c:pt>
                <c:pt idx="3">
                  <c:v>-146876884843.06036</c:v>
                </c:pt>
                <c:pt idx="4">
                  <c:v>-145119951324.36557</c:v>
                </c:pt>
                <c:pt idx="5">
                  <c:v>-143282497811.47037</c:v>
                </c:pt>
                <c:pt idx="6">
                  <c:v>-141365056647.40292</c:v>
                </c:pt>
                <c:pt idx="7">
                  <c:v>-139367972105.52902</c:v>
                </c:pt>
                <c:pt idx="8">
                  <c:v>-137291405412.84825</c:v>
                </c:pt>
                <c:pt idx="9">
                  <c:v>-135135338921.98792</c:v>
                </c:pt>
                <c:pt idx="10">
                  <c:v>-132899579470.05005</c:v>
                </c:pt>
                <c:pt idx="11">
                  <c:v>-130583760956.60294</c:v>
                </c:pt>
                <c:pt idx="12">
                  <c:v>-128187346167.60316</c:v>
                </c:pt>
                <c:pt idx="13">
                  <c:v>-125709627866.71523</c:v>
                </c:pt>
                <c:pt idx="14">
                  <c:v>-123149729170.73927</c:v>
                </c:pt>
                <c:pt idx="15">
                  <c:v>-120506603220.83862</c:v>
                </c:pt>
                <c:pt idx="16">
                  <c:v>-117779032156.78156</c:v>
                </c:pt>
                <c:pt idx="17">
                  <c:v>-114965625397.02151</c:v>
                </c:pt>
                <c:pt idx="18">
                  <c:v>-112064817222.87088</c:v>
                </c:pt>
                <c:pt idx="19">
                  <c:v>-109074863660.78291</c:v>
                </c:pt>
                <c:pt idx="20">
                  <c:v>-105993838652.43745</c:v>
                </c:pt>
                <c:pt idx="21">
                  <c:v>-102819629497.90674</c:v>
                </c:pt>
                <c:pt idx="22">
                  <c:v>-99549931552.848633</c:v>
                </c:pt>
                <c:pt idx="23">
                  <c:v>-96182242156.118347</c:v>
                </c:pt>
                <c:pt idx="24">
                  <c:v>-92713853759.620697</c:v>
                </c:pt>
                <c:pt idx="25">
                  <c:v>-89141846227.465973</c:v>
                </c:pt>
                <c:pt idx="26">
                  <c:v>-85463078266.552734</c:v>
                </c:pt>
                <c:pt idx="27">
                  <c:v>-81674177945.40181</c:v>
                </c:pt>
                <c:pt idx="28">
                  <c:v>-77771532253.101669</c:v>
                </c:pt>
                <c:pt idx="29">
                  <c:v>-73751275643.947311</c:v>
                </c:pt>
                <c:pt idx="30">
                  <c:v>-69609277507.888062</c:v>
                </c:pt>
                <c:pt idx="31">
                  <c:v>-65341128500.396973</c:v>
                </c:pt>
                <c:pt idx="32">
                  <c:v>-60942125658.737587</c:v>
                </c:pt>
                <c:pt idx="33">
                  <c:v>-56407256224.631699</c:v>
                </c:pt>
                <c:pt idx="34">
                  <c:v>-51731180085.888245</c:v>
                </c:pt>
                <c:pt idx="35">
                  <c:v>-46908210741.764565</c:v>
                </c:pt>
                <c:pt idx="36">
                  <c:v>-41932294688.630379</c:v>
                </c:pt>
                <c:pt idx="37">
                  <c:v>-36796989113.840225</c:v>
                </c:pt>
                <c:pt idx="38">
                  <c:v>-31495437776.805519</c:v>
                </c:pt>
                <c:pt idx="39">
                  <c:v>-26020344946.905804</c:v>
                </c:pt>
                <c:pt idx="40">
                  <c:v>-20363947258.247936</c:v>
                </c:pt>
                <c:pt idx="41">
                  <c:v>-14517983331.779314</c:v>
                </c:pt>
                <c:pt idx="42">
                  <c:v>-8473661004.8827963</c:v>
                </c:pt>
                <c:pt idx="43">
                  <c:v>-2221621999.8096461</c:v>
                </c:pt>
                <c:pt idx="44">
                  <c:v>4248096147.6493406</c:v>
                </c:pt>
                <c:pt idx="45">
                  <c:v>10946101085.919233</c:v>
                </c:pt>
                <c:pt idx="46">
                  <c:v>17883689765.826546</c:v>
                </c:pt>
                <c:pt idx="47">
                  <c:v>25072895878.686077</c:v>
                </c:pt>
                <c:pt idx="48">
                  <c:v>32526540816.628922</c:v>
                </c:pt>
                <c:pt idx="49">
                  <c:v>40258288356.966873</c:v>
                </c:pt>
                <c:pt idx="50">
                  <c:v>48282703266.951569</c:v>
                </c:pt>
                <c:pt idx="51">
                  <c:v>56615314013.658272</c:v>
                </c:pt>
                <c:pt idx="52">
                  <c:v>65272679743.602554</c:v>
                </c:pt>
                <c:pt idx="53">
                  <c:v>74272461665.842377</c:v>
                </c:pt>
                <c:pt idx="54">
                  <c:v>83633498927.191406</c:v>
                </c:pt>
                <c:pt idx="55">
                  <c:v>93375889005.111633</c:v>
                </c:pt>
                <c:pt idx="56">
                  <c:v>103521072557.24033</c:v>
                </c:pt>
                <c:pt idx="57">
                  <c:v>114091922550.93427</c:v>
                </c:pt>
                <c:pt idx="58">
                  <c:v>125112837342.13148</c:v>
                </c:pt>
                <c:pt idx="59">
                  <c:v>136609837172.22406</c:v>
                </c:pt>
                <c:pt idx="60">
                  <c:v>148610663290.5043</c:v>
                </c:pt>
                <c:pt idx="61">
                  <c:v>161144878573.51489</c:v>
                </c:pt>
                <c:pt idx="62">
                  <c:v>174243968082.10532</c:v>
                </c:pt>
                <c:pt idx="63">
                  <c:v>187941437448.54211</c:v>
                </c:pt>
                <c:pt idx="64">
                  <c:v>202272906290.79861</c:v>
                </c:pt>
                <c:pt idx="65">
                  <c:v>217276192973.8721</c:v>
                </c:pt>
                <c:pt idx="66">
                  <c:v>232991385935.48965</c:v>
                </c:pt>
                <c:pt idx="67">
                  <c:v>249460895414.23547</c:v>
                </c:pt>
                <c:pt idx="68">
                  <c:v>266729477699.65964</c:v>
                </c:pt>
                <c:pt idx="69">
                  <c:v>284844221893.263</c:v>
                </c:pt>
                <c:pt idx="70">
                  <c:v>303854486540.85504</c:v>
                </c:pt>
                <c:pt idx="71">
                  <c:v>323811770273.37372</c:v>
                </c:pt>
                <c:pt idx="72">
                  <c:v>344769496667.01233</c:v>
                </c:pt>
                <c:pt idx="73">
                  <c:v>366782688789.47595</c:v>
                </c:pt>
                <c:pt idx="74">
                  <c:v>389907503223.26007</c:v>
                </c:pt>
                <c:pt idx="75">
                  <c:v>414200586648.1095</c:v>
                </c:pt>
                <c:pt idx="76">
                  <c:v>439718210257.39984</c:v>
                </c:pt>
                <c:pt idx="77">
                  <c:v>466515128379.13501</c:v>
                </c:pt>
                <c:pt idx="78">
                  <c:v>494643097792.41663</c:v>
                </c:pt>
                <c:pt idx="79">
                  <c:v>524148983686.94055</c:v>
                </c:pt>
                <c:pt idx="80">
                  <c:v>555072367614.07031</c:v>
                </c:pt>
                <c:pt idx="81">
                  <c:v>587442563166.4906</c:v>
                </c:pt>
                <c:pt idx="82">
                  <c:v>621274938161.37012</c:v>
                </c:pt>
                <c:pt idx="83">
                  <c:v>656566440294.94067</c:v>
                </c:pt>
                <c:pt idx="84">
                  <c:v>693290230189.62378</c:v>
                </c:pt>
                <c:pt idx="85">
                  <c:v>731389346423.37244</c:v>
                </c:pt>
                <c:pt idx="86">
                  <c:v>770769367995.97498</c:v>
                </c:pt>
                <c:pt idx="87">
                  <c:v>811290108727.1001</c:v>
                </c:pt>
                <c:pt idx="88">
                  <c:v>852756484336.97803</c:v>
                </c:pt>
                <c:pt idx="89">
                  <c:v>894908845400.07593</c:v>
                </c:pt>
                <c:pt idx="90">
                  <c:v>937413274680.16248</c:v>
                </c:pt>
                <c:pt idx="91">
                  <c:v>979852606344.5708</c:v>
                </c:pt>
                <c:pt idx="92">
                  <c:v>1021719226862.9208</c:v>
                </c:pt>
                <c:pt idx="93">
                  <c:v>1062411034962.5886</c:v>
                </c:pt>
                <c:pt idx="94">
                  <c:v>1101232218456.1565</c:v>
                </c:pt>
                <c:pt idx="95">
                  <c:v>1137400668355.0852</c:v>
                </c:pt>
                <c:pt idx="96">
                  <c:v>1170063789273.0017</c:v>
                </c:pt>
                <c:pt idx="97">
                  <c:v>1198324063146.5779</c:v>
                </c:pt>
                <c:pt idx="98">
                  <c:v>1221274885194.634</c:v>
                </c:pt>
                <c:pt idx="99">
                  <c:v>1238045889164.8535</c:v>
                </c:pt>
                <c:pt idx="100" formatCode="General">
                  <c:v>1247855305998.0476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A70-47EB-85D5-3043B621E4D8}"/>
            </c:ext>
          </c:extLst>
        </c:ser>
        <c:ser>
          <c:idx val="7"/>
          <c:order val="7"/>
          <c:tx>
            <c:strRef>
              <c:f>RPlot!$U$2</c:f>
              <c:strCache>
                <c:ptCount val="1"/>
                <c:pt idx="0">
                  <c:v>90° Transfer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RPlot!$U$4:$U$104</c:f>
              <c:numCache>
                <c:formatCode>0.00E+00</c:formatCode>
                <c:ptCount val="101"/>
                <c:pt idx="0">
                  <c:v>216976312271.88831</c:v>
                </c:pt>
                <c:pt idx="1">
                  <c:v>217987096519.67398</c:v>
                </c:pt>
                <c:pt idx="2">
                  <c:v>218971954440.79672</c:v>
                </c:pt>
                <c:pt idx="3">
                  <c:v>219929777233.74771</c:v>
                </c:pt>
                <c:pt idx="4">
                  <c:v>220859400680.14755</c:v>
                </c:pt>
                <c:pt idx="5">
                  <c:v>221759602426.16861</c:v>
                </c:pt>
                <c:pt idx="6">
                  <c:v>222629099123.41367</c:v>
                </c:pt>
                <c:pt idx="7">
                  <c:v>223466543422.13962</c:v>
                </c:pt>
                <c:pt idx="8">
                  <c:v>224270520809.41299</c:v>
                </c:pt>
                <c:pt idx="9">
                  <c:v>225039546284.4725</c:v>
                </c:pt>
                <c:pt idx="10">
                  <c:v>225772060863.26044</c:v>
                </c:pt>
                <c:pt idx="11">
                  <c:v>226466427903.77991</c:v>
                </c:pt>
                <c:pt idx="12">
                  <c:v>227120929243.62256</c:v>
                </c:pt>
                <c:pt idx="13">
                  <c:v>227733761140.71106</c:v>
                </c:pt>
                <c:pt idx="14">
                  <c:v>228303030008.01358</c:v>
                </c:pt>
                <c:pt idx="15">
                  <c:v>228826747932.70593</c:v>
                </c:pt>
                <c:pt idx="16">
                  <c:v>229302827970.00616</c:v>
                </c:pt>
                <c:pt idx="17">
                  <c:v>229729079201.6691</c:v>
                </c:pt>
                <c:pt idx="18">
                  <c:v>230103201548.93558</c:v>
                </c:pt>
                <c:pt idx="19">
                  <c:v>230422780329.56973</c:v>
                </c:pt>
                <c:pt idx="20">
                  <c:v>230685280548.51254</c:v>
                </c:pt>
                <c:pt idx="21">
                  <c:v>230888040911.63098</c:v>
                </c:pt>
                <c:pt idx="22">
                  <c:v>231028267552.06979</c:v>
                </c:pt>
                <c:pt idx="23">
                  <c:v>231103027458.83084</c:v>
                </c:pt>
                <c:pt idx="24">
                  <c:v>231109241597.41537</c:v>
                </c:pt>
                <c:pt idx="25">
                  <c:v>231043677712.71832</c:v>
                </c:pt>
                <c:pt idx="26">
                  <c:v>230902942804.83847</c:v>
                </c:pt>
                <c:pt idx="27">
                  <c:v>230683475269.13226</c:v>
                </c:pt>
                <c:pt idx="28">
                  <c:v>230381536692.68698</c:v>
                </c:pt>
                <c:pt idx="29">
                  <c:v>229993203300.47232</c:v>
                </c:pt>
                <c:pt idx="30">
                  <c:v>229514357045.77084</c:v>
                </c:pt>
                <c:pt idx="31">
                  <c:v>228940676341.14328</c:v>
                </c:pt>
                <c:pt idx="32">
                  <c:v>228267626428.1778</c:v>
                </c:pt>
                <c:pt idx="33">
                  <c:v>227490449386.6795</c:v>
                </c:pt>
                <c:pt idx="34">
                  <c:v>226604153786.81326</c:v>
                </c:pt>
                <c:pt idx="35">
                  <c:v>225603503991.1004</c:v>
                </c:pt>
                <c:pt idx="36">
                  <c:v>224483009117.14688</c:v>
                </c:pt>
                <c:pt idx="37">
                  <c:v>223236911676.63937</c:v>
                </c:pt>
                <c:pt idx="38">
                  <c:v>221859175911.56494</c:v>
                </c:pt>
                <c:pt idx="39">
                  <c:v>220343475854.8988</c:v>
                </c:pt>
                <c:pt idx="40">
                  <c:v>218683183150.2561</c:v>
                </c:pt>
                <c:pt idx="41">
                  <c:v>216871354673.3624</c:v>
                </c:pt>
                <c:pt idx="42">
                  <c:v>214900720007.76459</c:v>
                </c:pt>
                <c:pt idx="43">
                  <c:v>212763668838.14365</c:v>
                </c:pt>
                <c:pt idx="44">
                  <c:v>210452238337.05194</c:v>
                </c:pt>
                <c:pt idx="45">
                  <c:v>207958100635.03293</c:v>
                </c:pt>
                <c:pt idx="46">
                  <c:v>205272550480.09164</c:v>
                </c:pt>
                <c:pt idx="47">
                  <c:v>202386493210.52634</c:v>
                </c:pt>
                <c:pt idx="48">
                  <c:v>199290433185.42615</c:v>
                </c:pt>
                <c:pt idx="49">
                  <c:v>195974462839.86987</c:v>
                </c:pt>
                <c:pt idx="50">
                  <c:v>192428252557.23898</c:v>
                </c:pt>
                <c:pt idx="51">
                  <c:v>188641041579.28055</c:v>
                </c:pt>
                <c:pt idx="52">
                  <c:v>184601630205.81799</c:v>
                </c:pt>
                <c:pt idx="53">
                  <c:v>180298373570.4924</c:v>
                </c:pt>
                <c:pt idx="54">
                  <c:v>175719177316.76895</c:v>
                </c:pt>
                <c:pt idx="55">
                  <c:v>170851495539.78998</c:v>
                </c:pt>
                <c:pt idx="56">
                  <c:v>165682331404.55374</c:v>
                </c:pt>
                <c:pt idx="57">
                  <c:v>160198240899.3508</c:v>
                </c:pt>
                <c:pt idx="58">
                  <c:v>154385340235.29651</c:v>
                </c:pt>
                <c:pt idx="59">
                  <c:v>148229317457.94894</c:v>
                </c:pt>
                <c:pt idx="60">
                  <c:v>141715448895.03949</c:v>
                </c:pt>
                <c:pt idx="61">
                  <c:v>134828621124.72144</c:v>
                </c:pt>
                <c:pt idx="62">
                  <c:v>127553359210.70479</c:v>
                </c:pt>
                <c:pt idx="63">
                  <c:v>119873862013.1516</c:v>
                </c:pt>
                <c:pt idx="64">
                  <c:v>111774045445.91949</c:v>
                </c:pt>
                <c:pt idx="65">
                  <c:v>103237594609.92863</c:v>
                </c:pt>
                <c:pt idx="66">
                  <c:v>94248025786.933609</c:v>
                </c:pt>
                <c:pt idx="67">
                  <c:v>84788759325.251511</c:v>
                </c:pt>
                <c:pt idx="68">
                  <c:v>74843204485.602768</c:v>
                </c:pt>
                <c:pt idx="69">
                  <c:v>64394857337.801033</c:v>
                </c:pt>
                <c:pt idx="70">
                  <c:v>53427412802.686012</c:v>
                </c:pt>
                <c:pt idx="71">
                  <c:v>41924891913.676758</c:v>
                </c:pt>
                <c:pt idx="72">
                  <c:v>29871785322.730038</c:v>
                </c:pt>
                <c:pt idx="73">
                  <c:v>17253213989.902981</c:v>
                </c:pt>
                <c:pt idx="74">
                  <c:v>4055107867.2174063</c:v>
                </c:pt>
                <c:pt idx="75">
                  <c:v>-9735596791.3807068</c:v>
                </c:pt>
                <c:pt idx="76">
                  <c:v>-24130741099.057564</c:v>
                </c:pt>
                <c:pt idx="77">
                  <c:v>-39140708091.770393</c:v>
                </c:pt>
                <c:pt idx="78">
                  <c:v>-54774168453.574272</c:v>
                </c:pt>
                <c:pt idx="79">
                  <c:v>-71037808148.906631</c:v>
                </c:pt>
                <c:pt idx="80">
                  <c:v>-87936039237.378448</c:v>
                </c:pt>
                <c:pt idx="81">
                  <c:v>-105470695770.82225</c:v>
                </c:pt>
                <c:pt idx="82">
                  <c:v>-123640717382.12749</c:v>
                </c:pt>
                <c:pt idx="83">
                  <c:v>-142441823965.79288</c:v>
                </c:pt>
                <c:pt idx="84">
                  <c:v>-161866185711.38144</c:v>
                </c:pt>
                <c:pt idx="85">
                  <c:v>-181902093667.39764</c:v>
                </c:pt>
                <c:pt idx="86">
                  <c:v>-202533636961.64813</c:v>
                </c:pt>
                <c:pt idx="87">
                  <c:v>-223740393754.63467</c:v>
                </c:pt>
                <c:pt idx="88">
                  <c:v>-245497143916.51688</c:v>
                </c:pt>
                <c:pt idx="89">
                  <c:v>-267773612249.40088</c:v>
                </c:pt>
                <c:pt idx="90">
                  <c:v>-290534251771.57837</c:v>
                </c:pt>
                <c:pt idx="91">
                  <c:v>-313738077079.4632</c:v>
                </c:pt>
                <c:pt idx="92">
                  <c:v>-337338558043.3692</c:v>
                </c:pt>
                <c:pt idx="93">
                  <c:v>-361283584011.61267</c:v>
                </c:pt>
                <c:pt idx="94">
                  <c:v>-385515508234.09631</c:v>
                </c:pt>
                <c:pt idx="95">
                  <c:v>-409971281320.55725</c:v>
                </c:pt>
                <c:pt idx="96">
                  <c:v>-434582681183.17065</c:v>
                </c:pt>
                <c:pt idx="97">
                  <c:v>-459276645061.03143</c:v>
                </c:pt>
                <c:pt idx="98">
                  <c:v>-483975706893.13397</c:v>
                </c:pt>
                <c:pt idx="99">
                  <c:v>-508598540534.31213</c:v>
                </c:pt>
                <c:pt idx="100" formatCode="General">
                  <c:v>-533060606165.10278</c:v>
                </c:pt>
              </c:numCache>
            </c:numRef>
          </c:xVal>
          <c:yVal>
            <c:numRef>
              <c:f>RPlot!$V$4:$V$104</c:f>
              <c:numCache>
                <c:formatCode>0.00E+00</c:formatCode>
                <c:ptCount val="101"/>
                <c:pt idx="0">
                  <c:v>92688249981.578033</c:v>
                </c:pt>
                <c:pt idx="1">
                  <c:v>97196711027.295975</c:v>
                </c:pt>
                <c:pt idx="2">
                  <c:v>101788706046.29138</c:v>
                </c:pt>
                <c:pt idx="3">
                  <c:v>106466342622.13071</c:v>
                </c:pt>
                <c:pt idx="4">
                  <c:v>111231790600.05551</c:v>
                </c:pt>
                <c:pt idx="5">
                  <c:v>116087283856.76955</c:v>
                </c:pt>
                <c:pt idx="6">
                  <c:v>121035122097.70482</c:v>
                </c:pt>
                <c:pt idx="7">
                  <c:v>126077672678.82486</c:v>
                </c:pt>
                <c:pt idx="8">
                  <c:v>131217372449.50555</c:v>
                </c:pt>
                <c:pt idx="9">
                  <c:v>136456729612.44016</c:v>
                </c:pt>
                <c:pt idx="10">
                  <c:v>141798325595.84644</c:v>
                </c:pt>
                <c:pt idx="11">
                  <c:v>147244816932.53287</c:v>
                </c:pt>
                <c:pt idx="12">
                  <c:v>152798937139.54211</c:v>
                </c:pt>
                <c:pt idx="13">
                  <c:v>158463498591.18076</c:v>
                </c:pt>
                <c:pt idx="14">
                  <c:v>164241394377.21872</c:v>
                </c:pt>
                <c:pt idx="15">
                  <c:v>170135600136.90454</c:v>
                </c:pt>
                <c:pt idx="16">
                  <c:v>176149175858.18222</c:v>
                </c:pt>
                <c:pt idx="17">
                  <c:v>182285267630.08685</c:v>
                </c:pt>
                <c:pt idx="18">
                  <c:v>188547109334.73599</c:v>
                </c:pt>
                <c:pt idx="19">
                  <c:v>194938024263.61639</c:v>
                </c:pt>
                <c:pt idx="20">
                  <c:v>201461426640.9397</c:v>
                </c:pt>
                <c:pt idx="21">
                  <c:v>208120823034.73083</c:v>
                </c:pt>
                <c:pt idx="22">
                  <c:v>214919813633.96246</c:v>
                </c:pt>
                <c:pt idx="23">
                  <c:v>221862093367.47113</c:v>
                </c:pt>
                <c:pt idx="24">
                  <c:v>228951452837.52417</c:v>
                </c:pt>
                <c:pt idx="25">
                  <c:v>236191779037.75586</c:v>
                </c:pt>
                <c:pt idx="26">
                  <c:v>243587055821.7251</c:v>
                </c:pt>
                <c:pt idx="27">
                  <c:v>251141364084.51559</c:v>
                </c:pt>
                <c:pt idx="28">
                  <c:v>258858881615.60898</c:v>
                </c:pt>
                <c:pt idx="29">
                  <c:v>266743882576.62878</c:v>
                </c:pt>
                <c:pt idx="30">
                  <c:v>274800736552.50739</c:v>
                </c:pt>
                <c:pt idx="31">
                  <c:v>283033907119.06427</c:v>
                </c:pt>
                <c:pt idx="32">
                  <c:v>291447949863.92621</c:v>
                </c:pt>
                <c:pt idx="33">
                  <c:v>300047509791.07556</c:v>
                </c:pt>
                <c:pt idx="34">
                  <c:v>308837318032.09003</c:v>
                </c:pt>
                <c:pt idx="35">
                  <c:v>317822187779.25006</c:v>
                </c:pt>
                <c:pt idx="36">
                  <c:v>327007009347.13275</c:v>
                </c:pt>
                <c:pt idx="37">
                  <c:v>336396744260.02521</c:v>
                </c:pt>
                <c:pt idx="38">
                  <c:v>345996418252.43506</c:v>
                </c:pt>
                <c:pt idx="39">
                  <c:v>355811113059.13245</c:v>
                </c:pt>
                <c:pt idx="40">
                  <c:v>365845956859.48334</c:v>
                </c:pt>
                <c:pt idx="41">
                  <c:v>376106113228.29803</c:v>
                </c:pt>
                <c:pt idx="42">
                  <c:v>386596768432.02496</c:v>
                </c:pt>
                <c:pt idx="43">
                  <c:v>397323116894.85498</c:v>
                </c:pt>
                <c:pt idx="44">
                  <c:v>408290344644.16705</c:v>
                </c:pt>
                <c:pt idx="45">
                  <c:v>419503610528.80225</c:v>
                </c:pt>
                <c:pt idx="46">
                  <c:v>430968024986.91321</c:v>
                </c:pt>
                <c:pt idx="47">
                  <c:v>442688626122.74243</c:v>
                </c:pt>
                <c:pt idx="48">
                  <c:v>454670352833.69043</c:v>
                </c:pt>
                <c:pt idx="49">
                  <c:v>466918014710.67712</c:v>
                </c:pt>
                <c:pt idx="50">
                  <c:v>479436258416.24634</c:v>
                </c:pt>
                <c:pt idx="51">
                  <c:v>492229530226.42639</c:v>
                </c:pt>
                <c:pt idx="52">
                  <c:v>505302034404.38934</c:v>
                </c:pt>
                <c:pt idx="53">
                  <c:v>518657687056.90527</c:v>
                </c:pt>
                <c:pt idx="54">
                  <c:v>532300065108.99249</c:v>
                </c:pt>
                <c:pt idx="55">
                  <c:v>546232350018.73804</c:v>
                </c:pt>
                <c:pt idx="56">
                  <c:v>560457265843.75854</c:v>
                </c:pt>
                <c:pt idx="57">
                  <c:v>574977011264.19971</c:v>
                </c:pt>
                <c:pt idx="58">
                  <c:v>589793185165.64624</c:v>
                </c:pt>
                <c:pt idx="59">
                  <c:v>604906705390.17725</c:v>
                </c:pt>
                <c:pt idx="60">
                  <c:v>620317720276.59717</c:v>
                </c:pt>
                <c:pt idx="61">
                  <c:v>636025512633.38245</c:v>
                </c:pt>
                <c:pt idx="62">
                  <c:v>652028395822.13733</c:v>
                </c:pt>
                <c:pt idx="63">
                  <c:v>668323601677.60107</c:v>
                </c:pt>
                <c:pt idx="64">
                  <c:v>684907160055.07739</c:v>
                </c:pt>
                <c:pt idx="65">
                  <c:v>701773769880.29395</c:v>
                </c:pt>
                <c:pt idx="66">
                  <c:v>718916661683.24268</c:v>
                </c:pt>
                <c:pt idx="67">
                  <c:v>736327451729.4762</c:v>
                </c:pt>
                <c:pt idx="68">
                  <c:v>753995988023.51294</c:v>
                </c:pt>
                <c:pt idx="69">
                  <c:v>771910188651.91235</c:v>
                </c:pt>
                <c:pt idx="70">
                  <c:v>790055873162.48438</c:v>
                </c:pt>
                <c:pt idx="71">
                  <c:v>808416587943.30078</c:v>
                </c:pt>
                <c:pt idx="72">
                  <c:v>826973426873.578</c:v>
                </c:pt>
                <c:pt idx="73">
                  <c:v>845704848869.89209</c:v>
                </c:pt>
                <c:pt idx="74">
                  <c:v>864586494346.3269</c:v>
                </c:pt>
                <c:pt idx="75">
                  <c:v>883591003045.50439</c:v>
                </c:pt>
                <c:pt idx="76">
                  <c:v>902687836176.45618</c:v>
                </c:pt>
                <c:pt idx="77">
                  <c:v>921843106310.24548</c:v>
                </c:pt>
                <c:pt idx="78">
                  <c:v>941019419027.44702</c:v>
                </c:pt>
                <c:pt idx="79">
                  <c:v>960175730871.93579</c:v>
                </c:pt>
                <c:pt idx="80">
                  <c:v>979267228728.11414</c:v>
                </c:pt>
                <c:pt idx="81">
                  <c:v>998245236284.11621</c:v>
                </c:pt>
                <c:pt idx="82">
                  <c:v>1017057153747.8302</c:v>
                </c:pt>
                <c:pt idx="83">
                  <c:v>1035646437416.611</c:v>
                </c:pt>
                <c:pt idx="84">
                  <c:v>1053952626031.5448</c:v>
                </c:pt>
                <c:pt idx="85">
                  <c:v>1071911421034.9878</c:v>
                </c:pt>
                <c:pt idx="86">
                  <c:v>1089454827854.0743</c:v>
                </c:pt>
                <c:pt idx="87">
                  <c:v>1106511365109.4199</c:v>
                </c:pt>
                <c:pt idx="88">
                  <c:v>1123006348153.5615</c:v>
                </c:pt>
                <c:pt idx="89">
                  <c:v>1138862252536.7913</c:v>
                </c:pt>
                <c:pt idx="90">
                  <c:v>1153999161843.7959</c:v>
                </c:pt>
                <c:pt idx="91">
                  <c:v>1168335302817.5688</c:v>
                </c:pt>
                <c:pt idx="92">
                  <c:v>1181787668775.9983</c:v>
                </c:pt>
                <c:pt idx="93">
                  <c:v>1194272730038.199</c:v>
                </c:pt>
                <c:pt idx="94">
                  <c:v>1205707227441.2727</c:v>
                </c:pt>
                <c:pt idx="95">
                  <c:v>1216009042098.6414</c:v>
                </c:pt>
                <c:pt idx="96">
                  <c:v>1225098131411.2756</c:v>
                </c:pt>
                <c:pt idx="97">
                  <c:v>1232897518104.1814</c:v>
                </c:pt>
                <c:pt idx="98">
                  <c:v>1239334315860.157</c:v>
                </c:pt>
                <c:pt idx="99">
                  <c:v>1244340772120.9692</c:v>
                </c:pt>
                <c:pt idx="100" formatCode="General">
                  <c:v>1247855305997.5151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A70-47EB-85D5-3043B621E4D8}"/>
            </c:ext>
          </c:extLst>
        </c:ser>
        <c:ser>
          <c:idx val="8"/>
          <c:order val="8"/>
          <c:tx>
            <c:strRef>
              <c:f>RPlot!$Q$2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RPlot!$Q$4:$Q$104</c:f>
              <c:numCache>
                <c:formatCode>0.00E+00</c:formatCode>
                <c:ptCount val="101"/>
                <c:pt idx="0">
                  <c:v>9112811906.9546814</c:v>
                </c:pt>
                <c:pt idx="1">
                  <c:v>14287150201.377796</c:v>
                </c:pt>
                <c:pt idx="2">
                  <c:v>19379405967.157745</c:v>
                </c:pt>
                <c:pt idx="3">
                  <c:v>24392921308.135452</c:v>
                </c:pt>
                <c:pt idx="4">
                  <c:v>29330883436.992191</c:v>
                </c:pt>
                <c:pt idx="5">
                  <c:v>34196331699.25132</c:v>
                </c:pt>
                <c:pt idx="6">
                  <c:v>38992164078.822136</c:v>
                </c:pt>
                <c:pt idx="7">
                  <c:v>43721143204.968925</c:v>
                </c:pt>
                <c:pt idx="8">
                  <c:v>48385901879.009781</c:v>
                </c:pt>
                <c:pt idx="9">
                  <c:v>52988948136.687096</c:v>
                </c:pt>
                <c:pt idx="10">
                  <c:v>57532669860.220093</c:v>
                </c:pt>
                <c:pt idx="11">
                  <c:v>62019338951.742943</c:v>
                </c:pt>
                <c:pt idx="12">
                  <c:v>66451115077.75547</c:v>
                </c:pt>
                <c:pt idx="13">
                  <c:v>70830048992.066803</c:v>
                </c:pt>
                <c:pt idx="14">
                  <c:v>75158085442.072342</c:v>
                </c:pt>
                <c:pt idx="15">
                  <c:v>79437065661.289963</c:v>
                </c:pt>
                <c:pt idx="16">
                  <c:v>83668729448.409164</c:v>
                </c:pt>
                <c:pt idx="17">
                  <c:v>87854716830.456055</c:v>
                </c:pt>
                <c:pt idx="18">
                  <c:v>91996569305.230362</c:v>
                </c:pt>
                <c:pt idx="19">
                  <c:v>96095730655.251419</c:v>
                </c:pt>
                <c:pt idx="20">
                  <c:v>100153547322.42577</c:v>
                </c:pt>
                <c:pt idx="21">
                  <c:v>104171268329.50755</c:v>
                </c:pt>
                <c:pt idx="22">
                  <c:v>108150044731.02083</c:v>
                </c:pt>
                <c:pt idx="23">
                  <c:v>112090928572.55023</c:v>
                </c:pt>
                <c:pt idx="24">
                  <c:v>115994871333.37611</c:v>
                </c:pt>
                <c:pt idx="25">
                  <c:v>119862721823.04111</c:v>
                </c:pt>
                <c:pt idx="26">
                  <c:v>123695223497.6257</c:v>
                </c:pt>
                <c:pt idx="27">
                  <c:v>127493011156.51932</c:v>
                </c:pt>
                <c:pt idx="28">
                  <c:v>131256606974.18256</c:v>
                </c:pt>
                <c:pt idx="29">
                  <c:v>134986415815.76376</c:v>
                </c:pt>
                <c:pt idx="30">
                  <c:v>138682719777.78186</c:v>
                </c:pt>
                <c:pt idx="31">
                  <c:v>142345671887.57312</c:v>
                </c:pt>
                <c:pt idx="32">
                  <c:v>145975288886.43991</c:v>
                </c:pt>
                <c:pt idx="33">
                  <c:v>149571443011.72128</c:v>
                </c:pt>
                <c:pt idx="34">
                  <c:v>153133852682.20749</c:v>
                </c:pt>
                <c:pt idx="35">
                  <c:v>156662071979.19846</c:v>
                </c:pt>
                <c:pt idx="36">
                  <c:v>160155478801.96497</c:v>
                </c:pt>
                <c:pt idx="37">
                  <c:v>163613261561.17227</c:v>
                </c:pt>
                <c:pt idx="38">
                  <c:v>167034404256.77185</c:v>
                </c:pt>
                <c:pt idx="39">
                  <c:v>170417669767.72656</c:v>
                </c:pt>
                <c:pt idx="40">
                  <c:v>173761581159.44937</c:v>
                </c:pt>
                <c:pt idx="41">
                  <c:v>177064400790.47067</c:v>
                </c:pt>
                <c:pt idx="42">
                  <c:v>180324106973.03311</c:v>
                </c:pt>
                <c:pt idx="43">
                  <c:v>183538367911.12256</c:v>
                </c:pt>
                <c:pt idx="44">
                  <c:v>186704512605.46048</c:v>
                </c:pt>
                <c:pt idx="45">
                  <c:v>189819498375.94122</c:v>
                </c:pt>
                <c:pt idx="46">
                  <c:v>192879874608.44037</c:v>
                </c:pt>
                <c:pt idx="47">
                  <c:v>195881742283.8204</c:v>
                </c:pt>
                <c:pt idx="48">
                  <c:v>198820708791.83612</c:v>
                </c:pt>
                <c:pt idx="49">
                  <c:v>201691837470.71436</c:v>
                </c:pt>
                <c:pt idx="50">
                  <c:v>204489591243.76355</c:v>
                </c:pt>
                <c:pt idx="51">
                  <c:v>207207769646.66901</c:v>
                </c:pt>
                <c:pt idx="52">
                  <c:v>209839438452.34369</c:v>
                </c:pt>
                <c:pt idx="53">
                  <c:v>212376851003.50516</c:v>
                </c:pt>
                <c:pt idx="54">
                  <c:v>214811360255.84491</c:v>
                </c:pt>
                <c:pt idx="55">
                  <c:v>217133320416.0018</c:v>
                </c:pt>
                <c:pt idx="56">
                  <c:v>219331976928.09314</c:v>
                </c:pt>
                <c:pt idx="57">
                  <c:v>221395343420.17737</c:v>
                </c:pt>
                <c:pt idx="58">
                  <c:v>223310064067.71396</c:v>
                </c:pt>
                <c:pt idx="59">
                  <c:v>225061259666.10394</c:v>
                </c:pt>
                <c:pt idx="60">
                  <c:v>226632355530.27829</c:v>
                </c:pt>
                <c:pt idx="61">
                  <c:v>228004889159.41071</c:v>
                </c:pt>
                <c:pt idx="62">
                  <c:v>229158295424.2048</c:v>
                </c:pt>
                <c:pt idx="63">
                  <c:v>230069666860.49887</c:v>
                </c:pt>
                <c:pt idx="64">
                  <c:v>230713486497.34241</c:v>
                </c:pt>
                <c:pt idx="65">
                  <c:v>231061330526.19882</c:v>
                </c:pt>
                <c:pt idx="66">
                  <c:v>231081538052.86829</c:v>
                </c:pt>
                <c:pt idx="67">
                  <c:v>230738845195.98444</c:v>
                </c:pt>
                <c:pt idx="68">
                  <c:v>229993980947.57773</c:v>
                </c:pt>
                <c:pt idx="69">
                  <c:v>228803222548.99716</c:v>
                </c:pt>
                <c:pt idx="70">
                  <c:v>227117908735.16699</c:v>
                </c:pt>
                <c:pt idx="71">
                  <c:v>224883910161.89001</c:v>
                </c:pt>
                <c:pt idx="72">
                  <c:v>222041057785.6492</c:v>
                </c:pt>
                <c:pt idx="73">
                  <c:v>218522532082.5809</c:v>
                </c:pt>
                <c:pt idx="74">
                  <c:v>214254218989.49316</c:v>
                </c:pt>
                <c:pt idx="75">
                  <c:v>209154042597.55057</c:v>
                </c:pt>
                <c:pt idx="76">
                  <c:v>203131290265.66199</c:v>
                </c:pt>
                <c:pt idx="77">
                  <c:v>196085953353.15201</c:v>
                </c:pt>
                <c:pt idx="78">
                  <c:v>187908116677.98538</c:v>
                </c:pt>
                <c:pt idx="79">
                  <c:v>178477442624.97266</c:v>
                </c:pt>
                <c:pt idx="80">
                  <c:v>167662812124.24506</c:v>
                </c:pt>
                <c:pt idx="81">
                  <c:v>155322205027.16901</c:v>
                </c:pt>
                <c:pt idx="82">
                  <c:v>141302927114.99585</c:v>
                </c:pt>
                <c:pt idx="83">
                  <c:v>125442320151.80194</c:v>
                </c:pt>
                <c:pt idx="84">
                  <c:v>107569124504.11203</c:v>
                </c:pt>
                <c:pt idx="85">
                  <c:v>87505699359.65509</c:v>
                </c:pt>
                <c:pt idx="86">
                  <c:v>65071340404.803391</c:v>
                </c:pt>
                <c:pt idx="87">
                  <c:v>40086963651.12825</c:v>
                </c:pt>
                <c:pt idx="88">
                  <c:v>12381438626.013489</c:v>
                </c:pt>
                <c:pt idx="89">
                  <c:v>-18200157639.41803</c:v>
                </c:pt>
                <c:pt idx="90">
                  <c:v>-51786148486.761925</c:v>
                </c:pt>
                <c:pt idx="91">
                  <c:v>-88465625888.455994</c:v>
                </c:pt>
                <c:pt idx="92">
                  <c:v>-128273675936.93085</c:v>
                </c:pt>
                <c:pt idx="93">
                  <c:v>-171174856576.72192</c:v>
                </c:pt>
                <c:pt idx="94">
                  <c:v>-217045726796.81879</c:v>
                </c:pt>
                <c:pt idx="95">
                  <c:v>-265657720925.33008</c:v>
                </c:pt>
                <c:pt idx="96">
                  <c:v>-316662196068.70654</c:v>
                </c:pt>
                <c:pt idx="97">
                  <c:v>-369579960667.05945</c:v>
                </c:pt>
                <c:pt idx="98">
                  <c:v>-423797878635.51245</c:v>
                </c:pt>
                <c:pt idx="99">
                  <c:v>-478575070627.65582</c:v>
                </c:pt>
                <c:pt idx="100" formatCode="General">
                  <c:v>-533060649729.05859</c:v>
                </c:pt>
              </c:numCache>
            </c:numRef>
          </c:xVal>
          <c:yVal>
            <c:numRef>
              <c:f>RPlot!$R$4:$R$104</c:f>
              <c:numCache>
                <c:formatCode>0.00E+00</c:formatCode>
                <c:ptCount val="101"/>
                <c:pt idx="0">
                  <c:v>-151656289970.92535</c:v>
                </c:pt>
                <c:pt idx="1">
                  <c:v>-150146086141.08521</c:v>
                </c:pt>
                <c:pt idx="2">
                  <c:v>-148552572885.00601</c:v>
                </c:pt>
                <c:pt idx="3">
                  <c:v>-146876886114.64215</c:v>
                </c:pt>
                <c:pt idx="4">
                  <c:v>-145119953015.69958</c:v>
                </c:pt>
                <c:pt idx="5">
                  <c:v>-143282499919.19</c:v>
                </c:pt>
                <c:pt idx="6">
                  <c:v>-141365059167.439</c:v>
                </c:pt>
                <c:pt idx="7">
                  <c:v>-139367975033.15924</c:v>
                </c:pt>
                <c:pt idx="8">
                  <c:v>-137291408742.73886</c:v>
                </c:pt>
                <c:pt idx="9">
                  <c:v>-135135342648.23602</c:v>
                </c:pt>
                <c:pt idx="10">
                  <c:v>-132899583586.21088</c:v>
                </c:pt>
                <c:pt idx="11">
                  <c:v>-130583765455.72099</c:v>
                </c:pt>
                <c:pt idx="12">
                  <c:v>-128187351042.23643</c:v>
                </c:pt>
                <c:pt idx="13">
                  <c:v>-125709633108.95831</c:v>
                </c:pt>
                <c:pt idx="14">
                  <c:v>-123149734772.23773</c:v>
                </c:pt>
                <c:pt idx="15">
                  <c:v>-120506609172.8028</c:v>
                </c:pt>
                <c:pt idx="16">
                  <c:v>-117779038450.00101</c:v>
                </c:pt>
                <c:pt idx="17">
                  <c:v>-114965632021.86914</c:v>
                </c:pt>
                <c:pt idx="18">
                  <c:v>-112064824169.30963</c:v>
                </c:pt>
                <c:pt idx="19">
                  <c:v>-109074870918.37146</c:v>
                </c:pt>
                <c:pt idx="20">
                  <c:v>-105993846210.32347</c:v>
                </c:pt>
                <c:pt idx="21">
                  <c:v>-102819637344.83452</c:v>
                </c:pt>
                <c:pt idx="22">
                  <c:v>-99549939677.146408</c:v>
                </c:pt>
                <c:pt idx="23">
                  <c:v>-96182250545.692795</c:v>
                </c:pt>
                <c:pt idx="24">
                  <c:v>-92713862401.953186</c:v>
                </c:pt>
                <c:pt idx="25">
                  <c:v>-89141855109.595093</c:v>
                </c:pt>
                <c:pt idx="26">
                  <c:v>-85463087375.066299</c:v>
                </c:pt>
                <c:pt idx="27">
                  <c:v>-81674187266.416901</c:v>
                </c:pt>
                <c:pt idx="28">
                  <c:v>-77771541772.252426</c:v>
                </c:pt>
                <c:pt idx="29">
                  <c:v>-73751285346.359283</c:v>
                </c:pt>
                <c:pt idx="30">
                  <c:v>-69609287378.160172</c:v>
                </c:pt>
                <c:pt idx="31">
                  <c:v>-65341138522.577515</c:v>
                </c:pt>
                <c:pt idx="32">
                  <c:v>-60942135816.298363</c:v>
                </c:pt>
                <c:pt idx="33">
                  <c:v>-56407266500.437035</c:v>
                </c:pt>
                <c:pt idx="34">
                  <c:v>-51731190462.16333</c:v>
                </c:pt>
                <c:pt idx="35">
                  <c:v>-46908221200.068222</c:v>
                </c:pt>
                <c:pt idx="36">
                  <c:v>-41932305209.813492</c:v>
                </c:pt>
                <c:pt idx="37">
                  <c:v>-36796999678.008972</c:v>
                </c:pt>
                <c:pt idx="38">
                  <c:v>-31495448363.282688</c:v>
                </c:pt>
                <c:pt idx="39">
                  <c:v>-26020355534.187962</c:v>
                </c:pt>
                <c:pt idx="40">
                  <c:v>-20363957823.951378</c:v>
                </c:pt>
                <c:pt idx="41">
                  <c:v>-14517993852.598244</c:v>
                </c:pt>
                <c:pt idx="42">
                  <c:v>-8473671456.5351458</c:v>
                </c:pt>
                <c:pt idx="43">
                  <c:v>-2221632356.9834933</c:v>
                </c:pt>
                <c:pt idx="44">
                  <c:v>4248085911.3560309</c:v>
                </c:pt>
                <c:pt idx="45">
                  <c:v>10946090998.056803</c:v>
                </c:pt>
                <c:pt idx="46">
                  <c:v>17883679855.164234</c:v>
                </c:pt>
                <c:pt idx="47">
                  <c:v>25072886175.272091</c:v>
                </c:pt>
                <c:pt idx="48">
                  <c:v>32526531351.86441</c:v>
                </c:pt>
                <c:pt idx="49">
                  <c:v>40258279163.678062</c:v>
                </c:pt>
                <c:pt idx="50">
                  <c:v>48282694379.47036</c:v>
                </c:pt>
                <c:pt idx="51">
                  <c:v>56615305467.891899</c:v>
                </c:pt>
                <c:pt idx="52">
                  <c:v>65272671577.124619</c:v>
                </c:pt>
                <c:pt idx="53">
                  <c:v>74272453917.966904</c:v>
                </c:pt>
                <c:pt idx="54">
                  <c:v>83633491639.065353</c:v>
                </c:pt>
                <c:pt idx="55">
                  <c:v>93375882219.792252</c:v>
                </c:pt>
                <c:pt idx="56">
                  <c:v>103521066319.78865</c:v>
                </c:pt>
                <c:pt idx="57">
                  <c:v>114091916908.49213</c:v>
                </c:pt>
                <c:pt idx="58">
                  <c:v>125112832344.00426</c:v>
                </c:pt>
                <c:pt idx="59">
                  <c:v>136609832869.96086</c:v>
                </c:pt>
                <c:pt idx="60">
                  <c:v>148610659737.96576</c:v>
                </c:pt>
                <c:pt idx="61">
                  <c:v>161144875826.94058</c:v>
                </c:pt>
                <c:pt idx="62">
                  <c:v>174243966200.1622</c:v>
                </c:pt>
                <c:pt idx="63">
                  <c:v>187941436492.3624</c:v>
                </c:pt>
                <c:pt idx="64">
                  <c:v>202272906324.00131</c:v>
                </c:pt>
                <c:pt idx="65">
                  <c:v>217276194062.55743</c:v>
                </c:pt>
                <c:pt idx="66">
                  <c:v>232991388148.21231</c:v>
                </c:pt>
                <c:pt idx="67">
                  <c:v>249460898821.93311</c:v>
                </c:pt>
                <c:pt idx="68">
                  <c:v>266729482375.55011</c:v>
                </c:pt>
                <c:pt idx="69">
                  <c:v>284844227912.69116</c:v>
                </c:pt>
                <c:pt idx="70">
                  <c:v>303854493981.0813</c:v>
                </c:pt>
                <c:pt idx="71">
                  <c:v>323811779213.3006</c:v>
                </c:pt>
                <c:pt idx="72">
                  <c:v>344769507186.8382</c:v>
                </c:pt>
                <c:pt idx="73">
                  <c:v>366782700970.27002</c:v>
                </c:pt>
                <c:pt idx="74">
                  <c:v>389907517146.44305</c:v>
                </c:pt>
                <c:pt idx="75">
                  <c:v>414200602394.85846</c:v>
                </c:pt>
                <c:pt idx="76">
                  <c:v>439718227907.94891</c:v>
                </c:pt>
                <c:pt idx="77">
                  <c:v>466515148012.00739</c:v>
                </c:pt>
                <c:pt idx="78">
                  <c:v>494643119483.59125</c:v>
                </c:pt>
                <c:pt idx="79">
                  <c:v>524149007508.9881</c:v>
                </c:pt>
                <c:pt idx="80">
                  <c:v>555072393635.31409</c:v>
                </c:pt>
                <c:pt idx="81">
                  <c:v>587442591450.28516</c:v>
                </c:pt>
                <c:pt idx="82">
                  <c:v>621274968765.58643</c:v>
                </c:pt>
                <c:pt idx="83">
                  <c:v>656566473271.84314</c:v>
                </c:pt>
                <c:pt idx="84">
                  <c:v>693290265586.33704</c:v>
                </c:pt>
                <c:pt idx="85">
                  <c:v>731389384283.21753</c:v>
                </c:pt>
                <c:pt idx="86">
                  <c:v>770769408360.99646</c:v>
                </c:pt>
                <c:pt idx="87">
                  <c:v>811290151642.18774</c:v>
                </c:pt>
                <c:pt idx="88">
                  <c:v>852756529855.99634</c:v>
                </c:pt>
                <c:pt idx="89">
                  <c:v>894908893594.42969</c:v>
                </c:pt>
                <c:pt idx="90">
                  <c:v>937413325650.14075</c:v>
                </c:pt>
                <c:pt idx="91">
                  <c:v>979852660233.64087</c:v>
                </c:pt>
                <c:pt idx="92">
                  <c:v>1021719283874.8097</c:v>
                </c:pt>
                <c:pt idx="93">
                  <c:v>1062411095380.4775</c:v>
                </c:pt>
                <c:pt idx="94">
                  <c:v>1101232282662.6428</c:v>
                </c:pt>
                <c:pt idx="95">
                  <c:v>1137400736850.696</c:v>
                </c:pt>
                <c:pt idx="96">
                  <c:v>1170063862690.1531</c:v>
                </c:pt>
                <c:pt idx="97">
                  <c:v>1198324142255.1121</c:v>
                </c:pt>
                <c:pt idx="98">
                  <c:v>1221274970894.7334</c:v>
                </c:pt>
                <c:pt idx="99">
                  <c:v>1238045982463.5103</c:v>
                </c:pt>
                <c:pt idx="100" formatCode="General">
                  <c:v>1247855407966.647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A70-47EB-85D5-3043B621E4D8}"/>
            </c:ext>
          </c:extLst>
        </c:ser>
        <c:ser>
          <c:idx val="9"/>
          <c:order val="9"/>
          <c:tx>
            <c:strRef>
              <c:f>RPlot!$AG$52</c:f>
              <c:strCache>
                <c:ptCount val="1"/>
                <c:pt idx="0">
                  <c:v>90 Transfer (IP)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RPlot!$AG$54:$AG$55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RPlot!$AH$54:$AH$55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A70-47EB-85D5-3043B621E4D8}"/>
            </c:ext>
          </c:extLst>
        </c:ser>
        <c:ser>
          <c:idx val="10"/>
          <c:order val="10"/>
          <c:tx>
            <c:strRef>
              <c:f>RPlot!$AG$56</c:f>
              <c:strCache>
                <c:ptCount val="1"/>
                <c:pt idx="0">
                  <c:v>90 Transfer (OP)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RPlot!$AG$58:$AG$59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RPlot!$AH$58:$AH$59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A70-47EB-85D5-3043B621E4D8}"/>
            </c:ext>
          </c:extLst>
        </c:ser>
        <c:ser>
          <c:idx val="11"/>
          <c:order val="11"/>
          <c:tx>
            <c:strRef>
              <c:f>RPlot!$AJ$36</c:f>
              <c:strCache>
                <c:ptCount val="1"/>
                <c:pt idx="0">
                  <c:v>Destination At Injection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RPlot!$AJ$38:$AJ$39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856469081118.18652</c:v>
                </c:pt>
              </c:numCache>
            </c:numRef>
          </c:xVal>
          <c:yVal>
            <c:numRef>
              <c:f>RPlot!$AK$38:$AK$39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1069485061820.793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A70-47EB-85D5-3043B621E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Side view orbital plot (x-z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Orig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RPlot!$E$4:$E$104</c:f>
              <c:numCache>
                <c:formatCode>0.00E+00</c:formatCode>
                <c:ptCount val="101"/>
                <c:pt idx="0">
                  <c:v>-56950294258.091858</c:v>
                </c:pt>
                <c:pt idx="1">
                  <c:v>-65354477309.841003</c:v>
                </c:pt>
                <c:pt idx="2">
                  <c:v>-73505610444.21344</c:v>
                </c:pt>
                <c:pt idx="3">
                  <c:v>-81373046884.347137</c:v>
                </c:pt>
                <c:pt idx="4">
                  <c:v>-88927130815.213669</c:v>
                </c:pt>
                <c:pt idx="5">
                  <c:v>-96139293243.464233</c:v>
                </c:pt>
                <c:pt idx="6">
                  <c:v>-102982145762.86708</c:v>
                </c:pt>
                <c:pt idx="7">
                  <c:v>-109429572133.00426</c:v>
                </c:pt>
                <c:pt idx="8">
                  <c:v>-115456817554.88956</c:v>
                </c:pt>
                <c:pt idx="9">
                  <c:v>-121040575500.28777</c:v>
                </c:pt>
                <c:pt idx="10">
                  <c:v>-126159071922.20216</c:v>
                </c:pt>
                <c:pt idx="11">
                  <c:v>-130792146642.76733</c:v>
                </c:pt>
                <c:pt idx="12">
                  <c:v>-134921331682.16199</c:v>
                </c:pt>
                <c:pt idx="13">
                  <c:v>-138529926258.73917</c:v>
                </c:pt>
                <c:pt idx="14">
                  <c:v>-141603068156.97623</c:v>
                </c:pt>
                <c:pt idx="15">
                  <c:v>-144127801126.7424</c:v>
                </c:pt>
                <c:pt idx="16">
                  <c:v>-146093137945.45966</c:v>
                </c:pt>
                <c:pt idx="17">
                  <c:v>-147490118744.71606</c:v>
                </c:pt>
                <c:pt idx="18">
                  <c:v>-148311864175.52502</c:v>
                </c:pt>
                <c:pt idx="19">
                  <c:v>-148553622962.46402</c:v>
                </c:pt>
                <c:pt idx="20">
                  <c:v>-148212813377.1337</c:v>
                </c:pt>
                <c:pt idx="21">
                  <c:v>-147289058146.50034</c:v>
                </c:pt>
                <c:pt idx="22">
                  <c:v>-145784212302.45569</c:v>
                </c:pt>
                <c:pt idx="23">
                  <c:v>-143702383476.04099</c:v>
                </c:pt>
                <c:pt idx="24">
                  <c:v>-141049944143.87982</c:v>
                </c:pt>
                <c:pt idx="25">
                  <c:v>-137835535346.02997</c:v>
                </c:pt>
                <c:pt idx="26">
                  <c:v>-134070061414.18352</c:v>
                </c:pt>
                <c:pt idx="27">
                  <c:v>-129766675277.32092</c:v>
                </c:pt>
                <c:pt idx="28">
                  <c:v>-124940753948.82419</c:v>
                </c:pt>
                <c:pt idx="29">
                  <c:v>-119609863844.82588</c:v>
                </c:pt>
                <c:pt idx="30">
                  <c:v>-113793715638.19861</c:v>
                </c:pt>
                <c:pt idx="31">
                  <c:v>-107514108415.91696</c:v>
                </c:pt>
                <c:pt idx="32">
                  <c:v>-100794862979.19571</c:v>
                </c:pt>
                <c:pt idx="33">
                  <c:v>-93661744205.309708</c:v>
                </c:pt>
                <c:pt idx="34">
                  <c:v>-86142372476.632248</c:v>
                </c:pt>
                <c:pt idx="35">
                  <c:v>-78266124275.293503</c:v>
                </c:pt>
                <c:pt idx="36">
                  <c:v>-70064022139.90448</c:v>
                </c:pt>
                <c:pt idx="37">
                  <c:v>-61568614282.777946</c:v>
                </c:pt>
                <c:pt idx="38">
                  <c:v>-52813844270.632401</c:v>
                </c:pt>
                <c:pt idx="39">
                  <c:v>-43834911277.368652</c:v>
                </c:pt>
                <c:pt idx="40">
                  <c:v>-34668121522.547287</c:v>
                </c:pt>
                <c:pt idx="41">
                  <c:v>-25350731611.980877</c:v>
                </c:pt>
                <c:pt idx="42">
                  <c:v>-15920784595.649128</c:v>
                </c:pt>
                <c:pt idx="43">
                  <c:v>-6416939651.2035236</c:v>
                </c:pt>
                <c:pt idx="44">
                  <c:v>3121703613.0325589</c:v>
                </c:pt>
                <c:pt idx="45">
                  <c:v>12655785165.103178</c:v>
                </c:pt>
                <c:pt idx="46">
                  <c:v>22145867730.019245</c:v>
                </c:pt>
                <c:pt idx="47">
                  <c:v>31552621953.40868</c:v>
                </c:pt>
                <c:pt idx="48">
                  <c:v>40837012316.729919</c:v>
                </c:pt>
                <c:pt idx="49">
                  <c:v>49960482545.66951</c:v>
                </c:pt>
                <c:pt idx="50">
                  <c:v>58885139241.210327</c:v>
                </c:pt>
                <c:pt idx="51">
                  <c:v>67573932465.863159</c:v>
                </c:pt>
                <c:pt idx="52">
                  <c:v>75990832035.931442</c:v>
                </c:pt>
                <c:pt idx="53">
                  <c:v>84100998304.181488</c:v>
                </c:pt>
                <c:pt idx="54">
                  <c:v>91870946265.543762</c:v>
                </c:pt>
                <c:pt idx="55" formatCode="General">
                  <c:v>99268701880.715561</c:v>
                </c:pt>
                <c:pt idx="56">
                  <c:v>106263949587.78192</c:v>
                </c:pt>
                <c:pt idx="57">
                  <c:v>112828170058.98318</c:v>
                </c:pt>
                <c:pt idx="58">
                  <c:v>118934767357.09688</c:v>
                </c:pt>
                <c:pt idx="59">
                  <c:v>124559184751.90112</c:v>
                </c:pt>
                <c:pt idx="60">
                  <c:v>129679008570.10904</c:v>
                </c:pt>
                <c:pt idx="61">
                  <c:v>134274059570.13168</c:v>
                </c:pt>
                <c:pt idx="62">
                  <c:v>138326471454.09796</c:v>
                </c:pt>
                <c:pt idx="63">
                  <c:v>141820756251.83145</c:v>
                </c:pt>
                <c:pt idx="64">
                  <c:v>144743856433.0408</c:v>
                </c:pt>
                <c:pt idx="65">
                  <c:v>147085183723.00034</c:v>
                </c:pt>
                <c:pt idx="66">
                  <c:v>148836644711.78073</c:v>
                </c:pt>
                <c:pt idx="67">
                  <c:v>149992653456.06079</c:v>
                </c:pt>
                <c:pt idx="68">
                  <c:v>150550131374.32202</c:v>
                </c:pt>
                <c:pt idx="69">
                  <c:v>150508494829.60446</c:v>
                </c:pt>
                <c:pt idx="70">
                  <c:v>149869630877.98987</c:v>
                </c:pt>
                <c:pt idx="71">
                  <c:v>148637861734.81952</c:v>
                </c:pt>
                <c:pt idx="72">
                  <c:v>146819898573.80087</c:v>
                </c:pt>
                <c:pt idx="73">
                  <c:v>144424785326.29065</c:v>
                </c:pt>
                <c:pt idx="74">
                  <c:v>141463833189.06046</c:v>
                </c:pt>
                <c:pt idx="75">
                  <c:v>137950546578.84613</c:v>
                </c:pt>
                <c:pt idx="76">
                  <c:v>133900541291.24585</c:v>
                </c:pt>
                <c:pt idx="77">
                  <c:v>129331455630.51164</c:v>
                </c:pt>
                <c:pt idx="78">
                  <c:v>124262855276.08086</c:v>
                </c:pt>
                <c:pt idx="79">
                  <c:v>118716132642.03809</c:v>
                </c:pt>
                <c:pt idx="80">
                  <c:v>112714401467.92093</c:v>
                </c:pt>
                <c:pt idx="81">
                  <c:v>106282387354.26392</c:v>
                </c:pt>
                <c:pt idx="82">
                  <c:v>99446314925.009796</c:v>
                </c:pt>
                <c:pt idx="83">
                  <c:v>92233792262.362045</c:v>
                </c:pt>
                <c:pt idx="84">
                  <c:v>84673693218.819901</c:v>
                </c:pt>
                <c:pt idx="85">
                  <c:v>76796038167.040329</c:v>
                </c:pt>
                <c:pt idx="86">
                  <c:v>68631873701.752953</c:v>
                </c:pt>
                <c:pt idx="87">
                  <c:v>60213151760.187225</c:v>
                </c:pt>
                <c:pt idx="88">
                  <c:v>51572608579.191849</c:v>
                </c:pt>
                <c:pt idx="89">
                  <c:v>42743643859.345345</c:v>
                </c:pt>
                <c:pt idx="90">
                  <c:v>33760200459.534534</c:v>
                </c:pt>
                <c:pt idx="91">
                  <c:v>24656644900.518959</c:v>
                </c:pt>
                <c:pt idx="92">
                  <c:v>15467648913.427578</c:v>
                </c:pt>
                <c:pt idx="93">
                  <c:v>6228072229.5675421</c:v>
                </c:pt>
                <c:pt idx="94">
                  <c:v>-3027153228.2029686</c:v>
                </c:pt>
                <c:pt idx="95">
                  <c:v>-12263137624.581814</c:v>
                </c:pt>
                <c:pt idx="96">
                  <c:v>-21445145861.572136</c:v>
                </c:pt>
                <c:pt idx="97">
                  <c:v>-30538708522.737682</c:v>
                </c:pt>
                <c:pt idx="98">
                  <c:v>-39509731054.9552</c:v>
                </c:pt>
                <c:pt idx="99">
                  <c:v>-48324601145.016907</c:v>
                </c:pt>
                <c:pt idx="100" formatCode="General">
                  <c:v>-56950294258.087761</c:v>
                </c:pt>
              </c:numCache>
            </c:numRef>
          </c:xVal>
          <c:yVal>
            <c:numRef>
              <c:f>RPlot!$G$4:$G$104</c:f>
              <c:numCache>
                <c:formatCode>0.00E+00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 formatCode="General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C7-4418-B7BE-0E4200C695E5}"/>
            </c:ext>
          </c:extLst>
        </c:ser>
        <c:ser>
          <c:idx val="1"/>
          <c:order val="1"/>
          <c:tx>
            <c:v>Dest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RPlot!$I$4:$I$104</c:f>
              <c:numCache>
                <c:formatCode>0.00E+00</c:formatCode>
                <c:ptCount val="101"/>
                <c:pt idx="0">
                  <c:v>964955412237.49561</c:v>
                </c:pt>
                <c:pt idx="1">
                  <c:v>899300422956.03577</c:v>
                </c:pt>
                <c:pt idx="2">
                  <c:v>830553073708.8645</c:v>
                </c:pt>
                <c:pt idx="3">
                  <c:v>758972376414.17688</c:v>
                </c:pt>
                <c:pt idx="4">
                  <c:v>684822238763.89221</c:v>
                </c:pt>
                <c:pt idx="5">
                  <c:v>608370749767.69531</c:v>
                </c:pt>
                <c:pt idx="6">
                  <c:v>529889522149.99158</c:v>
                </c:pt>
                <c:pt idx="7">
                  <c:v>449653087737.5882</c:v>
                </c:pt>
                <c:pt idx="8">
                  <c:v>367938341342.97845</c:v>
                </c:pt>
                <c:pt idx="9">
                  <c:v>285024028113.19092</c:v>
                </c:pt>
                <c:pt idx="10">
                  <c:v>201190268869.92636</c:v>
                </c:pt>
                <c:pt idx="11">
                  <c:v>116718117605.9527</c:v>
                </c:pt>
                <c:pt idx="12">
                  <c:v>31889145018.518093</c:v>
                </c:pt>
                <c:pt idx="13">
                  <c:v>-53014958252.821594</c:v>
                </c:pt>
                <c:pt idx="14">
                  <c:v>-137712765164.82565</c:v>
                </c:pt>
                <c:pt idx="15">
                  <c:v>-221923489152.82703</c:v>
                </c:pt>
                <c:pt idx="16">
                  <c:v>-305367360952.27771</c:v>
                </c:pt>
                <c:pt idx="17">
                  <c:v>-387766011925.60419</c:v>
                </c:pt>
                <c:pt idx="18">
                  <c:v>-468842870375.28943</c:v>
                </c:pt>
                <c:pt idx="19">
                  <c:v>-548323577179.92981</c:v>
                </c:pt>
                <c:pt idx="20">
                  <c:v>-625936426886.52173</c:v>
                </c:pt>
                <c:pt idx="21">
                  <c:v>-701412840124.6875</c:v>
                </c:pt>
                <c:pt idx="22">
                  <c:v>-774487872872.95691</c:v>
                </c:pt>
                <c:pt idx="23">
                  <c:v>-844900767698.00269</c:v>
                </c:pt>
                <c:pt idx="24">
                  <c:v>-912395551598.78967</c:v>
                </c:pt>
                <c:pt idx="25">
                  <c:v>-976721684512.60071</c:v>
                </c:pt>
                <c:pt idx="26">
                  <c:v>-1037634761872.0864</c:v>
                </c:pt>
                <c:pt idx="27">
                  <c:v>-1094897273835.7362</c:v>
                </c:pt>
                <c:pt idx="28">
                  <c:v>-1148279422942.8889</c:v>
                </c:pt>
                <c:pt idx="29">
                  <c:v>-1197560000964.1182</c:v>
                </c:pt>
                <c:pt idx="30">
                  <c:v>-1242527324625.9097</c:v>
                </c:pt>
                <c:pt idx="31">
                  <c:v>-1282980228684.5425</c:v>
                </c:pt>
                <c:pt idx="32">
                  <c:v>-1318729113510.3203</c:v>
                </c:pt>
                <c:pt idx="33">
                  <c:v>-1349597042925.5747</c:v>
                </c:pt>
                <c:pt idx="34">
                  <c:v>-1375420886528.0076</c:v>
                </c:pt>
                <c:pt idx="35">
                  <c:v>-1396052499139.1843</c:v>
                </c:pt>
                <c:pt idx="36">
                  <c:v>-1411359928365.7996</c:v>
                </c:pt>
                <c:pt idx="37">
                  <c:v>-1421228639573.2578</c:v>
                </c:pt>
                <c:pt idx="38">
                  <c:v>-1425562745877.5432</c:v>
                </c:pt>
                <c:pt idx="39">
                  <c:v>-1424286229098.1157</c:v>
                </c:pt>
                <c:pt idx="40">
                  <c:v>-1417344136022.9331</c:v>
                </c:pt>
                <c:pt idx="41">
                  <c:v>-1404703732862.8638</c:v>
                </c:pt>
                <c:pt idx="42">
                  <c:v>-1386355599466.989</c:v>
                </c:pt>
                <c:pt idx="43">
                  <c:v>-1362314643785.8699</c:v>
                </c:pt>
                <c:pt idx="44">
                  <c:v>-1332621016261.5515</c:v>
                </c:pt>
                <c:pt idx="45">
                  <c:v>-1297340903345.4666</c:v>
                </c:pt>
                <c:pt idx="46">
                  <c:v>-1256567179250.5132</c:v>
                </c:pt>
                <c:pt idx="47">
                  <c:v>-1210419895378.8962</c:v>
                </c:pt>
                <c:pt idx="48">
                  <c:v>-1159046587673.0078</c:v>
                </c:pt>
                <c:pt idx="49">
                  <c:v>-1102622383442.7253</c:v>
                </c:pt>
                <c:pt idx="50">
                  <c:v>-1041349891047.3151</c:v>
                </c:pt>
                <c:pt idx="51">
                  <c:v>-975458858156.4248</c:v>
                </c:pt>
                <c:pt idx="52">
                  <c:v>-905205587169.24829</c:v>
                </c:pt>
                <c:pt idx="53">
                  <c:v>-830872099702.14319</c:v>
                </c:pt>
                <c:pt idx="54">
                  <c:v>-752765045812.37964</c:v>
                </c:pt>
                <c:pt idx="55" formatCode="General">
                  <c:v>-671214357740.21411</c:v>
                </c:pt>
                <c:pt idx="56">
                  <c:v>-586571652335.87048</c:v>
                </c:pt>
                <c:pt idx="57">
                  <c:v>-499208390889.57239</c:v>
                </c:pt>
                <c:pt idx="58">
                  <c:v>-409513809685.26788</c:v>
                </c:pt>
                <c:pt idx="59">
                  <c:v>-317892639127.00641</c:v>
                </c:pt>
                <c:pt idx="60">
                  <c:v>-224762633610.53534</c:v>
                </c:pt>
                <c:pt idx="61">
                  <c:v>-130551938301.96576</c:v>
                </c:pt>
                <c:pt idx="62">
                  <c:v>-35696322515.230438</c:v>
                </c:pt>
                <c:pt idx="63">
                  <c:v>59363687662.627541</c:v>
                </c:pt>
                <c:pt idx="64">
                  <c:v>154185742562.79535</c:v>
                </c:pt>
                <c:pt idx="65">
                  <c:v>248328631468.53879</c:v>
                </c:pt>
                <c:pt idx="66">
                  <c:v>341355237279.87799</c:v>
                </c:pt>
                <c:pt idx="67">
                  <c:v>432835446188.25946</c:v>
                </c:pt>
                <c:pt idx="68">
                  <c:v>522348976156.82233</c:v>
                </c:pt>
                <c:pt idx="69">
                  <c:v>609488089716.46436</c:v>
                </c:pt>
                <c:pt idx="70">
                  <c:v>693860159043.01953</c:v>
                </c:pt>
                <c:pt idx="71">
                  <c:v>775090054397.34875</c:v>
                </c:pt>
                <c:pt idx="72">
                  <c:v>852822330687.81396</c:v>
                </c:pt>
                <c:pt idx="73">
                  <c:v>926723191036.54333</c:v>
                </c:pt>
                <c:pt idx="74">
                  <c:v>996482210671.2915</c:v>
                </c:pt>
                <c:pt idx="75">
                  <c:v>1061813809090.5765</c:v>
                </c:pt>
                <c:pt idx="76">
                  <c:v>1122458463129.8594</c:v>
                </c:pt>
                <c:pt idx="77">
                  <c:v>1178183658163.9956</c:v>
                </c:pt>
                <c:pt idx="78">
                  <c:v>1228784579098.8533</c:v>
                </c:pt>
                <c:pt idx="79">
                  <c:v>1274084546930.031</c:v>
                </c:pt>
                <c:pt idx="80">
                  <c:v>1313935210391.7036</c:v>
                </c:pt>
                <c:pt idx="81">
                  <c:v>1348216505515.4053</c:v>
                </c:pt>
                <c:pt idx="82">
                  <c:v>1376836398718.0059</c:v>
                </c:pt>
                <c:pt idx="83">
                  <c:v>1399730431309.8455</c:v>
                </c:pt>
                <c:pt idx="84">
                  <c:v>1416861085047.3274</c:v>
                </c:pt>
                <c:pt idx="85">
                  <c:v>1428216989554.2512</c:v>
                </c:pt>
                <c:pt idx="86">
                  <c:v>1433811993123.842</c:v>
                </c:pt>
                <c:pt idx="87">
                  <c:v>1433684118621.9434</c:v>
                </c:pt>
                <c:pt idx="88">
                  <c:v>1427894425984.2092</c:v>
                </c:pt>
                <c:pt idx="89">
                  <c:v>1416525802186.9478</c:v>
                </c:pt>
                <c:pt idx="90">
                  <c:v>1399681698627.4163</c:v>
                </c:pt>
                <c:pt idx="91">
                  <c:v>1377484834632.082</c:v>
                </c:pt>
                <c:pt idx="92">
                  <c:v>1350075884377.9392</c:v>
                </c:pt>
                <c:pt idx="93">
                  <c:v>1317612162917.7124</c:v>
                </c:pt>
                <c:pt idx="94">
                  <c:v>1280266325296.8242</c:v>
                </c:pt>
                <c:pt idx="95">
                  <c:v>1238225090985.8948</c:v>
                </c:pt>
                <c:pt idx="96">
                  <c:v>1191688004069.6453</c:v>
                </c:pt>
                <c:pt idx="97">
                  <c:v>1140866237867.8953</c:v>
                </c:pt>
                <c:pt idx="98">
                  <c:v>1085981450947.6666</c:v>
                </c:pt>
                <c:pt idx="99">
                  <c:v>1027264699841.6989</c:v>
                </c:pt>
                <c:pt idx="100" formatCode="General">
                  <c:v>964955412237.52734</c:v>
                </c:pt>
              </c:numCache>
            </c:numRef>
          </c:xVal>
          <c:yVal>
            <c:numRef>
              <c:f>RPlot!$K$4:$K$104</c:f>
              <c:numCache>
                <c:formatCode>0.00E+00</c:formatCode>
                <c:ptCount val="101"/>
                <c:pt idx="0">
                  <c:v>-55429698486.619026</c:v>
                </c:pt>
                <c:pt idx="1">
                  <c:v>-53798879989.506882</c:v>
                </c:pt>
                <c:pt idx="2">
                  <c:v>-51972207485.73082</c:v>
                </c:pt>
                <c:pt idx="3">
                  <c:v>-49957340519.010185</c:v>
                </c:pt>
                <c:pt idx="4">
                  <c:v>-47762395024.788208</c:v>
                </c:pt>
                <c:pt idx="5">
                  <c:v>-45395912007.431091</c:v>
                </c:pt>
                <c:pt idx="6">
                  <c:v>-42866828287.069191</c:v>
                </c:pt>
                <c:pt idx="7">
                  <c:v>-40184449291.247978</c:v>
                </c:pt>
                <c:pt idx="8">
                  <c:v>-37358423827.86219</c:v>
                </c:pt>
                <c:pt idx="9">
                  <c:v>-34398720740.752258</c:v>
                </c:pt>
                <c:pt idx="10">
                  <c:v>-31315607317.69223</c:v>
                </c:pt>
                <c:pt idx="11">
                  <c:v>-28119629292.11216</c:v>
                </c:pt>
                <c:pt idx="12">
                  <c:v>-24821592254.571049</c:v>
                </c:pt>
                <c:pt idx="13">
                  <c:v>-21432544267.546349</c:v>
                </c:pt>
                <c:pt idx="14">
                  <c:v>-17963759457.32872</c:v>
                </c:pt>
                <c:pt idx="15">
                  <c:v>-14426722339.583456</c:v>
                </c:pt>
                <c:pt idx="16">
                  <c:v>-10833112620.293022</c:v>
                </c:pt>
                <c:pt idx="17">
                  <c:v>-7194790201.3246088</c:v>
                </c:pt>
                <c:pt idx="18">
                  <c:v>-3523780109.6462436</c:v>
                </c:pt>
                <c:pt idx="19">
                  <c:v>167742938.62254882</c:v>
                </c:pt>
                <c:pt idx="20">
                  <c:v>3867470633.5961456</c:v>
                </c:pt>
                <c:pt idx="21">
                  <c:v>7562978123.5950947</c:v>
                </c:pt>
                <c:pt idx="22">
                  <c:v>11241742320.979757</c:v>
                </c:pt>
                <c:pt idx="23">
                  <c:v>14891161756.221455</c:v>
                </c:pt>
                <c:pt idx="24">
                  <c:v>18498578268.352863</c:v>
                </c:pt>
                <c:pt idx="25">
                  <c:v>22051300810.017956</c:v>
                </c:pt>
                <c:pt idx="26">
                  <c:v>25536631631.327145</c:v>
                </c:pt>
                <c:pt idx="27">
                  <c:v>28941895088.202694</c:v>
                </c:pt>
                <c:pt idx="28">
                  <c:v>32254469297.438614</c:v>
                </c:pt>
                <c:pt idx="29">
                  <c:v>35461820831.869255</c:v>
                </c:pt>
                <c:pt idx="30">
                  <c:v>38551542614.446808</c:v>
                </c:pt>
                <c:pt idx="31">
                  <c:v>41511395129.323471</c:v>
                </c:pt>
                <c:pt idx="32">
                  <c:v>44329351020.949738</c:v>
                </c:pt>
                <c:pt idx="33">
                  <c:v>46993643098.573601</c:v>
                </c:pt>
                <c:pt idx="34">
                  <c:v>49492815703.340775</c:v>
                </c:pt>
                <c:pt idx="35">
                  <c:v>51815779328.592476</c:v>
                </c:pt>
                <c:pt idx="36">
                  <c:v>53951868311.300812</c:v>
                </c:pt>
                <c:pt idx="37">
                  <c:v>55890901334.444572</c:v>
                </c:pt>
                <c:pt idx="38">
                  <c:v>57623244397.36792</c:v>
                </c:pt>
                <c:pt idx="39">
                  <c:v>59139875824.906013</c:v>
                </c:pt>
                <c:pt idx="40">
                  <c:v>60432452797.729118</c:v>
                </c:pt>
                <c:pt idx="41">
                  <c:v>61493378797.682686</c:v>
                </c:pt>
                <c:pt idx="42">
                  <c:v>62315871274.898705</c:v>
                </c:pt>
                <c:pt idx="43">
                  <c:v>62894028760.416557</c:v>
                </c:pt>
                <c:pt idx="44">
                  <c:v>63222896571.500465</c:v>
                </c:pt>
                <c:pt idx="45">
                  <c:v>63298530189.473816</c:v>
                </c:pt>
                <c:pt idx="46">
                  <c:v>63118055334.508141</c:v>
                </c:pt>
                <c:pt idx="47">
                  <c:v>62679723721.22094</c:v>
                </c:pt>
                <c:pt idx="48">
                  <c:v>61982963455.871162</c:v>
                </c:pt>
                <c:pt idx="49">
                  <c:v>61028423032.900703</c:v>
                </c:pt>
                <c:pt idx="50">
                  <c:v>59818007907.726334</c:v>
                </c:pt>
                <c:pt idx="51">
                  <c:v>58354908665.737534</c:v>
                </c:pt>
                <c:pt idx="52">
                  <c:v>56643619875.511635</c:v>
                </c:pt>
                <c:pt idx="53">
                  <c:v>54689948807.71965</c:v>
                </c:pt>
                <c:pt idx="54">
                  <c:v>52501013319.661293</c:v>
                </c:pt>
                <c:pt idx="55">
                  <c:v>50085228347.57235</c:v>
                </c:pt>
                <c:pt idx="56">
                  <c:v>47452280612.611328</c:v>
                </c:pt>
                <c:pt idx="57">
                  <c:v>44613091328.696098</c:v>
                </c:pt>
                <c:pt idx="58">
                  <c:v>41579766897.202766</c:v>
                </c:pt>
                <c:pt idx="59">
                  <c:v>38365537780.301567</c:v>
                </c:pt>
                <c:pt idx="60">
                  <c:v>34984685956.09948</c:v>
                </c:pt>
                <c:pt idx="61">
                  <c:v>31452461569.090046</c:v>
                </c:pt>
                <c:pt idx="62">
                  <c:v>27784989592.724319</c:v>
                </c:pt>
                <c:pt idx="63">
                  <c:v>23999167511.306229</c:v>
                </c:pt>
                <c:pt idx="64">
                  <c:v>20112555200.19046</c:v>
                </c:pt>
                <c:pt idx="65">
                  <c:v>16143258331.247219</c:v>
                </c:pt>
                <c:pt idx="66">
                  <c:v>12109806750.297701</c:v>
                </c:pt>
                <c:pt idx="67">
                  <c:v>8031029361.1280451</c:v>
                </c:pt>
                <c:pt idx="68">
                  <c:v>3925927104.3256874</c:v>
                </c:pt>
                <c:pt idx="69">
                  <c:v>-186454362.85919255</c:v>
                </c:pt>
                <c:pt idx="70">
                  <c:v>-4287150697.1858273</c:v>
                </c:pt>
                <c:pt idx="71">
                  <c:v>-8357402074.6190538</c:v>
                </c:pt>
                <c:pt idx="72">
                  <c:v>-12378772118.929878</c:v>
                </c:pt>
                <c:pt idx="73">
                  <c:v>-16333261216.657755</c:v>
                </c:pt>
                <c:pt idx="74">
                  <c:v>-20203413020.616291</c:v>
                </c:pt>
                <c:pt idx="75">
                  <c:v>-23972413103.708988</c:v>
                </c:pt>
                <c:pt idx="76">
                  <c:v>-27624178899.613266</c:v>
                </c:pt>
                <c:pt idx="77">
                  <c:v>-31143440251.484489</c:v>
                </c:pt>
                <c:pt idx="78">
                  <c:v>-34515810078.816071</c:v>
                </c:pt>
                <c:pt idx="79">
                  <c:v>-37727844860.809631</c:v>
                </c:pt>
                <c:pt idx="80">
                  <c:v>-40767094817.24099</c:v>
                </c:pt>
                <c:pt idx="81">
                  <c:v>-43622143840.60157</c:v>
                </c:pt>
                <c:pt idx="82">
                  <c:v>-46282639392.652191</c:v>
                </c:pt>
                <c:pt idx="83">
                  <c:v>-48739312721.518875</c:v>
                </c:pt>
                <c:pt idx="84">
                  <c:v>-50983989879.998177</c:v>
                </c:pt>
                <c:pt idx="85">
                  <c:v>-53009594130.393082</c:v>
                </c:pt>
                <c:pt idx="86">
                  <c:v>-54810140405.326195</c:v>
                </c:pt>
                <c:pt idx="87">
                  <c:v>-56380722557.574196</c:v>
                </c:pt>
                <c:pt idx="88">
                  <c:v>-57717494175.591064</c:v>
                </c:pt>
                <c:pt idx="89">
                  <c:v>-58817643766.139252</c:v>
                </c:pt>
                <c:pt idx="90">
                  <c:v>-59679365112.762772</c:v>
                </c:pt>
                <c:pt idx="91">
                  <c:v>-60301823610.489944</c:v>
                </c:pt>
                <c:pt idx="92">
                  <c:v>-60685119355.081635</c:v>
                </c:pt>
                <c:pt idx="93">
                  <c:v>-60830247731.408943</c:v>
                </c:pt>
                <c:pt idx="94">
                  <c:v>-60739058202.22258</c:v>
                </c:pt>
                <c:pt idx="95">
                  <c:v>-60414211947.700203</c:v>
                </c:pt>
                <c:pt idx="96">
                  <c:v>-59859138949.658325</c:v>
                </c:pt>
                <c:pt idx="97">
                  <c:v>-59077995053.975281</c:v>
                </c:pt>
                <c:pt idx="98">
                  <c:v>-58075619482.202126</c:v>
                </c:pt>
                <c:pt idx="99">
                  <c:v>-56857493199.947052</c:v>
                </c:pt>
                <c:pt idx="100" formatCode="General">
                  <c:v>-55429698486.619781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C7-4418-B7BE-0E4200C695E5}"/>
            </c:ext>
          </c:extLst>
        </c:ser>
        <c:ser>
          <c:idx val="2"/>
          <c:order val="2"/>
          <c:tx>
            <c:v>Launch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9112811906.9527721</c:v>
                </c:pt>
              </c:numCache>
            </c:numRef>
          </c:xVal>
          <c:yVal>
            <c:numRef>
              <c:f>RPlot!$AI$4:$AI$5</c:f>
              <c:numCache>
                <c:formatCode>0.00E+00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C7-4418-B7BE-0E4200C695E5}"/>
            </c:ext>
          </c:extLst>
        </c:ser>
        <c:ser>
          <c:idx val="3"/>
          <c:order val="3"/>
          <c:tx>
            <c:v>Intercept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-533060606165.17072</c:v>
                </c:pt>
              </c:numCache>
            </c:numRef>
          </c:xVal>
          <c:yVal>
            <c:numRef>
              <c:f>RPlot!$AI$9:$AI$10</c:f>
              <c:numCache>
                <c:formatCode>0.00E+00</c:formatCode>
                <c:ptCount val="2"/>
                <c:pt idx="0">
                  <c:v>0</c:v>
                </c:pt>
                <c:pt idx="1">
                  <c:v>-548564865.11165714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C7-4418-B7BE-0E4200C695E5}"/>
            </c:ext>
          </c:extLst>
        </c:ser>
        <c:ser>
          <c:idx val="6"/>
          <c:order val="4"/>
          <c:tx>
            <c:v>Direct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RPlot!$M$4:$M$104</c:f>
              <c:numCache>
                <c:formatCode>0.00E+00</c:formatCode>
                <c:ptCount val="101"/>
                <c:pt idx="0">
                  <c:v>9112811906.9567356</c:v>
                </c:pt>
                <c:pt idx="1">
                  <c:v>14287146709.961565</c:v>
                </c:pt>
                <c:pt idx="2">
                  <c:v>19379398992.182201</c:v>
                </c:pt>
                <c:pt idx="3">
                  <c:v>24392910856.911854</c:v>
                </c:pt>
                <c:pt idx="4">
                  <c:v>29330869516.268719</c:v>
                </c:pt>
                <c:pt idx="5">
                  <c:v>34196314315.189957</c:v>
                </c:pt>
                <c:pt idx="6">
                  <c:v>38992143236.970657</c:v>
                </c:pt>
                <c:pt idx="7">
                  <c:v>43721118910.244347</c:v>
                </c:pt>
                <c:pt idx="8">
                  <c:v>48385874135.678337</c:v>
                </c:pt>
                <c:pt idx="9">
                  <c:v>52988916948.358421</c:v>
                </c:pt>
                <c:pt idx="10">
                  <c:v>57532635229.82132</c:v>
                </c:pt>
                <c:pt idx="11">
                  <c:v>62019300881.511589</c:v>
                </c:pt>
                <c:pt idx="12">
                  <c:v>66451073569.228889</c:v>
                </c:pt>
                <c:pt idx="13">
                  <c:v>70830004046.076752</c:v>
                </c:pt>
                <c:pt idx="14">
                  <c:v>75158037058.732376</c:v>
                </c:pt>
                <c:pt idx="15">
                  <c:v>79437013839.987686</c:v>
                </c:pt>
                <c:pt idx="16">
                  <c:v>83668674187.808548</c:v>
                </c:pt>
                <c:pt idx="17">
                  <c:v>87854658128.485641</c:v>
                </c:pt>
                <c:pt idx="18">
                  <c:v>91996507159.084137</c:v>
                </c:pt>
                <c:pt idx="19">
                  <c:v>96095665061.390915</c:v>
                </c:pt>
                <c:pt idx="20">
                  <c:v>100153478276.57098</c:v>
                </c:pt>
                <c:pt idx="21">
                  <c:v>104171195826.65121</c:v>
                </c:pt>
                <c:pt idx="22">
                  <c:v>108149968765.42053</c:v>
                </c:pt>
                <c:pt idx="23">
                  <c:v>112090849137.73483</c:v>
                </c:pt>
                <c:pt idx="24">
                  <c:v>115994788422.15764</c:v>
                </c:pt>
                <c:pt idx="25">
                  <c:v>119862635427.51567</c:v>
                </c:pt>
                <c:pt idx="26">
                  <c:v>123695133609.18884</c:v>
                </c:pt>
                <c:pt idx="27">
                  <c:v>127492917765.87354</c:v>
                </c:pt>
                <c:pt idx="28">
                  <c:v>131256510071.3567</c:v>
                </c:pt>
                <c:pt idx="29">
                  <c:v>134986315390.1246</c:v>
                </c:pt>
                <c:pt idx="30">
                  <c:v>138682615818.0574</c:v>
                </c:pt>
                <c:pt idx="31">
                  <c:v>142345564381.87643</c:v>
                </c:pt>
                <c:pt idx="32">
                  <c:v>145975177822.29572</c:v>
                </c:pt>
                <c:pt idx="33">
                  <c:v>149571328376.09515</c:v>
                </c:pt>
                <c:pt idx="34">
                  <c:v>153133734461.54132</c:v>
                </c:pt>
                <c:pt idx="35">
                  <c:v>156661950159.45526</c:v>
                </c:pt>
                <c:pt idx="36">
                  <c:v>160155353368.67145</c:v>
                </c:pt>
                <c:pt idx="37">
                  <c:v>163613132499.4726</c:v>
                </c:pt>
                <c:pt idx="38">
                  <c:v>167034271551.48953</c:v>
                </c:pt>
                <c:pt idx="39">
                  <c:v>170417533403.43283</c:v>
                </c:pt>
                <c:pt idx="40">
                  <c:v>173761441120.53586</c:v>
                </c:pt>
                <c:pt idx="41">
                  <c:v>177064257061.24182</c:v>
                </c:pt>
                <c:pt idx="42">
                  <c:v>180323959537.80405</c:v>
                </c:pt>
                <c:pt idx="43">
                  <c:v>183538216754.33176</c:v>
                </c:pt>
                <c:pt idx="44">
                  <c:v>186704357711.79507</c:v>
                </c:pt>
                <c:pt idx="45">
                  <c:v>189819339730.48163</c:v>
                </c:pt>
                <c:pt idx="46">
                  <c:v>192879712196.81857</c:v>
                </c:pt>
                <c:pt idx="47">
                  <c:v>195881576092.405</c:v>
                </c:pt>
                <c:pt idx="48">
                  <c:v>198820538807.93591</c:v>
                </c:pt>
                <c:pt idx="49">
                  <c:v>201691663682.80994</c:v>
                </c:pt>
                <c:pt idx="50">
                  <c:v>204489413641.76617</c:v>
                </c:pt>
                <c:pt idx="51">
                  <c:v>207207588222.21756</c:v>
                </c:pt>
                <c:pt idx="52">
                  <c:v>209839253199.13171</c:v>
                </c:pt>
                <c:pt idx="53">
                  <c:v>212376661917.6561</c:v>
                </c:pt>
                <c:pt idx="54">
                  <c:v>214811167336.32947</c:v>
                </c:pt>
                <c:pt idx="55">
                  <c:v>217133123665.112</c:v>
                </c:pt>
                <c:pt idx="56">
                  <c:v>219331776351.97226</c:v>
                </c:pt>
                <c:pt idx="57">
                  <c:v>221395139029.42041</c:v>
                </c:pt>
                <c:pt idx="58">
                  <c:v>223309855878.04065</c:v>
                </c:pt>
                <c:pt idx="59">
                  <c:v>225061047699.11719</c:v>
                </c:pt>
                <c:pt idx="60">
                  <c:v>226632139814.31778</c:v>
                </c:pt>
                <c:pt idx="61">
                  <c:v>228004669730.51288</c:v>
                </c:pt>
                <c:pt idx="62">
                  <c:v>229158072327.18192</c:v>
                </c:pt>
                <c:pt idx="63">
                  <c:v>230069440150.15323</c:v>
                </c:pt>
                <c:pt idx="64">
                  <c:v>230713256239.82904</c:v>
                </c:pt>
                <c:pt idx="65">
                  <c:v>231061096800.55643</c:v>
                </c:pt>
                <c:pt idx="66">
                  <c:v>231081300952.73688</c:v>
                </c:pt>
                <c:pt idx="67">
                  <c:v>230738604831.52985</c:v>
                </c:pt>
                <c:pt idx="68">
                  <c:v>229993737447.64771</c:v>
                </c:pt>
                <c:pt idx="69">
                  <c:v>228802976063.53073</c:v>
                </c:pt>
                <c:pt idx="70">
                  <c:v>227117659437.88477</c:v>
                </c:pt>
                <c:pt idx="71">
                  <c:v>224883658253.2908</c:v>
                </c:pt>
                <c:pt idx="72">
                  <c:v>222040803496.34073</c:v>
                </c:pt>
                <c:pt idx="73">
                  <c:v>218522275676.97147</c:v>
                </c:pt>
                <c:pt idx="74">
                  <c:v>214253960769.86676</c:v>
                </c:pt>
                <c:pt idx="75">
                  <c:v>209153782908.55222</c:v>
                </c:pt>
                <c:pt idx="76">
                  <c:v>203131029499.20532</c:v>
                </c:pt>
                <c:pt idx="77">
                  <c:v>196085691953.76053</c:v>
                </c:pt>
                <c:pt idx="78">
                  <c:v>187907855148.5647</c:v>
                </c:pt>
                <c:pt idx="79">
                  <c:v>178477181532.99286</c:v>
                </c:pt>
                <c:pt idx="80">
                  <c:v>167662552108.29587</c:v>
                </c:pt>
                <c:pt idx="81">
                  <c:v>155321946803.82275</c:v>
                </c:pt>
                <c:pt idx="82">
                  <c:v>141302671485.87021</c:v>
                </c:pt>
                <c:pt idx="83">
                  <c:v>125442068010.68677</c:v>
                </c:pt>
                <c:pt idx="84">
                  <c:v>107568876843.95874</c:v>
                </c:pt>
                <c:pt idx="85">
                  <c:v>87505457279.182755</c:v>
                </c:pt>
                <c:pt idx="86">
                  <c:v>65071105114.393082</c:v>
                </c:pt>
                <c:pt idx="87">
                  <c:v>40086736477.62233</c:v>
                </c:pt>
                <c:pt idx="88">
                  <c:v>12381221015.951361</c:v>
                </c:pt>
                <c:pt idx="89">
                  <c:v>-18200364118.663879</c:v>
                </c:pt>
                <c:pt idx="90">
                  <c:v>-51786342148.556572</c:v>
                </c:pt>
                <c:pt idx="91">
                  <c:v>-88465804931.826309</c:v>
                </c:pt>
                <c:pt idx="92">
                  <c:v>-128273838455.54796</c:v>
                </c:pt>
                <c:pt idx="93">
                  <c:v>-171175000572.66632</c:v>
                </c:pt>
                <c:pt idx="94">
                  <c:v>-217045850199.84967</c:v>
                </c:pt>
                <c:pt idx="95">
                  <c:v>-265657821618.37097</c:v>
                </c:pt>
                <c:pt idx="96">
                  <c:v>-316662271920.23474</c:v>
                </c:pt>
                <c:pt idx="97">
                  <c:v>-369580009570.9707</c:v>
                </c:pt>
                <c:pt idx="98">
                  <c:v>-423797898558.84583</c:v>
                </c:pt>
                <c:pt idx="99">
                  <c:v>-478575059666.16815</c:v>
                </c:pt>
                <c:pt idx="100" formatCode="General">
                  <c:v>-533060606169.98138</c:v>
                </c:pt>
              </c:numCache>
            </c:numRef>
          </c:xVal>
          <c:yVal>
            <c:numRef>
              <c:f>RPlot!$O$4:$O$104</c:f>
              <c:numCache>
                <c:formatCode>0.00E+00</c:formatCode>
                <c:ptCount val="101"/>
                <c:pt idx="0">
                  <c:v>2.333334123250097E-6</c:v>
                </c:pt>
                <c:pt idx="1">
                  <c:v>6305113.2246498</c:v>
                </c:pt>
                <c:pt idx="2">
                  <c:v>12517924.631175349</c:v>
                </c:pt>
                <c:pt idx="3">
                  <c:v>18642354.763688475</c:v>
                </c:pt>
                <c:pt idx="4">
                  <c:v>24682153.6984073</c:v>
                </c:pt>
                <c:pt idx="5">
                  <c:v>30640908.888706986</c:v>
                </c:pt>
                <c:pt idx="6">
                  <c:v>36522052.461658046</c:v>
                </c:pt>
                <c:pt idx="7">
                  <c:v>42328867.985663995</c:v>
                </c:pt>
                <c:pt idx="8">
                  <c:v>48064496.727399878</c:v>
                </c:pt>
                <c:pt idx="9">
                  <c:v>53731943.413981088</c:v>
                </c:pt>
                <c:pt idx="10">
                  <c:v>59334081.514332652</c:v>
                </c:pt>
                <c:pt idx="11">
                  <c:v>64873658.051538274</c:v>
                </c:pt>
                <c:pt idx="12">
                  <c:v>70353297.955697164</c:v>
                </c:pt>
                <c:pt idx="13">
                  <c:v>75775507.964738801</c:v>
                </c:pt>
                <c:pt idx="14">
                  <c:v>81142680.077764675</c:v>
                </c:pt>
                <c:pt idx="15">
                  <c:v>86457094.563608795</c:v>
                </c:pt>
                <c:pt idx="16">
                  <c:v>91720922.524393409</c:v>
                </c:pt>
                <c:pt idx="17">
                  <c:v>96936228.010970801</c:v>
                </c:pt>
                <c:pt idx="18">
                  <c:v>102104969.68463737</c:v>
                </c:pt>
                <c:pt idx="19">
                  <c:v>107229002.01620826</c:v>
                </c:pt>
                <c:pt idx="20">
                  <c:v>112310076.01027451</c:v>
                </c:pt>
                <c:pt idx="21">
                  <c:v>117349839.43907857</c:v>
                </c:pt>
                <c:pt idx="22">
                  <c:v>122349836.56652832</c:v>
                </c:pt>
                <c:pt idx="23">
                  <c:v>127311507.33888735</c:v>
                </c:pt>
                <c:pt idx="24">
                  <c:v>132236186.01414695</c:v>
                </c:pt>
                <c:pt idx="25">
                  <c:v>137125099.19721827</c:v>
                </c:pt>
                <c:pt idx="26">
                  <c:v>141979363.24273759</c:v>
                </c:pt>
                <c:pt idx="27">
                  <c:v>146799980.98157492</c:v>
                </c:pt>
                <c:pt idx="28">
                  <c:v>151587837.72006744</c:v>
                </c:pt>
                <c:pt idx="29">
                  <c:v>156343696.45460799</c:v>
                </c:pt>
                <c:pt idx="30">
                  <c:v>161068192.23554435</c:v>
                </c:pt>
                <c:pt idx="31">
                  <c:v>165761825.60573032</c:v>
                </c:pt>
                <c:pt idx="32">
                  <c:v>170424955.02910972</c:v>
                </c:pt>
                <c:pt idx="33">
                  <c:v>175057788.2135604</c:v>
                </c:pt>
                <c:pt idx="34">
                  <c:v>179660372.21983635</c:v>
                </c:pt>
                <c:pt idx="35">
                  <c:v>184232582.23448616</c:v>
                </c:pt>
                <c:pt idx="36">
                  <c:v>188774108.86898103</c:v>
                </c:pt>
                <c:pt idx="37">
                  <c:v>193284443.82975832</c:v>
                </c:pt>
                <c:pt idx="38">
                  <c:v>197762863.78405204</c:v>
                </c:pt>
                <c:pt idx="39">
                  <c:v>202208412.22415766</c:v>
                </c:pt>
                <c:pt idx="40">
                  <c:v>206619879.10773882</c:v>
                </c:pt>
                <c:pt idx="41">
                  <c:v>210995778.02331051</c:v>
                </c:pt>
                <c:pt idx="42">
                  <c:v>215334320.59861177</c:v>
                </c:pt>
                <c:pt idx="43">
                  <c:v>219633387.83292314</c:v>
                </c:pt>
                <c:pt idx="44">
                  <c:v>223890497.99436271</c:v>
                </c:pt>
                <c:pt idx="45">
                  <c:v>228102770.6770457</c:v>
                </c:pt>
                <c:pt idx="46">
                  <c:v>232266886.56133392</c:v>
                </c:pt>
                <c:pt idx="47">
                  <c:v>236379042.36203229</c:v>
                </c:pt>
                <c:pt idx="48">
                  <c:v>240434900.38353679</c:v>
                </c:pt>
                <c:pt idx="49">
                  <c:v>244429532.02678424</c:v>
                </c:pt>
                <c:pt idx="50">
                  <c:v>248357354.50929806</c:v>
                </c:pt>
                <c:pt idx="51">
                  <c:v>252212059.96576548</c:v>
                </c:pt>
                <c:pt idx="52">
                  <c:v>255986535.99116826</c:v>
                </c:pt>
                <c:pt idx="53">
                  <c:v>259672776.57052222</c:v>
                </c:pt>
                <c:pt idx="54">
                  <c:v>263261782.20747194</c:v>
                </c:pt>
                <c:pt idx="55">
                  <c:v>266743447.91741061</c:v>
                </c:pt>
                <c:pt idx="56">
                  <c:v>270106437.58829248</c:v>
                </c:pt>
                <c:pt idx="57">
                  <c:v>273338043.03351921</c:v>
                </c:pt>
                <c:pt idx="58">
                  <c:v>276424025.86537308</c:v>
                </c:pt>
                <c:pt idx="59">
                  <c:v>279348440.10548949</c:v>
                </c:pt>
                <c:pt idx="60">
                  <c:v>282093433.22154504</c:v>
                </c:pt>
                <c:pt idx="61">
                  <c:v>284639023.03972179</c:v>
                </c:pt>
                <c:pt idx="62">
                  <c:v>286962847.73522365</c:v>
                </c:pt>
                <c:pt idx="63">
                  <c:v>289039885.85563594</c:v>
                </c:pt>
                <c:pt idx="64">
                  <c:v>290842143.09556276</c:v>
                </c:pt>
                <c:pt idx="65">
                  <c:v>292338302.33235997</c:v>
                </c:pt>
                <c:pt idx="66">
                  <c:v>293493333.27552766</c:v>
                </c:pt>
                <c:pt idx="67">
                  <c:v>294268058.00973272</c:v>
                </c:pt>
                <c:pt idx="68">
                  <c:v>294618668.76936942</c:v>
                </c:pt>
                <c:pt idx="69">
                  <c:v>294496194.53376508</c:v>
                </c:pt>
                <c:pt idx="70">
                  <c:v>293845913.56115639</c:v>
                </c:pt>
                <c:pt idx="71">
                  <c:v>292606709.89931202</c:v>
                </c:pt>
                <c:pt idx="72">
                  <c:v>290710373.37025899</c:v>
                </c:pt>
                <c:pt idx="73">
                  <c:v>288080844.72063941</c:v>
                </c:pt>
                <c:pt idx="74">
                  <c:v>284633410.80884212</c:v>
                </c:pt>
                <c:pt idx="75">
                  <c:v>280273859.18438703</c:v>
                </c:pt>
                <c:pt idx="76">
                  <c:v>274897607.60300601</c:v>
                </c:pt>
                <c:pt idx="77">
                  <c:v>268388832.40064272</c:v>
                </c:pt>
                <c:pt idx="78">
                  <c:v>260619630.8022376</c:v>
                </c:pt>
                <c:pt idx="79">
                  <c:v>251449266.83266521</c:v>
                </c:pt>
                <c:pt idx="80">
                  <c:v>240723569.24935371</c:v>
                </c:pt>
                <c:pt idx="81">
                  <c:v>228274573.54265597</c:v>
                </c:pt>
                <c:pt idx="82">
                  <c:v>213920529.13786602</c:v>
                </c:pt>
                <c:pt idx="83">
                  <c:v>197466427.7423231</c:v>
                </c:pt>
                <c:pt idx="84">
                  <c:v>178705248.9326975</c:v>
                </c:pt>
                <c:pt idx="85">
                  <c:v>157420163.0893428</c:v>
                </c:pt>
                <c:pt idx="86">
                  <c:v>133387976.43176822</c:v>
                </c:pt>
                <c:pt idx="87">
                  <c:v>106384142.4032689</c:v>
                </c:pt>
                <c:pt idx="88">
                  <c:v>76189688.692299083</c:v>
                </c:pt>
                <c:pt idx="89">
                  <c:v>42600406.03848131</c:v>
                </c:pt>
                <c:pt idx="90">
                  <c:v>5438594.964899228</c:v>
                </c:pt>
                <c:pt idx="91">
                  <c:v>-35432453.526250787</c:v>
                </c:pt>
                <c:pt idx="92">
                  <c:v>-80091283.013521641</c:v>
                </c:pt>
                <c:pt idx="93">
                  <c:v>-128538776.39870566</c:v>
                </c:pt>
                <c:pt idx="94">
                  <c:v>-180677178.12852415</c:v>
                </c:pt>
                <c:pt idx="95">
                  <c:v>-236289052.08226329</c:v>
                </c:pt>
                <c:pt idx="96">
                  <c:v>-295018237.69345093</c:v>
                </c:pt>
                <c:pt idx="97">
                  <c:v>-356355470.53059494</c:v>
                </c:pt>
                <c:pt idx="98">
                  <c:v>-419631736.96212196</c:v>
                </c:pt>
                <c:pt idx="99">
                  <c:v>-484022438.86982912</c:v>
                </c:pt>
                <c:pt idx="100" formatCode="General">
                  <c:v>-548564865.12197137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8C7-4418-B7BE-0E4200C695E5}"/>
            </c:ext>
          </c:extLst>
        </c:ser>
        <c:ser>
          <c:idx val="7"/>
          <c:order val="5"/>
          <c:tx>
            <c:v>90 Deg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RPlot!$U$4:$U$104</c:f>
              <c:numCache>
                <c:formatCode>0.00E+00</c:formatCode>
                <c:ptCount val="101"/>
                <c:pt idx="0">
                  <c:v>216976312271.88831</c:v>
                </c:pt>
                <c:pt idx="1">
                  <c:v>217987096519.67398</c:v>
                </c:pt>
                <c:pt idx="2">
                  <c:v>218971954440.79672</c:v>
                </c:pt>
                <c:pt idx="3">
                  <c:v>219929777233.74771</c:v>
                </c:pt>
                <c:pt idx="4">
                  <c:v>220859400680.14755</c:v>
                </c:pt>
                <c:pt idx="5">
                  <c:v>221759602426.16861</c:v>
                </c:pt>
                <c:pt idx="6">
                  <c:v>222629099123.41367</c:v>
                </c:pt>
                <c:pt idx="7">
                  <c:v>223466543422.13962</c:v>
                </c:pt>
                <c:pt idx="8">
                  <c:v>224270520809.41299</c:v>
                </c:pt>
                <c:pt idx="9">
                  <c:v>225039546284.4725</c:v>
                </c:pt>
                <c:pt idx="10">
                  <c:v>225772060863.26044</c:v>
                </c:pt>
                <c:pt idx="11">
                  <c:v>226466427903.77991</c:v>
                </c:pt>
                <c:pt idx="12">
                  <c:v>227120929243.62256</c:v>
                </c:pt>
                <c:pt idx="13">
                  <c:v>227733761140.71106</c:v>
                </c:pt>
                <c:pt idx="14">
                  <c:v>228303030008.01358</c:v>
                </c:pt>
                <c:pt idx="15">
                  <c:v>228826747932.70593</c:v>
                </c:pt>
                <c:pt idx="16">
                  <c:v>229302827970.00616</c:v>
                </c:pt>
                <c:pt idx="17">
                  <c:v>229729079201.6691</c:v>
                </c:pt>
                <c:pt idx="18">
                  <c:v>230103201548.93558</c:v>
                </c:pt>
                <c:pt idx="19">
                  <c:v>230422780329.56973</c:v>
                </c:pt>
                <c:pt idx="20">
                  <c:v>230685280548.51254</c:v>
                </c:pt>
                <c:pt idx="21">
                  <c:v>230888040911.63098</c:v>
                </c:pt>
                <c:pt idx="22">
                  <c:v>231028267552.06979</c:v>
                </c:pt>
                <c:pt idx="23">
                  <c:v>231103027458.83084</c:v>
                </c:pt>
                <c:pt idx="24">
                  <c:v>231109241597.41537</c:v>
                </c:pt>
                <c:pt idx="25">
                  <c:v>231043677712.71832</c:v>
                </c:pt>
                <c:pt idx="26">
                  <c:v>230902942804.83847</c:v>
                </c:pt>
                <c:pt idx="27">
                  <c:v>230683475269.13226</c:v>
                </c:pt>
                <c:pt idx="28">
                  <c:v>230381536692.68698</c:v>
                </c:pt>
                <c:pt idx="29">
                  <c:v>229993203300.47232</c:v>
                </c:pt>
                <c:pt idx="30">
                  <c:v>229514357045.77084</c:v>
                </c:pt>
                <c:pt idx="31">
                  <c:v>228940676341.14328</c:v>
                </c:pt>
                <c:pt idx="32">
                  <c:v>228267626428.1778</c:v>
                </c:pt>
                <c:pt idx="33">
                  <c:v>227490449386.6795</c:v>
                </c:pt>
                <c:pt idx="34">
                  <c:v>226604153786.81326</c:v>
                </c:pt>
                <c:pt idx="35">
                  <c:v>225603503991.1004</c:v>
                </c:pt>
                <c:pt idx="36">
                  <c:v>224483009117.14688</c:v>
                </c:pt>
                <c:pt idx="37">
                  <c:v>223236911676.63937</c:v>
                </c:pt>
                <c:pt idx="38">
                  <c:v>221859175911.56494</c:v>
                </c:pt>
                <c:pt idx="39">
                  <c:v>220343475854.8988</c:v>
                </c:pt>
                <c:pt idx="40">
                  <c:v>218683183150.2561</c:v>
                </c:pt>
                <c:pt idx="41">
                  <c:v>216871354673.3624</c:v>
                </c:pt>
                <c:pt idx="42">
                  <c:v>214900720007.76459</c:v>
                </c:pt>
                <c:pt idx="43">
                  <c:v>212763668838.14365</c:v>
                </c:pt>
                <c:pt idx="44">
                  <c:v>210452238337.05194</c:v>
                </c:pt>
                <c:pt idx="45">
                  <c:v>207958100635.03293</c:v>
                </c:pt>
                <c:pt idx="46">
                  <c:v>205272550480.09164</c:v>
                </c:pt>
                <c:pt idx="47">
                  <c:v>202386493210.52634</c:v>
                </c:pt>
                <c:pt idx="48">
                  <c:v>199290433185.42615</c:v>
                </c:pt>
                <c:pt idx="49">
                  <c:v>195974462839.86987</c:v>
                </c:pt>
                <c:pt idx="50">
                  <c:v>192428252557.23898</c:v>
                </c:pt>
                <c:pt idx="51">
                  <c:v>188641041579.28055</c:v>
                </c:pt>
                <c:pt idx="52">
                  <c:v>184601630205.81799</c:v>
                </c:pt>
                <c:pt idx="53">
                  <c:v>180298373570.4924</c:v>
                </c:pt>
                <c:pt idx="54">
                  <c:v>175719177316.76895</c:v>
                </c:pt>
                <c:pt idx="55">
                  <c:v>170851495539.78998</c:v>
                </c:pt>
                <c:pt idx="56">
                  <c:v>165682331404.55374</c:v>
                </c:pt>
                <c:pt idx="57">
                  <c:v>160198240899.3508</c:v>
                </c:pt>
                <c:pt idx="58">
                  <c:v>154385340235.29651</c:v>
                </c:pt>
                <c:pt idx="59">
                  <c:v>148229317457.94894</c:v>
                </c:pt>
                <c:pt idx="60">
                  <c:v>141715448895.03949</c:v>
                </c:pt>
                <c:pt idx="61">
                  <c:v>134828621124.72144</c:v>
                </c:pt>
                <c:pt idx="62">
                  <c:v>127553359210.70479</c:v>
                </c:pt>
                <c:pt idx="63">
                  <c:v>119873862013.1516</c:v>
                </c:pt>
                <c:pt idx="64">
                  <c:v>111774045445.91949</c:v>
                </c:pt>
                <c:pt idx="65">
                  <c:v>103237594609.92863</c:v>
                </c:pt>
                <c:pt idx="66">
                  <c:v>94248025786.933609</c:v>
                </c:pt>
                <c:pt idx="67">
                  <c:v>84788759325.251511</c:v>
                </c:pt>
                <c:pt idx="68">
                  <c:v>74843204485.602768</c:v>
                </c:pt>
                <c:pt idx="69">
                  <c:v>64394857337.801033</c:v>
                </c:pt>
                <c:pt idx="70">
                  <c:v>53427412802.686012</c:v>
                </c:pt>
                <c:pt idx="71">
                  <c:v>41924891913.676758</c:v>
                </c:pt>
                <c:pt idx="72">
                  <c:v>29871785322.730038</c:v>
                </c:pt>
                <c:pt idx="73">
                  <c:v>17253213989.902981</c:v>
                </c:pt>
                <c:pt idx="74">
                  <c:v>4055107867.2174063</c:v>
                </c:pt>
                <c:pt idx="75">
                  <c:v>-9735596791.3807068</c:v>
                </c:pt>
                <c:pt idx="76">
                  <c:v>-24130741099.057564</c:v>
                </c:pt>
                <c:pt idx="77">
                  <c:v>-39140708091.770393</c:v>
                </c:pt>
                <c:pt idx="78">
                  <c:v>-54774168453.574272</c:v>
                </c:pt>
                <c:pt idx="79">
                  <c:v>-71037808148.906631</c:v>
                </c:pt>
                <c:pt idx="80">
                  <c:v>-87936039237.378448</c:v>
                </c:pt>
                <c:pt idx="81">
                  <c:v>-105470695770.82225</c:v>
                </c:pt>
                <c:pt idx="82">
                  <c:v>-123640717382.12749</c:v>
                </c:pt>
                <c:pt idx="83">
                  <c:v>-142441823965.79288</c:v>
                </c:pt>
                <c:pt idx="84">
                  <c:v>-161866185711.38144</c:v>
                </c:pt>
                <c:pt idx="85">
                  <c:v>-181902093667.39764</c:v>
                </c:pt>
                <c:pt idx="86">
                  <c:v>-202533636961.64813</c:v>
                </c:pt>
                <c:pt idx="87">
                  <c:v>-223740393754.63467</c:v>
                </c:pt>
                <c:pt idx="88">
                  <c:v>-245497143916.51688</c:v>
                </c:pt>
                <c:pt idx="89">
                  <c:v>-267773612249.40088</c:v>
                </c:pt>
                <c:pt idx="90">
                  <c:v>-290534251771.57837</c:v>
                </c:pt>
                <c:pt idx="91">
                  <c:v>-313738077079.4632</c:v>
                </c:pt>
                <c:pt idx="92">
                  <c:v>-337338558043.3692</c:v>
                </c:pt>
                <c:pt idx="93">
                  <c:v>-361283584011.61267</c:v>
                </c:pt>
                <c:pt idx="94">
                  <c:v>-385515508234.09631</c:v>
                </c:pt>
                <c:pt idx="95">
                  <c:v>-409971281320.55725</c:v>
                </c:pt>
                <c:pt idx="96">
                  <c:v>-434582681183.17065</c:v>
                </c:pt>
                <c:pt idx="97">
                  <c:v>-459276645061.03143</c:v>
                </c:pt>
                <c:pt idx="98">
                  <c:v>-483975706893.13397</c:v>
                </c:pt>
                <c:pt idx="99">
                  <c:v>-508598540534.31213</c:v>
                </c:pt>
                <c:pt idx="100" formatCode="General">
                  <c:v>-533060606165.10278</c:v>
                </c:pt>
              </c:numCache>
            </c:numRef>
          </c:xVal>
          <c:yVal>
            <c:numRef>
              <c:f>RPlot!$W$4:$W$104</c:f>
              <c:numCache>
                <c:formatCode>0.00E+00</c:formatCode>
                <c:ptCount val="101"/>
                <c:pt idx="0">
                  <c:v>5.1654751587193459E-8</c:v>
                </c:pt>
                <c:pt idx="1">
                  <c:v>-1515564.2474929208</c:v>
                </c:pt>
                <c:pt idx="2">
                  <c:v>-3066300.8907690956</c:v>
                </c:pt>
                <c:pt idx="3">
                  <c:v>-4653169.5456143655</c:v>
                </c:pt>
                <c:pt idx="4">
                  <c:v>-6277161.775340273</c:v>
                </c:pt>
                <c:pt idx="5">
                  <c:v>-7939302.180469228</c:v>
                </c:pt>
                <c:pt idx="6">
                  <c:v>-9640649.5209553111</c:v>
                </c:pt>
                <c:pt idx="7">
                  <c:v>-11382297.870976439</c:v>
                </c:pt>
                <c:pt idx="8">
                  <c:v>-13165377.806188909</c:v>
                </c:pt>
                <c:pt idx="9">
                  <c:v>-14991057.623164373</c:v>
                </c:pt>
                <c:pt idx="10">
                  <c:v>-16860544.590530064</c:v>
                </c:pt>
                <c:pt idx="11">
                  <c:v>-18775086.231113974</c:v>
                </c:pt>
                <c:pt idx="12">
                  <c:v>-20735971.634133916</c:v>
                </c:pt>
                <c:pt idx="13">
                  <c:v>-22744532.796179589</c:v>
                </c:pt>
                <c:pt idx="14">
                  <c:v>-24802145.989400823</c:v>
                </c:pt>
                <c:pt idx="15">
                  <c:v>-26910233.154936928</c:v>
                </c:pt>
                <c:pt idx="16">
                  <c:v>-29070263.319194</c:v>
                </c:pt>
                <c:pt idx="17">
                  <c:v>-31283754.030090079</c:v>
                </c:pt>
                <c:pt idx="18">
                  <c:v>-33552272.809839606</c:v>
                </c:pt>
                <c:pt idx="19">
                  <c:v>-35877438.620235145</c:v>
                </c:pt>
                <c:pt idx="20">
                  <c:v>-38260923.33568532</c:v>
                </c:pt>
                <c:pt idx="21">
                  <c:v>-40704453.218491152</c:v>
                </c:pt>
                <c:pt idx="22">
                  <c:v>-43209810.389964931</c:v>
                </c:pt>
                <c:pt idx="23">
                  <c:v>-45778834.290018603</c:v>
                </c:pt>
                <c:pt idx="24">
                  <c:v>-48413423.116749667</c:v>
                </c:pt>
                <c:pt idx="25">
                  <c:v>-51115535.236324988</c:v>
                </c:pt>
                <c:pt idx="26">
                  <c:v>-53887190.552098997</c:v>
                </c:pt>
                <c:pt idx="27">
                  <c:v>-56730471.820372961</c:v>
                </c:pt>
                <c:pt idx="28">
                  <c:v>-59647525.898509525</c:v>
                </c:pt>
                <c:pt idx="29">
                  <c:v>-62640564.909222282</c:v>
                </c:pt>
                <c:pt idx="30">
                  <c:v>-65711867.302771375</c:v>
                </c:pt>
                <c:pt idx="31">
                  <c:v>-68863778.796464846</c:v>
                </c:pt>
                <c:pt idx="32">
                  <c:v>-72098713.168296769</c:v>
                </c:pt>
                <c:pt idx="33">
                  <c:v>-75419152.878700733</c:v>
                </c:pt>
                <c:pt idx="34">
                  <c:v>-78827649.491258547</c:v>
                </c:pt>
                <c:pt idx="35">
                  <c:v>-82326823.859733537</c:v>
                </c:pt>
                <c:pt idx="36">
                  <c:v>-85919366.044985309</c:v>
                </c:pt>
                <c:pt idx="37">
                  <c:v>-89608034.921130612</c:v>
                </c:pt>
                <c:pt idx="38">
                  <c:v>-93395657.425715908</c:v>
                </c:pt>
                <c:pt idx="39">
                  <c:v>-97285127.403637558</c:v>
                </c:pt>
                <c:pt idx="40">
                  <c:v>-101279403.9890541</c:v>
                </c:pt>
                <c:pt idx="41">
                  <c:v>-105381509.46354632</c:v>
                </c:pt>
                <c:pt idx="42">
                  <c:v>-109594526.52228287</c:v>
                </c:pt>
                <c:pt idx="43">
                  <c:v>-113921594.87290849</c:v>
                </c:pt>
                <c:pt idx="44">
                  <c:v>-118365907.0842663</c:v>
                </c:pt>
                <c:pt idx="45">
                  <c:v>-122930703.59389357</c:v>
                </c:pt>
                <c:pt idx="46">
                  <c:v>-127619266.77446449</c:v>
                </c:pt>
                <c:pt idx="47">
                  <c:v>-132434913.95002137</c:v>
                </c:pt>
                <c:pt idx="48">
                  <c:v>-137380989.24292484</c:v>
                </c:pt>
                <c:pt idx="49">
                  <c:v>-142460854.12201762</c:v>
                </c:pt>
                <c:pt idx="50">
                  <c:v>-147677876.5115698</c:v>
                </c:pt>
                <c:pt idx="51">
                  <c:v>-153035418.30923662</c:v>
                </c:pt>
                <c:pt idx="52">
                  <c:v>-158536821.14961454</c:v>
                </c:pt>
                <c:pt idx="53">
                  <c:v>-164185390.23816764</c:v>
                </c:pt>
                <c:pt idx="54">
                  <c:v>-169984376.0684866</c:v>
                </c:pt>
                <c:pt idx="55">
                  <c:v>-175936953.82428581</c:v>
                </c:pt>
                <c:pt idx="56">
                  <c:v>-182046200.25650772</c:v>
                </c:pt>
                <c:pt idx="57">
                  <c:v>-188315067.81576601</c:v>
                </c:pt>
                <c:pt idx="58">
                  <c:v>-194746355.81154865</c:v>
                </c:pt>
                <c:pt idx="59">
                  <c:v>-201342678.36265019</c:v>
                </c:pt>
                <c:pt idx="60">
                  <c:v>-208106428.898844</c:v>
                </c:pt>
                <c:pt idx="61">
                  <c:v>-215039740.97258317</c:v>
                </c:pt>
                <c:pt idx="62">
                  <c:v>-222144445.14241418</c:v>
                </c:pt>
                <c:pt idx="63">
                  <c:v>-229422021.69779637</c:v>
                </c:pt>
                <c:pt idx="64">
                  <c:v>-236873549.00932202</c:v>
                </c:pt>
                <c:pt idx="65">
                  <c:v>-244499647.31021053</c:v>
                </c:pt>
                <c:pt idx="66">
                  <c:v>-252300417.74590263</c:v>
                </c:pt>
                <c:pt idx="67">
                  <c:v>-260275376.57011977</c:v>
                </c:pt>
                <c:pt idx="68">
                  <c:v>-268423384.41985902</c:v>
                </c:pt>
                <c:pt idx="69">
                  <c:v>-276742570.66992593</c:v>
                </c:pt>
                <c:pt idx="70">
                  <c:v>-285230252.95212412</c:v>
                </c:pt>
                <c:pt idx="71">
                  <c:v>-293882852.0267368</c:v>
                </c:pt>
                <c:pt idx="72">
                  <c:v>-302695802.31646341</c:v>
                </c:pt>
                <c:pt idx="73">
                  <c:v>-311663458.55720264</c:v>
                </c:pt>
                <c:pt idx="74">
                  <c:v>-320778999.18737882</c:v>
                </c:pt>
                <c:pt idx="75">
                  <c:v>-330034327.28888345</c:v>
                </c:pt>
                <c:pt idx="76">
                  <c:v>-339419970.10840356</c:v>
                </c:pt>
                <c:pt idx="77">
                  <c:v>-348924978.42739606</c:v>
                </c:pt>
                <c:pt idx="78">
                  <c:v>-358536827.31051964</c:v>
                </c:pt>
                <c:pt idx="79">
                  <c:v>-368241320.04280901</c:v>
                </c:pt>
                <c:pt idx="80">
                  <c:v>-378022497.36052901</c:v>
                </c:pt>
                <c:pt idx="81">
                  <c:v>-387862554.38254309</c:v>
                </c:pt>
                <c:pt idx="82">
                  <c:v>-397741767.94923562</c:v>
                </c:pt>
                <c:pt idx="83">
                  <c:v>-407638437.36290652</c:v>
                </c:pt>
                <c:pt idx="84">
                  <c:v>-417528841.78301412</c:v>
                </c:pt>
                <c:pt idx="85">
                  <c:v>-427387217.74500555</c:v>
                </c:pt>
                <c:pt idx="86">
                  <c:v>-437185760.42359006</c:v>
                </c:pt>
                <c:pt idx="87">
                  <c:v>-446894652.32917976</c:v>
                </c:pt>
                <c:pt idx="88">
                  <c:v>-456482123.08746958</c:v>
                </c:pt>
                <c:pt idx="89">
                  <c:v>-465914543.78416044</c:v>
                </c:pt>
                <c:pt idx="90">
                  <c:v>-475156559.03807777</c:v>
                </c:pt>
                <c:pt idx="91">
                  <c:v>-484171259.47753668</c:v>
                </c:pt>
                <c:pt idx="92">
                  <c:v>-492920396.62251741</c:v>
                </c:pt>
                <c:pt idx="93">
                  <c:v>-501364641.31152242</c:v>
                </c:pt>
                <c:pt idx="94">
                  <c:v>-509463885.75829041</c:v>
                </c:pt>
                <c:pt idx="95">
                  <c:v>-517177588.09215176</c:v>
                </c:pt>
                <c:pt idx="96">
                  <c:v>-524465156.85167783</c:v>
                </c:pt>
                <c:pt idx="97">
                  <c:v>-531286371.40300059</c:v>
                </c:pt>
                <c:pt idx="98">
                  <c:v>-537601832.69422746</c:v>
                </c:pt>
                <c:pt idx="99">
                  <c:v>-543373437.20113826</c:v>
                </c:pt>
                <c:pt idx="100" formatCode="General">
                  <c:v>-548564865.44291568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8C7-4418-B7BE-0E4200C695E5}"/>
            </c:ext>
          </c:extLst>
        </c:ser>
        <c:ser>
          <c:idx val="4"/>
          <c:order val="6"/>
          <c:tx>
            <c:strRef>
              <c:f>RPlot!$Q$2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RPlot!$Q$4:$Q$104</c:f>
              <c:numCache>
                <c:formatCode>0.00E+00</c:formatCode>
                <c:ptCount val="101"/>
                <c:pt idx="0">
                  <c:v>9112811906.9546814</c:v>
                </c:pt>
                <c:pt idx="1">
                  <c:v>14287150201.377796</c:v>
                </c:pt>
                <c:pt idx="2">
                  <c:v>19379405967.157745</c:v>
                </c:pt>
                <c:pt idx="3">
                  <c:v>24392921308.135452</c:v>
                </c:pt>
                <c:pt idx="4">
                  <c:v>29330883436.992191</c:v>
                </c:pt>
                <c:pt idx="5">
                  <c:v>34196331699.25132</c:v>
                </c:pt>
                <c:pt idx="6">
                  <c:v>38992164078.822136</c:v>
                </c:pt>
                <c:pt idx="7">
                  <c:v>43721143204.968925</c:v>
                </c:pt>
                <c:pt idx="8">
                  <c:v>48385901879.009781</c:v>
                </c:pt>
                <c:pt idx="9">
                  <c:v>52988948136.687096</c:v>
                </c:pt>
                <c:pt idx="10">
                  <c:v>57532669860.220093</c:v>
                </c:pt>
                <c:pt idx="11">
                  <c:v>62019338951.742943</c:v>
                </c:pt>
                <c:pt idx="12">
                  <c:v>66451115077.75547</c:v>
                </c:pt>
                <c:pt idx="13">
                  <c:v>70830048992.066803</c:v>
                </c:pt>
                <c:pt idx="14">
                  <c:v>75158085442.072342</c:v>
                </c:pt>
                <c:pt idx="15">
                  <c:v>79437065661.289963</c:v>
                </c:pt>
                <c:pt idx="16">
                  <c:v>83668729448.409164</c:v>
                </c:pt>
                <c:pt idx="17">
                  <c:v>87854716830.456055</c:v>
                </c:pt>
                <c:pt idx="18">
                  <c:v>91996569305.230362</c:v>
                </c:pt>
                <c:pt idx="19">
                  <c:v>96095730655.251419</c:v>
                </c:pt>
                <c:pt idx="20">
                  <c:v>100153547322.42577</c:v>
                </c:pt>
                <c:pt idx="21">
                  <c:v>104171268329.50755</c:v>
                </c:pt>
                <c:pt idx="22">
                  <c:v>108150044731.02083</c:v>
                </c:pt>
                <c:pt idx="23">
                  <c:v>112090928572.55023</c:v>
                </c:pt>
                <c:pt idx="24">
                  <c:v>115994871333.37611</c:v>
                </c:pt>
                <c:pt idx="25">
                  <c:v>119862721823.04111</c:v>
                </c:pt>
                <c:pt idx="26">
                  <c:v>123695223497.6257</c:v>
                </c:pt>
                <c:pt idx="27">
                  <c:v>127493011156.51932</c:v>
                </c:pt>
                <c:pt idx="28">
                  <c:v>131256606974.18256</c:v>
                </c:pt>
                <c:pt idx="29">
                  <c:v>134986415815.76376</c:v>
                </c:pt>
                <c:pt idx="30">
                  <c:v>138682719777.78186</c:v>
                </c:pt>
                <c:pt idx="31">
                  <c:v>142345671887.57312</c:v>
                </c:pt>
                <c:pt idx="32">
                  <c:v>145975288886.43991</c:v>
                </c:pt>
                <c:pt idx="33">
                  <c:v>149571443011.72128</c:v>
                </c:pt>
                <c:pt idx="34">
                  <c:v>153133852682.20749</c:v>
                </c:pt>
                <c:pt idx="35">
                  <c:v>156662071979.19846</c:v>
                </c:pt>
                <c:pt idx="36">
                  <c:v>160155478801.96497</c:v>
                </c:pt>
                <c:pt idx="37">
                  <c:v>163613261561.17227</c:v>
                </c:pt>
                <c:pt idx="38">
                  <c:v>167034404256.77185</c:v>
                </c:pt>
                <c:pt idx="39">
                  <c:v>170417669767.72656</c:v>
                </c:pt>
                <c:pt idx="40">
                  <c:v>173761581159.44937</c:v>
                </c:pt>
                <c:pt idx="41">
                  <c:v>177064400790.47067</c:v>
                </c:pt>
                <c:pt idx="42">
                  <c:v>180324106973.03311</c:v>
                </c:pt>
                <c:pt idx="43">
                  <c:v>183538367911.12256</c:v>
                </c:pt>
                <c:pt idx="44">
                  <c:v>186704512605.46048</c:v>
                </c:pt>
                <c:pt idx="45">
                  <c:v>189819498375.94122</c:v>
                </c:pt>
                <c:pt idx="46">
                  <c:v>192879874608.44037</c:v>
                </c:pt>
                <c:pt idx="47">
                  <c:v>195881742283.8204</c:v>
                </c:pt>
                <c:pt idx="48">
                  <c:v>198820708791.83612</c:v>
                </c:pt>
                <c:pt idx="49">
                  <c:v>201691837470.71436</c:v>
                </c:pt>
                <c:pt idx="50">
                  <c:v>204489591243.76355</c:v>
                </c:pt>
                <c:pt idx="51">
                  <c:v>207207769646.66901</c:v>
                </c:pt>
                <c:pt idx="52">
                  <c:v>209839438452.34369</c:v>
                </c:pt>
                <c:pt idx="53">
                  <c:v>212376851003.50516</c:v>
                </c:pt>
                <c:pt idx="54">
                  <c:v>214811360255.84491</c:v>
                </c:pt>
                <c:pt idx="55">
                  <c:v>217133320416.0018</c:v>
                </c:pt>
                <c:pt idx="56">
                  <c:v>219331976928.09314</c:v>
                </c:pt>
                <c:pt idx="57">
                  <c:v>221395343420.17737</c:v>
                </c:pt>
                <c:pt idx="58">
                  <c:v>223310064067.71396</c:v>
                </c:pt>
                <c:pt idx="59">
                  <c:v>225061259666.10394</c:v>
                </c:pt>
                <c:pt idx="60">
                  <c:v>226632355530.27829</c:v>
                </c:pt>
                <c:pt idx="61">
                  <c:v>228004889159.41071</c:v>
                </c:pt>
                <c:pt idx="62">
                  <c:v>229158295424.2048</c:v>
                </c:pt>
                <c:pt idx="63">
                  <c:v>230069666860.49887</c:v>
                </c:pt>
                <c:pt idx="64">
                  <c:v>230713486497.34241</c:v>
                </c:pt>
                <c:pt idx="65">
                  <c:v>231061330526.19882</c:v>
                </c:pt>
                <c:pt idx="66">
                  <c:v>231081538052.86829</c:v>
                </c:pt>
                <c:pt idx="67">
                  <c:v>230738845195.98444</c:v>
                </c:pt>
                <c:pt idx="68">
                  <c:v>229993980947.57773</c:v>
                </c:pt>
                <c:pt idx="69">
                  <c:v>228803222548.99716</c:v>
                </c:pt>
                <c:pt idx="70">
                  <c:v>227117908735.16699</c:v>
                </c:pt>
                <c:pt idx="71">
                  <c:v>224883910161.89001</c:v>
                </c:pt>
                <c:pt idx="72">
                  <c:v>222041057785.6492</c:v>
                </c:pt>
                <c:pt idx="73">
                  <c:v>218522532082.5809</c:v>
                </c:pt>
                <c:pt idx="74">
                  <c:v>214254218989.49316</c:v>
                </c:pt>
                <c:pt idx="75">
                  <c:v>209154042597.55057</c:v>
                </c:pt>
                <c:pt idx="76">
                  <c:v>203131290265.66199</c:v>
                </c:pt>
                <c:pt idx="77">
                  <c:v>196085953353.15201</c:v>
                </c:pt>
                <c:pt idx="78">
                  <c:v>187908116677.98538</c:v>
                </c:pt>
                <c:pt idx="79">
                  <c:v>178477442624.97266</c:v>
                </c:pt>
                <c:pt idx="80">
                  <c:v>167662812124.24506</c:v>
                </c:pt>
                <c:pt idx="81">
                  <c:v>155322205027.16901</c:v>
                </c:pt>
                <c:pt idx="82">
                  <c:v>141302927114.99585</c:v>
                </c:pt>
                <c:pt idx="83">
                  <c:v>125442320151.80194</c:v>
                </c:pt>
                <c:pt idx="84">
                  <c:v>107569124504.11203</c:v>
                </c:pt>
                <c:pt idx="85">
                  <c:v>87505699359.65509</c:v>
                </c:pt>
                <c:pt idx="86">
                  <c:v>65071340404.803391</c:v>
                </c:pt>
                <c:pt idx="87">
                  <c:v>40086963651.12825</c:v>
                </c:pt>
                <c:pt idx="88">
                  <c:v>12381438626.013489</c:v>
                </c:pt>
                <c:pt idx="89">
                  <c:v>-18200157639.41803</c:v>
                </c:pt>
                <c:pt idx="90">
                  <c:v>-51786148486.761925</c:v>
                </c:pt>
                <c:pt idx="91">
                  <c:v>-88465625888.455994</c:v>
                </c:pt>
                <c:pt idx="92">
                  <c:v>-128273675936.93085</c:v>
                </c:pt>
                <c:pt idx="93">
                  <c:v>-171174856576.72192</c:v>
                </c:pt>
                <c:pt idx="94">
                  <c:v>-217045726796.81879</c:v>
                </c:pt>
                <c:pt idx="95">
                  <c:v>-265657720925.33008</c:v>
                </c:pt>
                <c:pt idx="96">
                  <c:v>-316662196068.70654</c:v>
                </c:pt>
                <c:pt idx="97">
                  <c:v>-369579960667.05945</c:v>
                </c:pt>
                <c:pt idx="98">
                  <c:v>-423797878635.51245</c:v>
                </c:pt>
                <c:pt idx="99">
                  <c:v>-478575070627.65582</c:v>
                </c:pt>
                <c:pt idx="100" formatCode="General">
                  <c:v>-533060649729.05859</c:v>
                </c:pt>
              </c:numCache>
            </c:numRef>
          </c:xVal>
          <c:yVal>
            <c:numRef>
              <c:f>RPlot!$S$4:$S$104</c:f>
              <c:numCache>
                <c:formatCode>0.00E+00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8C7-4418-B7BE-0E4200C69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Δ</a:t>
            </a:r>
            <a:r>
              <a:rPr lang="en-US"/>
              <a:t>v (total) for Plane</a:t>
            </a:r>
            <a:r>
              <a:rPr lang="en-US" baseline="0"/>
              <a:t> Change Type</a:t>
            </a:r>
            <a:endParaRPr lang="en-US"/>
          </a:p>
        </c:rich>
      </c:tx>
      <c:layout>
        <c:manualLayout>
          <c:xMode val="edge"/>
          <c:yMode val="edge"/>
          <c:x val="0.16419006586440846"/>
          <c:y val="5.43109184617779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RPlot!$AK$3:$AK$6</c:f>
              <c:strCache>
                <c:ptCount val="4"/>
                <c:pt idx="0">
                  <c:v>Direct</c:v>
                </c:pt>
                <c:pt idx="1">
                  <c:v>90°</c:v>
                </c:pt>
                <c:pt idx="2">
                  <c:v>AN</c:v>
                </c:pt>
                <c:pt idx="3">
                  <c:v>DN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RPlot!$AK$3:$AK$6</c:f>
              <c:strCache>
                <c:ptCount val="4"/>
                <c:pt idx="0">
                  <c:v>Direct</c:v>
                </c:pt>
                <c:pt idx="1">
                  <c:v>90°</c:v>
                </c:pt>
                <c:pt idx="2">
                  <c:v>AN</c:v>
                </c:pt>
                <c:pt idx="3">
                  <c:v>DN</c:v>
                </c:pt>
              </c:strCache>
            </c:strRef>
          </c:cat>
          <c:val>
            <c:numRef>
              <c:f>RPlot!$AO$3:$AO$6</c:f>
              <c:numCache>
                <c:formatCode>0.0</c:formatCode>
                <c:ptCount val="4"/>
                <c:pt idx="0">
                  <c:v>20194.786959495268</c:v>
                </c:pt>
                <c:pt idx="1">
                  <c:v>20204.677408039181</c:v>
                </c:pt>
                <c:pt idx="2">
                  <c:v>21958.58017111375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C-478D-B466-1B03CB4DDCC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Optimum Transfer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RPlot!$AK$7</c:f>
              <c:strCache>
                <c:ptCount val="1"/>
                <c:pt idx="0">
                  <c:v>Optimum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RPlot!$AL$2:$AO$2</c:f>
              <c:strCache>
                <c:ptCount val="4"/>
                <c:pt idx="0">
                  <c:v>Vi</c:v>
                </c:pt>
                <c:pt idx="1">
                  <c:v>Vp</c:v>
                </c:pt>
                <c:pt idx="2">
                  <c:v>Vc</c:v>
                </c:pt>
                <c:pt idx="3">
                  <c:v>Vt</c:v>
                </c:pt>
              </c:strCache>
            </c:strRef>
          </c:cat>
          <c:val>
            <c:numRef>
              <c:f>RPlot!$AL$7:$AO$7</c:f>
              <c:numCache>
                <c:formatCode>0.0</c:formatCode>
                <c:ptCount val="4"/>
                <c:pt idx="0">
                  <c:v>9096.8509781538123</c:v>
                </c:pt>
                <c:pt idx="1">
                  <c:v>0</c:v>
                </c:pt>
                <c:pt idx="2">
                  <c:v>11097.935981341456</c:v>
                </c:pt>
                <c:pt idx="3">
                  <c:v>20194.786959495268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9E-415B-952B-49866C184BF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Launch Window Plot (</a:t>
            </a:r>
            <a:r>
              <a:rPr lang="el-GR"/>
              <a:t>Δ</a:t>
            </a:r>
            <a:r>
              <a:rPr lang="en-US"/>
              <a:t>v [m/s])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1471801925722145E-2"/>
          <c:y val="0.17171296296296298"/>
          <c:w val="0.85162971547401145"/>
          <c:h val="0.62361876640419944"/>
        </c:manualLayout>
      </c:layout>
      <c:surfaceChart>
        <c:wireframe val="1"/>
        <c:ser>
          <c:idx val="0"/>
          <c:order val="0"/>
          <c:tx>
            <c:strRef>
              <c:f>RPlot!$EP$3</c:f>
              <c:strCache>
                <c:ptCount val="1"/>
                <c:pt idx="0">
                  <c:v>1y 270d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RPlot!$AT$3:$EO$3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30000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2-4398-90F9-0635F73C17C7}"/>
            </c:ext>
          </c:extLst>
        </c:ser>
        <c:ser>
          <c:idx val="1"/>
          <c:order val="1"/>
          <c:tx>
            <c:strRef>
              <c:f>RPlot!$EP$4</c:f>
              <c:strCache>
                <c:ptCount val="1"/>
                <c:pt idx="0">
                  <c:v>1y 331d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RPlot!$AT$4:$EO$4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30000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92-4398-90F9-0635F73C17C7}"/>
            </c:ext>
          </c:extLst>
        </c:ser>
        <c:ser>
          <c:idx val="2"/>
          <c:order val="2"/>
          <c:tx>
            <c:strRef>
              <c:f>RPlot!$EP$5</c:f>
              <c:strCache>
                <c:ptCount val="1"/>
                <c:pt idx="0">
                  <c:v>2y 27d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RPlot!$AT$5:$EO$5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30000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92-4398-90F9-0635F73C17C7}"/>
            </c:ext>
          </c:extLst>
        </c:ser>
        <c:ser>
          <c:idx val="3"/>
          <c:order val="3"/>
          <c:tx>
            <c:strRef>
              <c:f>RPlot!$EP$6</c:f>
              <c:strCache>
                <c:ptCount val="1"/>
                <c:pt idx="0">
                  <c:v>2y 88d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RPlot!$AT$6:$EO$6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27196.388257356801</c:v>
                </c:pt>
                <c:pt idx="65">
                  <c:v>27988.461772975839</c:v>
                </c:pt>
                <c:pt idx="66">
                  <c:v>28830.965771770541</c:v>
                </c:pt>
                <c:pt idx="67">
                  <c:v>29719.665596972634</c:v>
                </c:pt>
                <c:pt idx="68">
                  <c:v>30000</c:v>
                </c:pt>
                <c:pt idx="69">
                  <c:v>30000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92-4398-90F9-0635F73C17C7}"/>
            </c:ext>
          </c:extLst>
        </c:ser>
        <c:ser>
          <c:idx val="4"/>
          <c:order val="4"/>
          <c:tx>
            <c:strRef>
              <c:f>RPlot!$EP$7</c:f>
              <c:strCache>
                <c:ptCount val="1"/>
                <c:pt idx="0">
                  <c:v>2y 149d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RPlot!$AT$7:$EO$7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29537.840994168579</c:v>
                </c:pt>
                <c:pt idx="36">
                  <c:v>28999.510776401468</c:v>
                </c:pt>
                <c:pt idx="37">
                  <c:v>28539.769483500088</c:v>
                </c:pt>
                <c:pt idx="38">
                  <c:v>28262.53492529118</c:v>
                </c:pt>
                <c:pt idx="39">
                  <c:v>27724.148179393906</c:v>
                </c:pt>
                <c:pt idx="40">
                  <c:v>27138.6944993248</c:v>
                </c:pt>
                <c:pt idx="41">
                  <c:v>26570.830377644259</c:v>
                </c:pt>
                <c:pt idx="42">
                  <c:v>26023.707144645188</c:v>
                </c:pt>
                <c:pt idx="43">
                  <c:v>25500.865154560113</c:v>
                </c:pt>
                <c:pt idx="44">
                  <c:v>25006.238341610191</c:v>
                </c:pt>
                <c:pt idx="45">
                  <c:v>24527.904010889142</c:v>
                </c:pt>
                <c:pt idx="46">
                  <c:v>23883.844493308919</c:v>
                </c:pt>
                <c:pt idx="47">
                  <c:v>23379.767635420019</c:v>
                </c:pt>
                <c:pt idx="48">
                  <c:v>22970.119355598872</c:v>
                </c:pt>
                <c:pt idx="49">
                  <c:v>22638.25732209257</c:v>
                </c:pt>
                <c:pt idx="50">
                  <c:v>22378.644957123033</c:v>
                </c:pt>
                <c:pt idx="51">
                  <c:v>22190.476773326423</c:v>
                </c:pt>
                <c:pt idx="52">
                  <c:v>22074.974126867368</c:v>
                </c:pt>
                <c:pt idx="53">
                  <c:v>22034.048293992528</c:v>
                </c:pt>
                <c:pt idx="54">
                  <c:v>22069.54421373026</c:v>
                </c:pt>
                <c:pt idx="55">
                  <c:v>22182.775130043759</c:v>
                </c:pt>
                <c:pt idx="56">
                  <c:v>22374.241375276666</c:v>
                </c:pt>
                <c:pt idx="57">
                  <c:v>22643.493944479604</c:v>
                </c:pt>
                <c:pt idx="58">
                  <c:v>22989.120800996236</c:v>
                </c:pt>
                <c:pt idx="59">
                  <c:v>23408.830428396388</c:v>
                </c:pt>
                <c:pt idx="60">
                  <c:v>23899.600325742413</c:v>
                </c:pt>
                <c:pt idx="61">
                  <c:v>24457.856651114889</c:v>
                </c:pt>
                <c:pt idx="62">
                  <c:v>25079.656322021907</c:v>
                </c:pt>
                <c:pt idx="63">
                  <c:v>25760.851708706279</c:v>
                </c:pt>
                <c:pt idx="64">
                  <c:v>26497.227180197282</c:v>
                </c:pt>
                <c:pt idx="65">
                  <c:v>27284.604068703142</c:v>
                </c:pt>
                <c:pt idx="66">
                  <c:v>28118.915460348417</c:v>
                </c:pt>
                <c:pt idx="67">
                  <c:v>28996.254854150873</c:v>
                </c:pt>
                <c:pt idx="68">
                  <c:v>29912.903748564218</c:v>
                </c:pt>
                <c:pt idx="69">
                  <c:v>30000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92-4398-90F9-0635F73C17C7}"/>
            </c:ext>
          </c:extLst>
        </c:ser>
        <c:ser>
          <c:idx val="5"/>
          <c:order val="5"/>
          <c:tx>
            <c:strRef>
              <c:f>RPlot!$EP$8</c:f>
              <c:strCache>
                <c:ptCount val="1"/>
                <c:pt idx="0">
                  <c:v>2y 210d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RPlot!$AT$8:$EO$8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29543.892379284527</c:v>
                </c:pt>
                <c:pt idx="34">
                  <c:v>28937.881477202995</c:v>
                </c:pt>
                <c:pt idx="35">
                  <c:v>28350.840827478689</c:v>
                </c:pt>
                <c:pt idx="36">
                  <c:v>27793.396537769175</c:v>
                </c:pt>
                <c:pt idx="37">
                  <c:v>27287.062946371407</c:v>
                </c:pt>
                <c:pt idx="38">
                  <c:v>26882.64251071414</c:v>
                </c:pt>
                <c:pt idx="39">
                  <c:v>26543.16364158949</c:v>
                </c:pt>
                <c:pt idx="40">
                  <c:v>25974.992804756464</c:v>
                </c:pt>
                <c:pt idx="41">
                  <c:v>25426.594675192642</c:v>
                </c:pt>
                <c:pt idx="42">
                  <c:v>24901.115726879674</c:v>
                </c:pt>
                <c:pt idx="43">
                  <c:v>24402.065812510125</c:v>
                </c:pt>
                <c:pt idx="44">
                  <c:v>23933.316043981005</c:v>
                </c:pt>
                <c:pt idx="45">
                  <c:v>23499.079912006524</c:v>
                </c:pt>
                <c:pt idx="46">
                  <c:v>23058.907616316246</c:v>
                </c:pt>
                <c:pt idx="47">
                  <c:v>22533.251810992078</c:v>
                </c:pt>
                <c:pt idx="48">
                  <c:v>22129.429695048995</c:v>
                </c:pt>
                <c:pt idx="49">
                  <c:v>21815.826775466943</c:v>
                </c:pt>
                <c:pt idx="50">
                  <c:v>21580.69648948696</c:v>
                </c:pt>
                <c:pt idx="51">
                  <c:v>21420.154945120059</c:v>
                </c:pt>
                <c:pt idx="52">
                  <c:v>21333.609353293716</c:v>
                </c:pt>
                <c:pt idx="53">
                  <c:v>21321.716799384812</c:v>
                </c:pt>
                <c:pt idx="54">
                  <c:v>21385.342684582087</c:v>
                </c:pt>
                <c:pt idx="55">
                  <c:v>21524.982770318828</c:v>
                </c:pt>
                <c:pt idx="56">
                  <c:v>21740.448049242532</c:v>
                </c:pt>
                <c:pt idx="57">
                  <c:v>22030.72926654225</c:v>
                </c:pt>
                <c:pt idx="58">
                  <c:v>22393.993945067239</c:v>
                </c:pt>
                <c:pt idx="59">
                  <c:v>22827.675814274065</c:v>
                </c:pt>
                <c:pt idx="60">
                  <c:v>23328.618194798095</c:v>
                </c:pt>
                <c:pt idx="61">
                  <c:v>23893.237829056277</c:v>
                </c:pt>
                <c:pt idx="62">
                  <c:v>24517.68422605854</c:v>
                </c:pt>
                <c:pt idx="63">
                  <c:v>25197.979157066526</c:v>
                </c:pt>
                <c:pt idx="64">
                  <c:v>25930.129163380898</c:v>
                </c:pt>
                <c:pt idx="65">
                  <c:v>26710.20983350715</c:v>
                </c:pt>
                <c:pt idx="66">
                  <c:v>27534.424015838682</c:v>
                </c:pt>
                <c:pt idx="67">
                  <c:v>28399.138353670598</c:v>
                </c:pt>
                <c:pt idx="68">
                  <c:v>29300.902220711701</c:v>
                </c:pt>
                <c:pt idx="69">
                  <c:v>30000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92-4398-90F9-0635F73C17C7}"/>
            </c:ext>
          </c:extLst>
        </c:ser>
        <c:ser>
          <c:idx val="6"/>
          <c:order val="6"/>
          <c:tx>
            <c:strRef>
              <c:f>RPlot!$EP$9</c:f>
              <c:strCache>
                <c:ptCount val="1"/>
                <c:pt idx="0">
                  <c:v>2y 270d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RPlot!$AT$9:$EO$9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29875.091306705977</c:v>
                </c:pt>
                <c:pt idx="32">
                  <c:v>29242.905251445831</c:v>
                </c:pt>
                <c:pt idx="33">
                  <c:v>28620.536843871902</c:v>
                </c:pt>
                <c:pt idx="34">
                  <c:v>28010.730809179768</c:v>
                </c:pt>
                <c:pt idx="35">
                  <c:v>27417.682072505893</c:v>
                </c:pt>
                <c:pt idx="36">
                  <c:v>26848.338559556796</c:v>
                </c:pt>
                <c:pt idx="37">
                  <c:v>26315.474568953301</c:v>
                </c:pt>
                <c:pt idx="38">
                  <c:v>25845.928423871857</c:v>
                </c:pt>
                <c:pt idx="39">
                  <c:v>25506.729778420231</c:v>
                </c:pt>
                <c:pt idx="40">
                  <c:v>25047.885617610289</c:v>
                </c:pt>
                <c:pt idx="41">
                  <c:v>24515.276115694927</c:v>
                </c:pt>
                <c:pt idx="42">
                  <c:v>24007.396733877518</c:v>
                </c:pt>
                <c:pt idx="43">
                  <c:v>23527.707717180656</c:v>
                </c:pt>
                <c:pt idx="44">
                  <c:v>23079.998958365824</c:v>
                </c:pt>
                <c:pt idx="45">
                  <c:v>22668.363263215069</c:v>
                </c:pt>
                <c:pt idx="46">
                  <c:v>22297.147202254837</c:v>
                </c:pt>
                <c:pt idx="47">
                  <c:v>21896.98186971977</c:v>
                </c:pt>
                <c:pt idx="48">
                  <c:v>21482.517163532146</c:v>
                </c:pt>
                <c:pt idx="49">
                  <c:v>21176.581219975371</c:v>
                </c:pt>
                <c:pt idx="50">
                  <c:v>20957.392022098549</c:v>
                </c:pt>
                <c:pt idx="51">
                  <c:v>20816.67674084894</c:v>
                </c:pt>
                <c:pt idx="52">
                  <c:v>20751.556630522908</c:v>
                </c:pt>
                <c:pt idx="53">
                  <c:v>20761.283725583413</c:v>
                </c:pt>
                <c:pt idx="54">
                  <c:v>20845.732213156465</c:v>
                </c:pt>
                <c:pt idx="55">
                  <c:v>21004.636437281097</c:v>
                </c:pt>
                <c:pt idx="56">
                  <c:v>21237.208496616007</c:v>
                </c:pt>
                <c:pt idx="57">
                  <c:v>21541.983039587147</c:v>
                </c:pt>
                <c:pt idx="58">
                  <c:v>21916.808969640424</c:v>
                </c:pt>
                <c:pt idx="59">
                  <c:v>22358.932333627316</c:v>
                </c:pt>
                <c:pt idx="60">
                  <c:v>22865.126549444452</c:v>
                </c:pt>
                <c:pt idx="61">
                  <c:v>23431.837321064573</c:v>
                </c:pt>
                <c:pt idx="62">
                  <c:v>24055.320129453386</c:v>
                </c:pt>
                <c:pt idx="63">
                  <c:v>24731.758130084869</c:v>
                </c:pt>
                <c:pt idx="64">
                  <c:v>25457.355455122441</c:v>
                </c:pt>
                <c:pt idx="65">
                  <c:v>26228.40572350131</c:v>
                </c:pt>
                <c:pt idx="66">
                  <c:v>27041.338273857495</c:v>
                </c:pt>
                <c:pt idx="67">
                  <c:v>27892.745863524902</c:v>
                </c:pt>
                <c:pt idx="68">
                  <c:v>28779.397854587936</c:v>
                </c:pt>
                <c:pt idx="69">
                  <c:v>29698.242650028915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92-4398-90F9-0635F73C17C7}"/>
            </c:ext>
          </c:extLst>
        </c:ser>
        <c:ser>
          <c:idx val="7"/>
          <c:order val="7"/>
          <c:tx>
            <c:strRef>
              <c:f>RPlot!$EP$10</c:f>
              <c:strCache>
                <c:ptCount val="1"/>
                <c:pt idx="0">
                  <c:v>2y 331d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RPlot!$AT$10:$EO$10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29805.806480443985</c:v>
                </c:pt>
                <c:pt idx="31">
                  <c:v>29160.703691947208</c:v>
                </c:pt>
                <c:pt idx="32">
                  <c:v>28524.35327628694</c:v>
                </c:pt>
                <c:pt idx="33">
                  <c:v>27898.350577125926</c:v>
                </c:pt>
                <c:pt idx="34">
                  <c:v>27284.874189243998</c:v>
                </c:pt>
                <c:pt idx="35">
                  <c:v>26687.045735889122</c:v>
                </c:pt>
                <c:pt idx="36">
                  <c:v>26109.649635750378</c:v>
                </c:pt>
                <c:pt idx="37">
                  <c:v>25560.713220891503</c:v>
                </c:pt>
                <c:pt idx="38">
                  <c:v>25055.38179121435</c:v>
                </c:pt>
                <c:pt idx="39">
                  <c:v>24626.849397607046</c:v>
                </c:pt>
                <c:pt idx="40">
                  <c:v>24308.505485040343</c:v>
                </c:pt>
                <c:pt idx="41">
                  <c:v>23788.290872269004</c:v>
                </c:pt>
                <c:pt idx="42">
                  <c:v>23294.293984016469</c:v>
                </c:pt>
                <c:pt idx="43">
                  <c:v>22829.911334525954</c:v>
                </c:pt>
                <c:pt idx="44">
                  <c:v>22398.840017273254</c:v>
                </c:pt>
                <c:pt idx="45">
                  <c:v>22005.044698814905</c:v>
                </c:pt>
                <c:pt idx="46">
                  <c:v>21652.702717229207</c:v>
                </c:pt>
                <c:pt idx="47">
                  <c:v>21346.123127923631</c:v>
                </c:pt>
                <c:pt idx="48">
                  <c:v>20987.271117097116</c:v>
                </c:pt>
                <c:pt idx="49">
                  <c:v>20677.606755754769</c:v>
                </c:pt>
                <c:pt idx="50">
                  <c:v>20466.395498088787</c:v>
                </c:pt>
                <c:pt idx="51">
                  <c:v>20338.742477010703</c:v>
                </c:pt>
                <c:pt idx="52">
                  <c:v>20288.729260755121</c:v>
                </c:pt>
                <c:pt idx="53">
                  <c:v>20313.955015103464</c:v>
                </c:pt>
                <c:pt idx="54">
                  <c:v>20413.252040291605</c:v>
                </c:pt>
                <c:pt idx="55">
                  <c:v>20585.62789845356</c:v>
                </c:pt>
                <c:pt idx="56">
                  <c:v>20829.767880657146</c:v>
                </c:pt>
                <c:pt idx="57">
                  <c:v>21143.83437660836</c:v>
                </c:pt>
                <c:pt idx="58">
                  <c:v>21525.436830430794</c:v>
                </c:pt>
                <c:pt idx="59">
                  <c:v>21971.697551106365</c:v>
                </c:pt>
                <c:pt idx="60">
                  <c:v>22479.363587686632</c:v>
                </c:pt>
                <c:pt idx="61">
                  <c:v>23044.931593111571</c:v>
                </c:pt>
                <c:pt idx="62">
                  <c:v>23664.765511923521</c:v>
                </c:pt>
                <c:pt idx="63">
                  <c:v>24335.196416121704</c:v>
                </c:pt>
                <c:pt idx="64">
                  <c:v>25052.600920450306</c:v>
                </c:pt>
                <c:pt idx="65">
                  <c:v>25813.45771421352</c:v>
                </c:pt>
                <c:pt idx="66">
                  <c:v>26614.385088536234</c:v>
                </c:pt>
                <c:pt idx="67">
                  <c:v>27452.162562630467</c:v>
                </c:pt>
                <c:pt idx="68">
                  <c:v>28323.74004409527</c:v>
                </c:pt>
                <c:pt idx="69">
                  <c:v>29226.23802257522</c:v>
                </c:pt>
                <c:pt idx="70">
                  <c:v>30000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92-4398-90F9-0635F73C17C7}"/>
            </c:ext>
          </c:extLst>
        </c:ser>
        <c:ser>
          <c:idx val="8"/>
          <c:order val="8"/>
          <c:tx>
            <c:strRef>
              <c:f>RPlot!$EP$11</c:f>
              <c:strCache>
                <c:ptCount val="1"/>
                <c:pt idx="0">
                  <c:v>3y 27d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RPlot!$AT$11:$EO$11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29920.883324537979</c:v>
                </c:pt>
                <c:pt idx="30">
                  <c:v>29261.694455661433</c:v>
                </c:pt>
                <c:pt idx="31">
                  <c:v>28611.002606431102</c:v>
                </c:pt>
                <c:pt idx="32">
                  <c:v>27969.891438258193</c:v>
                </c:pt>
                <c:pt idx="33">
                  <c:v>27339.741869860722</c:v>
                </c:pt>
                <c:pt idx="34">
                  <c:v>26722.355756962686</c:v>
                </c:pt>
                <c:pt idx="35">
                  <c:v>26120.170791221382</c:v>
                </c:pt>
                <c:pt idx="36">
                  <c:v>25536.66492252436</c:v>
                </c:pt>
                <c:pt idx="37">
                  <c:v>24977.187038311633</c:v>
                </c:pt>
                <c:pt idx="38">
                  <c:v>24450.842243730574</c:v>
                </c:pt>
                <c:pt idx="39">
                  <c:v>23975.317456124423</c:v>
                </c:pt>
                <c:pt idx="40">
                  <c:v>23591.295295731528</c:v>
                </c:pt>
                <c:pt idx="41">
                  <c:v>23209.013089926932</c:v>
                </c:pt>
                <c:pt idx="42">
                  <c:v>22725.501563439761</c:v>
                </c:pt>
                <c:pt idx="43">
                  <c:v>22272.736230988532</c:v>
                </c:pt>
                <c:pt idx="44">
                  <c:v>21854.315199879402</c:v>
                </c:pt>
                <c:pt idx="45">
                  <c:v>21474.073948318495</c:v>
                </c:pt>
                <c:pt idx="46">
                  <c:v>21136.026056710372</c:v>
                </c:pt>
                <c:pt idx="47">
                  <c:v>20844.279548292983</c:v>
                </c:pt>
                <c:pt idx="48">
                  <c:v>20602.928125234048</c:v>
                </c:pt>
                <c:pt idx="49">
                  <c:v>20287.790613252546</c:v>
                </c:pt>
                <c:pt idx="50">
                  <c:v>20076.791169834745</c:v>
                </c:pt>
                <c:pt idx="51">
                  <c:v>19956.278575250886</c:v>
                </c:pt>
                <c:pt idx="52">
                  <c:v>19916.080456464762</c:v>
                </c:pt>
                <c:pt idx="53">
                  <c:v>19951.762415430258</c:v>
                </c:pt>
                <c:pt idx="54">
                  <c:v>20061.022404294839</c:v>
                </c:pt>
                <c:pt idx="55">
                  <c:v>20242.158721061198</c:v>
                </c:pt>
                <c:pt idx="56">
                  <c:v>20493.389162525451</c:v>
                </c:pt>
                <c:pt idx="57">
                  <c:v>20812.573461982473</c:v>
                </c:pt>
                <c:pt idx="58">
                  <c:v>21197.14500640941</c:v>
                </c:pt>
                <c:pt idx="59">
                  <c:v>21644.150916872175</c:v>
                </c:pt>
                <c:pt idx="60">
                  <c:v>22150.342218575843</c:v>
                </c:pt>
                <c:pt idx="61">
                  <c:v>22712.279020317012</c:v>
                </c:pt>
                <c:pt idx="62">
                  <c:v>23326.430786161654</c:v>
                </c:pt>
                <c:pt idx="63">
                  <c:v>23989.261742861556</c:v>
                </c:pt>
                <c:pt idx="64">
                  <c:v>24697.297371725304</c:v>
                </c:pt>
                <c:pt idx="65">
                  <c:v>25447.172552534488</c:v>
                </c:pt>
                <c:pt idx="66">
                  <c:v>26235.66272830555</c:v>
                </c:pt>
                <c:pt idx="67">
                  <c:v>27059.701328763655</c:v>
                </c:pt>
                <c:pt idx="68">
                  <c:v>27916.386364174512</c:v>
                </c:pt>
                <c:pt idx="69">
                  <c:v>28802.979043382024</c:v>
                </c:pt>
                <c:pt idx="70">
                  <c:v>29716.896854962903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92-4398-90F9-0635F73C17C7}"/>
            </c:ext>
          </c:extLst>
        </c:ser>
        <c:ser>
          <c:idx val="9"/>
          <c:order val="9"/>
          <c:tx>
            <c:strRef>
              <c:f>RPlot!$EP$12</c:f>
              <c:strCache>
                <c:ptCount val="1"/>
                <c:pt idx="0">
                  <c:v>3y 88d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RPlot!$AT$12:$EO$12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29520.35359432195</c:v>
                </c:pt>
                <c:pt idx="30">
                  <c:v>28854.077430532052</c:v>
                </c:pt>
                <c:pt idx="31">
                  <c:v>28197.181242547951</c:v>
                </c:pt>
                <c:pt idx="32">
                  <c:v>27550.660306425365</c:v>
                </c:pt>
                <c:pt idx="33">
                  <c:v>26915.746179420847</c:v>
                </c:pt>
                <c:pt idx="34">
                  <c:v>26293.986897829411</c:v>
                </c:pt>
                <c:pt idx="35">
                  <c:v>25687.377601117856</c:v>
                </c:pt>
                <c:pt idx="36">
                  <c:v>25098.591056985715</c:v>
                </c:pt>
                <c:pt idx="37">
                  <c:v>24531.42103297529</c:v>
                </c:pt>
                <c:pt idx="38">
                  <c:v>23991.719182890545</c:v>
                </c:pt>
                <c:pt idx="39">
                  <c:v>23489.60009408923</c:v>
                </c:pt>
                <c:pt idx="40">
                  <c:v>23045.360250291997</c:v>
                </c:pt>
                <c:pt idx="41">
                  <c:v>22708.352231269819</c:v>
                </c:pt>
                <c:pt idx="42">
                  <c:v>22273.440008942573</c:v>
                </c:pt>
                <c:pt idx="43">
                  <c:v>21828.953350029737</c:v>
                </c:pt>
                <c:pt idx="44">
                  <c:v>21419.59103181196</c:v>
                </c:pt>
                <c:pt idx="45">
                  <c:v>21049.062391070111</c:v>
                </c:pt>
                <c:pt idx="46">
                  <c:v>20721.227168354351</c:v>
                </c:pt>
                <c:pt idx="47">
                  <c:v>20440.010567113739</c:v>
                </c:pt>
                <c:pt idx="48">
                  <c:v>20209.29510367128</c:v>
                </c:pt>
                <c:pt idx="49">
                  <c:v>19984.719884087666</c:v>
                </c:pt>
                <c:pt idx="50">
                  <c:v>19765.799405288242</c:v>
                </c:pt>
                <c:pt idx="51">
                  <c:v>19647.159720846128</c:v>
                </c:pt>
                <c:pt idx="52">
                  <c:v>19612.361779688727</c:v>
                </c:pt>
                <c:pt idx="53">
                  <c:v>19654.365455769497</c:v>
                </c:pt>
                <c:pt idx="54">
                  <c:v>19769.595784632227</c:v>
                </c:pt>
                <c:pt idx="55">
                  <c:v>19955.647401352155</c:v>
                </c:pt>
                <c:pt idx="56">
                  <c:v>20210.323048621249</c:v>
                </c:pt>
                <c:pt idx="57">
                  <c:v>20531.241300027192</c:v>
                </c:pt>
                <c:pt idx="58">
                  <c:v>20915.713184663051</c:v>
                </c:pt>
                <c:pt idx="59">
                  <c:v>21360.749717538009</c:v>
                </c:pt>
                <c:pt idx="60">
                  <c:v>21863.128619603431</c:v>
                </c:pt>
                <c:pt idx="61">
                  <c:v>22419.481036737008</c:v>
                </c:pt>
                <c:pt idx="62">
                  <c:v>23026.377059883132</c:v>
                </c:pt>
                <c:pt idx="63">
                  <c:v>23680.399555266671</c:v>
                </c:pt>
                <c:pt idx="64">
                  <c:v>24378.20217991589</c:v>
                </c:pt>
                <c:pt idx="65">
                  <c:v>25116.551132610683</c:v>
                </c:pt>
                <c:pt idx="66">
                  <c:v>25892.352159565071</c:v>
                </c:pt>
                <c:pt idx="67">
                  <c:v>26702.665133256021</c:v>
                </c:pt>
                <c:pt idx="68">
                  <c:v>27544.709341496589</c:v>
                </c:pt>
                <c:pt idx="69">
                  <c:v>28415.860938171918</c:v>
                </c:pt>
                <c:pt idx="70">
                  <c:v>29313.645996373998</c:v>
                </c:pt>
                <c:pt idx="71">
                  <c:v>30000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92-4398-90F9-0635F73C17C7}"/>
            </c:ext>
          </c:extLst>
        </c:ser>
        <c:ser>
          <c:idx val="10"/>
          <c:order val="10"/>
          <c:tx>
            <c:strRef>
              <c:f>RPlot!$EP$13</c:f>
              <c:strCache>
                <c:ptCount val="1"/>
                <c:pt idx="0">
                  <c:v>3y 149d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RPlot!$AT$13:$EO$13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29917.717203593569</c:v>
                </c:pt>
                <c:pt idx="29">
                  <c:v>29234.384588383891</c:v>
                </c:pt>
                <c:pt idx="30">
                  <c:v>28560.469216542417</c:v>
                </c:pt>
                <c:pt idx="31">
                  <c:v>27896.74556567238</c:v>
                </c:pt>
                <c:pt idx="32">
                  <c:v>27244.144916356243</c:v>
                </c:pt>
                <c:pt idx="33">
                  <c:v>26603.793473502279</c:v>
                </c:pt>
                <c:pt idx="34">
                  <c:v>25977.066060868165</c:v>
                </c:pt>
                <c:pt idx="35">
                  <c:v>25365.667335051403</c:v>
                </c:pt>
                <c:pt idx="36">
                  <c:v>24771.765708182982</c:v>
                </c:pt>
                <c:pt idx="37">
                  <c:v>24198.232035635741</c:v>
                </c:pt>
                <c:pt idx="38">
                  <c:v>23649.111200161962</c:v>
                </c:pt>
                <c:pt idx="39">
                  <c:v>23130.6485676339</c:v>
                </c:pt>
                <c:pt idx="40">
                  <c:v>22653.804993853453</c:v>
                </c:pt>
                <c:pt idx="41">
                  <c:v>22241.378534612199</c:v>
                </c:pt>
                <c:pt idx="42">
                  <c:v>21916.978752073002</c:v>
                </c:pt>
                <c:pt idx="43">
                  <c:v>21477.76349502294</c:v>
                </c:pt>
                <c:pt idx="44">
                  <c:v>21074.238315257979</c:v>
                </c:pt>
                <c:pt idx="45">
                  <c:v>20709.99249021845</c:v>
                </c:pt>
                <c:pt idx="46">
                  <c:v>20388.743992381729</c:v>
                </c:pt>
                <c:pt idx="47">
                  <c:v>20114.255096701432</c:v>
                </c:pt>
                <c:pt idx="48">
                  <c:v>19890.225478649478</c:v>
                </c:pt>
                <c:pt idx="49">
                  <c:v>19720.167905267568</c:v>
                </c:pt>
                <c:pt idx="50">
                  <c:v>19516.464319182658</c:v>
                </c:pt>
                <c:pt idx="51">
                  <c:v>19394.913768696311</c:v>
                </c:pt>
                <c:pt idx="52">
                  <c:v>19361.88038725916</c:v>
                </c:pt>
                <c:pt idx="53">
                  <c:v>19406.858026951177</c:v>
                </c:pt>
                <c:pt idx="54">
                  <c:v>19524.810662809276</c:v>
                </c:pt>
                <c:pt idx="55">
                  <c:v>19712.631337695952</c:v>
                </c:pt>
                <c:pt idx="56">
                  <c:v>19967.761439280599</c:v>
                </c:pt>
                <c:pt idx="57">
                  <c:v>20287.638016929475</c:v>
                </c:pt>
                <c:pt idx="58">
                  <c:v>20669.49935333927</c:v>
                </c:pt>
                <c:pt idx="59">
                  <c:v>21110.354780285681</c:v>
                </c:pt>
                <c:pt idx="60">
                  <c:v>21607.027748205976</c:v>
                </c:pt>
                <c:pt idx="61">
                  <c:v>22156.226006202091</c:v>
                </c:pt>
                <c:pt idx="62">
                  <c:v>22754.615276035969</c:v>
                </c:pt>
                <c:pt idx="63">
                  <c:v>23398.884305503758</c:v>
                </c:pt>
                <c:pt idx="64">
                  <c:v>24085.796875674081</c:v>
                </c:pt>
                <c:pt idx="65">
                  <c:v>24812.229409123203</c:v>
                </c:pt>
                <c:pt idx="66">
                  <c:v>25575.195326361354</c:v>
                </c:pt>
                <c:pt idx="67">
                  <c:v>26371.858151190932</c:v>
                </c:pt>
                <c:pt idx="68">
                  <c:v>27199.535700843691</c:v>
                </c:pt>
                <c:pt idx="69">
                  <c:v>28055.697628812464</c:v>
                </c:pt>
                <c:pt idx="70">
                  <c:v>28937.958320858183</c:v>
                </c:pt>
                <c:pt idx="71">
                  <c:v>29844.066797836738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92-4398-90F9-0635F73C17C7}"/>
            </c:ext>
          </c:extLst>
        </c:ser>
        <c:ser>
          <c:idx val="11"/>
          <c:order val="11"/>
          <c:tx>
            <c:strRef>
              <c:f>RPlot!$EP$14</c:f>
              <c:strCache>
                <c:ptCount val="1"/>
                <c:pt idx="0">
                  <c:v>3y 210d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RPlot!$AT$14:$EO$14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29737.487004154602</c:v>
                </c:pt>
                <c:pt idx="29">
                  <c:v>29045.205063607737</c:v>
                </c:pt>
                <c:pt idx="30">
                  <c:v>28363.108721822689</c:v>
                </c:pt>
                <c:pt idx="31">
                  <c:v>27691.944394329053</c:v>
                </c:pt>
                <c:pt idx="32">
                  <c:v>27032.596238541104</c:v>
                </c:pt>
                <c:pt idx="33">
                  <c:v>26386.114919999447</c:v>
                </c:pt>
                <c:pt idx="34">
                  <c:v>25753.755137873253</c:v>
                </c:pt>
                <c:pt idx="35">
                  <c:v>25137.028450315429</c:v>
                </c:pt>
                <c:pt idx="36">
                  <c:v>24537.781756870765</c:v>
                </c:pt>
                <c:pt idx="37">
                  <c:v>23958.328890670113</c:v>
                </c:pt>
                <c:pt idx="38">
                  <c:v>23401.688474223447</c:v>
                </c:pt>
                <c:pt idx="39">
                  <c:v>22872.064527344482</c:v>
                </c:pt>
                <c:pt idx="40">
                  <c:v>22375.929544718885</c:v>
                </c:pt>
                <c:pt idx="41">
                  <c:v>21924.798937977874</c:v>
                </c:pt>
                <c:pt idx="42">
                  <c:v>21543.579518617731</c:v>
                </c:pt>
                <c:pt idx="43">
                  <c:v>21203.159940030153</c:v>
                </c:pt>
                <c:pt idx="44">
                  <c:v>20802.592781124589</c:v>
                </c:pt>
                <c:pt idx="45">
                  <c:v>20441.57627225043</c:v>
                </c:pt>
                <c:pt idx="46">
                  <c:v>20123.700232081817</c:v>
                </c:pt>
                <c:pt idx="47">
                  <c:v>19852.583513841229</c:v>
                </c:pt>
                <c:pt idx="48">
                  <c:v>19631.770093854826</c:v>
                </c:pt>
                <c:pt idx="49">
                  <c:v>19464.608369440921</c:v>
                </c:pt>
                <c:pt idx="50">
                  <c:v>19315.98840503937</c:v>
                </c:pt>
                <c:pt idx="51">
                  <c:v>19187.084822844285</c:v>
                </c:pt>
                <c:pt idx="52">
                  <c:v>19152.93382563012</c:v>
                </c:pt>
                <c:pt idx="53">
                  <c:v>19198.255677163383</c:v>
                </c:pt>
                <c:pt idx="54">
                  <c:v>19316.320143031247</c:v>
                </c:pt>
                <c:pt idx="55">
                  <c:v>19503.333774710616</c:v>
                </c:pt>
                <c:pt idx="56">
                  <c:v>19756.443062491584</c:v>
                </c:pt>
                <c:pt idx="57">
                  <c:v>20072.969120033973</c:v>
                </c:pt>
                <c:pt idx="58">
                  <c:v>20450.12823048425</c:v>
                </c:pt>
                <c:pt idx="59">
                  <c:v>20884.961683283218</c:v>
                </c:pt>
                <c:pt idx="60">
                  <c:v>21374.356785602682</c:v>
                </c:pt>
                <c:pt idx="61">
                  <c:v>21915.103455424629</c:v>
                </c:pt>
                <c:pt idx="62">
                  <c:v>22503.958896181932</c:v>
                </c:pt>
                <c:pt idx="63">
                  <c:v>23137.706941642864</c:v>
                </c:pt>
                <c:pt idx="64">
                  <c:v>23813.20622532647</c:v>
                </c:pt>
                <c:pt idx="65">
                  <c:v>24527.425507056068</c:v>
                </c:pt>
                <c:pt idx="66">
                  <c:v>25277.466745396709</c:v>
                </c:pt>
                <c:pt idx="67">
                  <c:v>26060.577608773496</c:v>
                </c:pt>
                <c:pt idx="68">
                  <c:v>26874.155524175396</c:v>
                </c:pt>
                <c:pt idx="69">
                  <c:v>27715.745360902525</c:v>
                </c:pt>
                <c:pt idx="70">
                  <c:v>28583.032629637961</c:v>
                </c:pt>
                <c:pt idx="71">
                  <c:v>29473.833767921707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92-4398-90F9-0635F73C17C7}"/>
            </c:ext>
          </c:extLst>
        </c:ser>
        <c:ser>
          <c:idx val="12"/>
          <c:order val="12"/>
          <c:tx>
            <c:strRef>
              <c:f>RPlot!$EP$15</c:f>
              <c:strCache>
                <c:ptCount val="1"/>
                <c:pt idx="0">
                  <c:v>3y 271d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RPlot!$AT$15:$EO$15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29640.297946540053</c:v>
                </c:pt>
                <c:pt idx="29">
                  <c:v>28938.623611796396</c:v>
                </c:pt>
                <c:pt idx="30">
                  <c:v>28247.826277570482</c:v>
                </c:pt>
                <c:pt idx="31">
                  <c:v>27568.630956234541</c:v>
                </c:pt>
                <c:pt idx="32">
                  <c:v>26901.88631388258</c:v>
                </c:pt>
                <c:pt idx="33">
                  <c:v>26248.587637209857</c:v>
                </c:pt>
                <c:pt idx="34">
                  <c:v>25609.904755847099</c:v>
                </c:pt>
                <c:pt idx="35">
                  <c:v>24987.217766644426</c:v>
                </c:pt>
                <c:pt idx="36">
                  <c:v>24382.165897083811</c:v>
                </c:pt>
                <c:pt idx="37">
                  <c:v>23796.721064638376</c:v>
                </c:pt>
                <c:pt idx="38">
                  <c:v>23233.308584091079</c:v>
                </c:pt>
                <c:pt idx="39">
                  <c:v>22695.031233571557</c:v>
                </c:pt>
                <c:pt idx="40">
                  <c:v>22186.132629338528</c:v>
                </c:pt>
                <c:pt idx="41">
                  <c:v>21713.081480213732</c:v>
                </c:pt>
                <c:pt idx="42">
                  <c:v>21287.491895392748</c:v>
                </c:pt>
                <c:pt idx="43">
                  <c:v>20935.546213617898</c:v>
                </c:pt>
                <c:pt idx="44">
                  <c:v>20592.564401111897</c:v>
                </c:pt>
                <c:pt idx="45">
                  <c:v>20232.065717235739</c:v>
                </c:pt>
                <c:pt idx="46">
                  <c:v>19914.717018981795</c:v>
                </c:pt>
                <c:pt idx="47">
                  <c:v>19644.012748922971</c:v>
                </c:pt>
                <c:pt idx="48">
                  <c:v>19423.366133995922</c:v>
                </c:pt>
                <c:pt idx="49">
                  <c:v>19255.992352676793</c:v>
                </c:pt>
                <c:pt idx="50">
                  <c:v>19144.783251756951</c:v>
                </c:pt>
                <c:pt idx="51">
                  <c:v>19014.031640904785</c:v>
                </c:pt>
                <c:pt idx="52">
                  <c:v>18976.716080910664</c:v>
                </c:pt>
                <c:pt idx="53">
                  <c:v>19020.457757507171</c:v>
                </c:pt>
                <c:pt idx="54">
                  <c:v>19136.586719034516</c:v>
                </c:pt>
                <c:pt idx="55">
                  <c:v>19320.684468725736</c:v>
                </c:pt>
                <c:pt idx="56">
                  <c:v>19569.700048879276</c:v>
                </c:pt>
                <c:pt idx="57">
                  <c:v>19880.919459563418</c:v>
                </c:pt>
                <c:pt idx="58">
                  <c:v>20251.59406509871</c:v>
                </c:pt>
                <c:pt idx="59">
                  <c:v>20678.833009314538</c:v>
                </c:pt>
                <c:pt idx="60">
                  <c:v>21159.606516745411</c:v>
                </c:pt>
                <c:pt idx="61">
                  <c:v>21690.793043198933</c:v>
                </c:pt>
                <c:pt idx="62">
                  <c:v>22269.238624739497</c:v>
                </c:pt>
                <c:pt idx="63">
                  <c:v>22891.813245017747</c:v>
                </c:pt>
                <c:pt idx="64">
                  <c:v>23555.457469566063</c:v>
                </c:pt>
                <c:pt idx="65">
                  <c:v>24257.217141760026</c:v>
                </c:pt>
                <c:pt idx="66">
                  <c:v>24994.266382446938</c:v>
                </c:pt>
                <c:pt idx="67">
                  <c:v>25763.920355718779</c:v>
                </c:pt>
                <c:pt idx="68">
                  <c:v>26563.63980539031</c:v>
                </c:pt>
                <c:pt idx="69">
                  <c:v>27391.029047960714</c:v>
                </c:pt>
                <c:pt idx="70">
                  <c:v>28243.829940776654</c:v>
                </c:pt>
                <c:pt idx="71">
                  <c:v>29119.91250547352</c:v>
                </c:pt>
                <c:pt idx="72">
                  <c:v>30000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92-4398-90F9-0635F73C17C7}"/>
            </c:ext>
          </c:extLst>
        </c:ser>
        <c:ser>
          <c:idx val="13"/>
          <c:order val="13"/>
          <c:tx>
            <c:strRef>
              <c:f>RPlot!$EP$16</c:f>
              <c:strCache>
                <c:ptCount val="1"/>
                <c:pt idx="0">
                  <c:v>3y 332d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RPlot!$AT$16:$EO$16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29614.682721013392</c:v>
                </c:pt>
                <c:pt idx="29">
                  <c:v>28903.198934478562</c:v>
                </c:pt>
                <c:pt idx="30">
                  <c:v>28203.21066190867</c:v>
                </c:pt>
                <c:pt idx="31">
                  <c:v>27515.426187113582</c:v>
                </c:pt>
                <c:pt idx="32">
                  <c:v>26840.666669535582</c:v>
                </c:pt>
                <c:pt idx="33">
                  <c:v>26179.885585061085</c:v>
                </c:pt>
                <c:pt idx="34">
                  <c:v>25534.190938928085</c:v>
                </c:pt>
                <c:pt idx="35">
                  <c:v>24904.871450427047</c:v>
                </c:pt>
                <c:pt idx="36">
                  <c:v>24293.428935929689</c:v>
                </c:pt>
                <c:pt idx="37">
                  <c:v>23701.62129748708</c:v>
                </c:pt>
                <c:pt idx="38">
                  <c:v>23131.52536990204</c:v>
                </c:pt>
                <c:pt idx="39">
                  <c:v>22585.640261629851</c:v>
                </c:pt>
                <c:pt idx="40">
                  <c:v>22067.080511879649</c:v>
                </c:pt>
                <c:pt idx="41">
                  <c:v>21579.987535226108</c:v>
                </c:pt>
                <c:pt idx="42">
                  <c:v>21130.533515633026</c:v>
                </c:pt>
                <c:pt idx="43">
                  <c:v>20729.78418683702</c:v>
                </c:pt>
                <c:pt idx="44">
                  <c:v>20403.716933716372</c:v>
                </c:pt>
                <c:pt idx="45">
                  <c:v>20072.381015787611</c:v>
                </c:pt>
                <c:pt idx="46">
                  <c:v>19753.044596698684</c:v>
                </c:pt>
                <c:pt idx="47">
                  <c:v>19480.142852655186</c:v>
                </c:pt>
                <c:pt idx="48">
                  <c:v>19256.980580693402</c:v>
                </c:pt>
                <c:pt idx="49">
                  <c:v>19086.667191111585</c:v>
                </c:pt>
                <c:pt idx="50">
                  <c:v>18971.995666475894</c:v>
                </c:pt>
                <c:pt idx="51">
                  <c:v>18868.005145715168</c:v>
                </c:pt>
                <c:pt idx="52">
                  <c:v>18826.577476262846</c:v>
                </c:pt>
                <c:pt idx="53">
                  <c:v>18867.565657849835</c:v>
                </c:pt>
                <c:pt idx="54">
                  <c:v>18980.217252569557</c:v>
                </c:pt>
                <c:pt idx="55">
                  <c:v>19159.663389791109</c:v>
                </c:pt>
                <c:pt idx="56">
                  <c:v>19402.811982740535</c:v>
                </c:pt>
                <c:pt idx="57">
                  <c:v>19707.02115844173</c:v>
                </c:pt>
                <c:pt idx="58">
                  <c:v>20069.645217259778</c:v>
                </c:pt>
                <c:pt idx="59">
                  <c:v>20487.901118979597</c:v>
                </c:pt>
                <c:pt idx="60">
                  <c:v>20958.862655107943</c:v>
                </c:pt>
                <c:pt idx="61">
                  <c:v>21479.504216641733</c:v>
                </c:pt>
                <c:pt idx="62">
                  <c:v>22046.759108440074</c:v>
                </c:pt>
                <c:pt idx="63">
                  <c:v>22657.576006584786</c:v>
                </c:pt>
                <c:pt idx="64">
                  <c:v>23308.966304109323</c:v>
                </c:pt>
                <c:pt idx="65">
                  <c:v>23998.039589748478</c:v>
                </c:pt>
                <c:pt idx="66">
                  <c:v>24722.027879187026</c:v>
                </c:pt>
                <c:pt idx="67">
                  <c:v>25478.299274662</c:v>
                </c:pt>
                <c:pt idx="68">
                  <c:v>26264.363402992272</c:v>
                </c:pt>
                <c:pt idx="69">
                  <c:v>27077.870425988418</c:v>
                </c:pt>
                <c:pt idx="70">
                  <c:v>27916.605456249268</c:v>
                </c:pt>
                <c:pt idx="71">
                  <c:v>28778.479912915485</c:v>
                </c:pt>
                <c:pt idx="72">
                  <c:v>29661.521050101495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92-4398-90F9-0635F73C17C7}"/>
            </c:ext>
          </c:extLst>
        </c:ser>
        <c:ser>
          <c:idx val="14"/>
          <c:order val="14"/>
          <c:tx>
            <c:strRef>
              <c:f>RPlot!$EP$17</c:f>
              <c:strCache>
                <c:ptCount val="1"/>
                <c:pt idx="0">
                  <c:v>4y 28d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RPlot!$AT$17:$EO$17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29651.301116689549</c:v>
                </c:pt>
                <c:pt idx="29">
                  <c:v>28929.622660420602</c:v>
                </c:pt>
                <c:pt idx="30">
                  <c:v>28219.989392483585</c:v>
                </c:pt>
                <c:pt idx="31">
                  <c:v>27523.096180580978</c:v>
                </c:pt>
                <c:pt idx="32">
                  <c:v>26839.742151830589</c:v>
                </c:pt>
                <c:pt idx="33">
                  <c:v>26170.848054182286</c:v>
                </c:pt>
                <c:pt idx="34">
                  <c:v>25517.47520380608</c:v>
                </c:pt>
                <c:pt idx="35">
                  <c:v>24880.84640300044</c:v>
                </c:pt>
                <c:pt idx="36">
                  <c:v>24262.369522972651</c:v>
                </c:pt>
                <c:pt idx="37">
                  <c:v>23663.665134939511</c:v>
                </c:pt>
                <c:pt idx="38">
                  <c:v>23086.601133668406</c:v>
                </c:pt>
                <c:pt idx="39">
                  <c:v>22533.340940053604</c:v>
                </c:pt>
                <c:pt idx="40">
                  <c:v>22006.420778204723</c:v>
                </c:pt>
                <c:pt idx="41">
                  <c:v>21508.894840318553</c:v>
                </c:pt>
                <c:pt idx="42">
                  <c:v>21044.654175538497</c:v>
                </c:pt>
                <c:pt idx="43">
                  <c:v>20619.243939148153</c:v>
                </c:pt>
                <c:pt idx="44">
                  <c:v>20242.354399328346</c:v>
                </c:pt>
                <c:pt idx="45">
                  <c:v>19937.413211788888</c:v>
                </c:pt>
                <c:pt idx="46">
                  <c:v>19631.92213011561</c:v>
                </c:pt>
                <c:pt idx="47">
                  <c:v>19354.522175250837</c:v>
                </c:pt>
                <c:pt idx="48">
                  <c:v>19126.48260195343</c:v>
                </c:pt>
                <c:pt idx="49">
                  <c:v>18950.830851861079</c:v>
                </c:pt>
                <c:pt idx="50">
                  <c:v>18830.288562648122</c:v>
                </c:pt>
                <c:pt idx="51">
                  <c:v>18742.420992913983</c:v>
                </c:pt>
                <c:pt idx="52">
                  <c:v>18697.628115061838</c:v>
                </c:pt>
                <c:pt idx="53">
                  <c:v>18735.523720901245</c:v>
                </c:pt>
                <c:pt idx="54">
                  <c:v>18843.580341003722</c:v>
                </c:pt>
                <c:pt idx="55">
                  <c:v>19016.894718119562</c:v>
                </c:pt>
                <c:pt idx="56">
                  <c:v>19252.587421037551</c:v>
                </c:pt>
                <c:pt idx="57">
                  <c:v>19548.232295236943</c:v>
                </c:pt>
                <c:pt idx="58">
                  <c:v>19901.366661070162</c:v>
                </c:pt>
                <c:pt idx="59">
                  <c:v>20309.358474380962</c:v>
                </c:pt>
                <c:pt idx="60">
                  <c:v>20769.406046575932</c:v>
                </c:pt>
                <c:pt idx="61">
                  <c:v>21278.586908804311</c:v>
                </c:pt>
                <c:pt idx="62">
                  <c:v>21833.920024158069</c:v>
                </c:pt>
                <c:pt idx="63">
                  <c:v>22432.425819661843</c:v>
                </c:pt>
                <c:pt idx="64">
                  <c:v>23071.176165533467</c:v>
                </c:pt>
                <c:pt idx="65">
                  <c:v>23747.332427527166</c:v>
                </c:pt>
                <c:pt idx="66">
                  <c:v>24458.171509821936</c:v>
                </c:pt>
                <c:pt idx="67">
                  <c:v>25201.101306893885</c:v>
                </c:pt>
                <c:pt idx="68">
                  <c:v>25973.667481001536</c:v>
                </c:pt>
                <c:pt idx="69">
                  <c:v>26773.553567173287</c:v>
                </c:pt>
                <c:pt idx="70">
                  <c:v>27598.576248631551</c:v>
                </c:pt>
                <c:pt idx="71">
                  <c:v>28446.677373454862</c:v>
                </c:pt>
                <c:pt idx="72">
                  <c:v>29315.913979050467</c:v>
                </c:pt>
                <c:pt idx="73">
                  <c:v>30000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92-4398-90F9-0635F73C17C7}"/>
            </c:ext>
          </c:extLst>
        </c:ser>
        <c:ser>
          <c:idx val="15"/>
          <c:order val="15"/>
          <c:tx>
            <c:strRef>
              <c:f>RPlot!$EP$18</c:f>
              <c:strCache>
                <c:ptCount val="1"/>
                <c:pt idx="0">
                  <c:v>4y 89d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RPlot!$AT$18:$EO$18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29742.477520273242</c:v>
                </c:pt>
                <c:pt idx="29">
                  <c:v>29010.254977853776</c:v>
                </c:pt>
                <c:pt idx="30">
                  <c:v>28290.562393188557</c:v>
                </c:pt>
                <c:pt idx="31">
                  <c:v>27584.083620469337</c:v>
                </c:pt>
                <c:pt idx="32">
                  <c:v>26891.599523733275</c:v>
                </c:pt>
                <c:pt idx="33">
                  <c:v>26214.004169563756</c:v>
                </c:pt>
                <c:pt idx="34">
                  <c:v>25552.32200057826</c:v>
                </c:pt>
                <c:pt idx="35">
                  <c:v>24907.726003699696</c:v>
                </c:pt>
                <c:pt idx="36">
                  <c:v>24281.556894718386</c:v>
                </c:pt>
                <c:pt idx="37">
                  <c:v>23675.343423702518</c:v>
                </c:pt>
                <c:pt idx="38">
                  <c:v>23090.82418878669</c:v>
                </c:pt>
                <c:pt idx="39">
                  <c:v>22529.972131090432</c:v>
                </c:pt>
                <c:pt idx="40">
                  <c:v>21995.024935115554</c:v>
                </c:pt>
                <c:pt idx="41">
                  <c:v>21488.529996782087</c:v>
                </c:pt>
                <c:pt idx="42">
                  <c:v>21013.427094776089</c:v>
                </c:pt>
                <c:pt idx="43">
                  <c:v>20573.237669110717</c:v>
                </c:pt>
                <c:pt idx="44">
                  <c:v>20172.582147392808</c:v>
                </c:pt>
                <c:pt idx="45">
                  <c:v>19818.895211692397</c:v>
                </c:pt>
                <c:pt idx="46">
                  <c:v>19529.842612141227</c:v>
                </c:pt>
                <c:pt idx="47">
                  <c:v>19262.176702894605</c:v>
                </c:pt>
                <c:pt idx="48">
                  <c:v>19027.17983104345</c:v>
                </c:pt>
                <c:pt idx="49">
                  <c:v>18844.076702832317</c:v>
                </c:pt>
                <c:pt idx="50">
                  <c:v>18715.540969930345</c:v>
                </c:pt>
                <c:pt idx="51">
                  <c:v>18631.505039967149</c:v>
                </c:pt>
                <c:pt idx="52">
                  <c:v>18586.918556894467</c:v>
                </c:pt>
                <c:pt idx="53">
                  <c:v>18622.185189023941</c:v>
                </c:pt>
                <c:pt idx="54">
                  <c:v>18724.727477002325</c:v>
                </c:pt>
                <c:pt idx="55">
                  <c:v>18890.472240135805</c:v>
                </c:pt>
                <c:pt idx="56">
                  <c:v>19117.134493510755</c:v>
                </c:pt>
                <c:pt idx="57">
                  <c:v>19402.67898520545</c:v>
                </c:pt>
                <c:pt idx="58">
                  <c:v>19744.909198401212</c:v>
                </c:pt>
                <c:pt idx="59">
                  <c:v>20141.383030221423</c:v>
                </c:pt>
                <c:pt idx="60">
                  <c:v>20589.439266510592</c:v>
                </c:pt>
                <c:pt idx="61">
                  <c:v>21086.261717668916</c:v>
                </c:pt>
                <c:pt idx="62">
                  <c:v>21628.951070596973</c:v>
                </c:pt>
                <c:pt idx="63">
                  <c:v>22214.591093006435</c:v>
                </c:pt>
                <c:pt idx="64">
                  <c:v>22840.303413546208</c:v>
                </c:pt>
                <c:pt idx="65">
                  <c:v>23503.289108003642</c:v>
                </c:pt>
                <c:pt idx="66">
                  <c:v>24200.857523036342</c:v>
                </c:pt>
                <c:pt idx="67">
                  <c:v>24930.443904865795</c:v>
                </c:pt>
                <c:pt idx="68">
                  <c:v>25689.617867681016</c:v>
                </c:pt>
                <c:pt idx="69">
                  <c:v>26476.084793229325</c:v>
                </c:pt>
                <c:pt idx="70">
                  <c:v>27287.68207844859</c:v>
                </c:pt>
                <c:pt idx="71">
                  <c:v>28122.371864684221</c:v>
                </c:pt>
                <c:pt idx="72">
                  <c:v>28978.231568271007</c:v>
                </c:pt>
                <c:pt idx="73">
                  <c:v>29853.443233505055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92-4398-90F9-0635F73C17C7}"/>
            </c:ext>
          </c:extLst>
        </c:ser>
        <c:ser>
          <c:idx val="16"/>
          <c:order val="16"/>
          <c:tx>
            <c:strRef>
              <c:f>RPlot!$EP$19</c:f>
              <c:strCache>
                <c:ptCount val="1"/>
                <c:pt idx="0">
                  <c:v>4y 150d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RPlot!$AT$19:$EO$19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29881.849418787457</c:v>
                </c:pt>
                <c:pt idx="29">
                  <c:v>29138.77171055755</c:v>
                </c:pt>
                <c:pt idx="30">
                  <c:v>28408.647582307098</c:v>
                </c:pt>
                <c:pt idx="31">
                  <c:v>27692.151702179104</c:v>
                </c:pt>
                <c:pt idx="32">
                  <c:v>26990.049317542667</c:v>
                </c:pt>
                <c:pt idx="33">
                  <c:v>26303.211841922741</c:v>
                </c:pt>
                <c:pt idx="34">
                  <c:v>25632.633149355563</c:v>
                </c:pt>
                <c:pt idx="35">
                  <c:v>24979.44651124861</c:v>
                </c:pt>
                <c:pt idx="36">
                  <c:v>24344.941606929438</c:v>
                </c:pt>
                <c:pt idx="37">
                  <c:v>23730.582098830826</c:v>
                </c:pt>
                <c:pt idx="38">
                  <c:v>23138.022216762962</c:v>
                </c:pt>
                <c:pt idx="39">
                  <c:v>22569.122543292862</c:v>
                </c:pt>
                <c:pt idx="40">
                  <c:v>22025.964129453365</c:v>
                </c:pt>
                <c:pt idx="41">
                  <c:v>21510.860845141913</c:v>
                </c:pt>
                <c:pt idx="42">
                  <c:v>21026.371397833318</c:v>
                </c:pt>
                <c:pt idx="43">
                  <c:v>20575.317449582748</c:v>
                </c:pt>
                <c:pt idx="44">
                  <c:v>20160.830464897095</c:v>
                </c:pt>
                <c:pt idx="45">
                  <c:v>19786.509305291889</c:v>
                </c:pt>
                <c:pt idx="46">
                  <c:v>19457.040044395377</c:v>
                </c:pt>
                <c:pt idx="47">
                  <c:v>19181.356226088948</c:v>
                </c:pt>
                <c:pt idx="48">
                  <c:v>18955.472658465907</c:v>
                </c:pt>
                <c:pt idx="49">
                  <c:v>18763.055188091563</c:v>
                </c:pt>
                <c:pt idx="50">
                  <c:v>18624.651026388117</c:v>
                </c:pt>
                <c:pt idx="51">
                  <c:v>18532.393009983756</c:v>
                </c:pt>
                <c:pt idx="52">
                  <c:v>18495.32128793433</c:v>
                </c:pt>
                <c:pt idx="53">
                  <c:v>18528.246772736446</c:v>
                </c:pt>
                <c:pt idx="54">
                  <c:v>18623.782852940683</c:v>
                </c:pt>
                <c:pt idx="55">
                  <c:v>18780.067930185738</c:v>
                </c:pt>
                <c:pt idx="56">
                  <c:v>18995.824558029937</c:v>
                </c:pt>
                <c:pt idx="57">
                  <c:v>19269.543531060343</c:v>
                </c:pt>
                <c:pt idx="58">
                  <c:v>19599.338456348316</c:v>
                </c:pt>
                <c:pt idx="59">
                  <c:v>19982.967484129033</c:v>
                </c:pt>
                <c:pt idx="60">
                  <c:v>20417.906639021454</c:v>
                </c:pt>
                <c:pt idx="61">
                  <c:v>20901.436890737295</c:v>
                </c:pt>
                <c:pt idx="62">
                  <c:v>21430.728681985267</c:v>
                </c:pt>
                <c:pt idx="63">
                  <c:v>22002.916039758042</c:v>
                </c:pt>
                <c:pt idx="64">
                  <c:v>22615.156816346698</c:v>
                </c:pt>
                <c:pt idx="65">
                  <c:v>23264.678309179501</c:v>
                </c:pt>
                <c:pt idx="66">
                  <c:v>23948.809164918028</c:v>
                </c:pt>
                <c:pt idx="67">
                  <c:v>24664.999380931098</c:v>
                </c:pt>
                <c:pt idx="68">
                  <c:v>25410.830588743735</c:v>
                </c:pt>
                <c:pt idx="69">
                  <c:v>26184.018818853743</c:v>
                </c:pt>
                <c:pt idx="70">
                  <c:v>26982.41175060979</c:v>
                </c:pt>
                <c:pt idx="71">
                  <c:v>27803.982153790104</c:v>
                </c:pt>
                <c:pt idx="72">
                  <c:v>28646.818963272744</c:v>
                </c:pt>
                <c:pt idx="73">
                  <c:v>29509.116739223722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92-4398-90F9-0635F73C17C7}"/>
            </c:ext>
          </c:extLst>
        </c:ser>
        <c:ser>
          <c:idx val="17"/>
          <c:order val="17"/>
          <c:tx>
            <c:strRef>
              <c:f>RPlot!$EP$20</c:f>
              <c:strCache>
                <c:ptCount val="1"/>
                <c:pt idx="0">
                  <c:v>4y 211d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RPlot!$AT$20:$EO$20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29309.893612031221</c:v>
                </c:pt>
                <c:pt idx="30">
                  <c:v>28569.009046939376</c:v>
                </c:pt>
                <c:pt idx="31">
                  <c:v>27842.111049099858</c:v>
                </c:pt>
                <c:pt idx="32">
                  <c:v>27129.951191259195</c:v>
                </c:pt>
                <c:pt idx="33">
                  <c:v>26433.380958396669</c:v>
                </c:pt>
                <c:pt idx="34">
                  <c:v>25753.367683804259</c:v>
                </c:pt>
                <c:pt idx="35">
                  <c:v>25091.010953913119</c:v>
                </c:pt>
                <c:pt idx="36">
                  <c:v>24447.559219580842</c:v>
                </c:pt>
                <c:pt idx="37">
                  <c:v>23824.426195313619</c:v>
                </c:pt>
                <c:pt idx="38">
                  <c:v>23223.206421320298</c:v>
                </c:pt>
                <c:pt idx="39">
                  <c:v>22645.689100510259</c:v>
                </c:pt>
                <c:pt idx="40">
                  <c:v>22093.86900304725</c:v>
                </c:pt>
                <c:pt idx="41">
                  <c:v>21569.952863955503</c:v>
                </c:pt>
                <c:pt idx="42">
                  <c:v>21076.359310061329</c:v>
                </c:pt>
                <c:pt idx="43">
                  <c:v>20615.709989898642</c:v>
                </c:pt>
                <c:pt idx="44">
                  <c:v>20190.809324625523</c:v>
                </c:pt>
                <c:pt idx="45">
                  <c:v>19804.610278183725</c:v>
                </c:pt>
                <c:pt idx="46">
                  <c:v>19460.164054697561</c:v>
                </c:pt>
                <c:pt idx="47">
                  <c:v>19160.554315435897</c:v>
                </c:pt>
                <c:pt idx="48">
                  <c:v>18908.841134211518</c:v>
                </c:pt>
                <c:pt idx="49">
                  <c:v>18708.692228008898</c:v>
                </c:pt>
                <c:pt idx="50">
                  <c:v>18565.892391123634</c:v>
                </c:pt>
                <c:pt idx="51">
                  <c:v>18476.697971087473</c:v>
                </c:pt>
                <c:pt idx="52">
                  <c:v>18436.554336807265</c:v>
                </c:pt>
                <c:pt idx="53">
                  <c:v>18460.618795365521</c:v>
                </c:pt>
                <c:pt idx="54">
                  <c:v>18544.322237504333</c:v>
                </c:pt>
                <c:pt idx="55">
                  <c:v>18687.509934701997</c:v>
                </c:pt>
                <c:pt idx="56">
                  <c:v>18889.513534897451</c:v>
                </c:pt>
                <c:pt idx="57">
                  <c:v>19149.114927318082</c:v>
                </c:pt>
                <c:pt idx="58">
                  <c:v>19464.599165768377</c:v>
                </c:pt>
                <c:pt idx="59">
                  <c:v>19833.838740613763</c:v>
                </c:pt>
                <c:pt idx="60">
                  <c:v>20254.390200162052</c:v>
                </c:pt>
                <c:pt idx="61">
                  <c:v>20723.591643057029</c:v>
                </c:pt>
                <c:pt idx="62">
                  <c:v>21238.653111394226</c:v>
                </c:pt>
                <c:pt idx="63">
                  <c:v>21796.734817187673</c:v>
                </c:pt>
                <c:pt idx="64">
                  <c:v>22395.010693803866</c:v>
                </c:pt>
                <c:pt idx="65">
                  <c:v>23030.716814275009</c:v>
                </c:pt>
                <c:pt idx="66">
                  <c:v>23701.185658514965</c:v>
                </c:pt>
                <c:pt idx="67">
                  <c:v>24403.868063814603</c:v>
                </c:pt>
                <c:pt idx="68">
                  <c:v>25136.345064126672</c:v>
                </c:pt>
                <c:pt idx="69">
                  <c:v>25896.331901841542</c:v>
                </c:pt>
                <c:pt idx="70">
                  <c:v>26681.675991239157</c:v>
                </c:pt>
                <c:pt idx="71">
                  <c:v>27490.351198892924</c:v>
                </c:pt>
                <c:pt idx="72">
                  <c:v>28320.449130779925</c:v>
                </c:pt>
                <c:pt idx="73">
                  <c:v>29170.169057420637</c:v>
                </c:pt>
                <c:pt idx="74">
                  <c:v>30000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92-4398-90F9-0635F73C17C7}"/>
            </c:ext>
          </c:extLst>
        </c:ser>
        <c:ser>
          <c:idx val="18"/>
          <c:order val="18"/>
          <c:tx>
            <c:strRef>
              <c:f>RPlot!$EP$21</c:f>
              <c:strCache>
                <c:ptCount val="1"/>
                <c:pt idx="0">
                  <c:v>4y 271d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RPlot!$AT$21:$EO$21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29519.176723155109</c:v>
                </c:pt>
                <c:pt idx="30">
                  <c:v>28767.24652532769</c:v>
                </c:pt>
                <c:pt idx="31">
                  <c:v>28029.608209576709</c:v>
                </c:pt>
                <c:pt idx="32">
                  <c:v>27307.001210445698</c:v>
                </c:pt>
                <c:pt idx="33">
                  <c:v>26600.259006106768</c:v>
                </c:pt>
                <c:pt idx="34">
                  <c:v>25910.324983870843</c:v>
                </c:pt>
                <c:pt idx="35">
                  <c:v>25238.268808413784</c:v>
                </c:pt>
                <c:pt idx="36">
                  <c:v>24585.303078388672</c:v>
                </c:pt>
                <c:pt idx="37">
                  <c:v>23952.799931179212</c:v>
                </c:pt>
                <c:pt idx="38">
                  <c:v>23342.307098802332</c:v>
                </c:pt>
                <c:pt idx="39">
                  <c:v>22755.562741944494</c:v>
                </c:pt>
                <c:pt idx="40">
                  <c:v>22194.508231478489</c:v>
                </c:pt>
                <c:pt idx="41">
                  <c:v>21661.298006755394</c:v>
                </c:pt>
                <c:pt idx="42">
                  <c:v>21158.305971397</c:v>
                </c:pt>
                <c:pt idx="43">
                  <c:v>20688.12926751528</c:v>
                </c:pt>
                <c:pt idx="44">
                  <c:v>20253.59468300216</c:v>
                </c:pt>
                <c:pt idx="45">
                  <c:v>19857.787020088566</c:v>
                </c:pt>
                <c:pt idx="46">
                  <c:v>19504.1686348968</c:v>
                </c:pt>
                <c:pt idx="47">
                  <c:v>19197.073335577115</c:v>
                </c:pt>
                <c:pt idx="48">
                  <c:v>18944.094405081025</c:v>
                </c:pt>
                <c:pt idx="49">
                  <c:v>18756.321396586078</c:v>
                </c:pt>
                <c:pt idx="50">
                  <c:v>18598.155451198454</c:v>
                </c:pt>
                <c:pt idx="51">
                  <c:v>18495.163201017789</c:v>
                </c:pt>
                <c:pt idx="52">
                  <c:v>18449.196901377938</c:v>
                </c:pt>
                <c:pt idx="53">
                  <c:v>18444.317775489737</c:v>
                </c:pt>
                <c:pt idx="54">
                  <c:v>18497.326786226171</c:v>
                </c:pt>
                <c:pt idx="55">
                  <c:v>18618.337430791995</c:v>
                </c:pt>
                <c:pt idx="56">
                  <c:v>18801.203050973672</c:v>
                </c:pt>
                <c:pt idx="57">
                  <c:v>19043.068470898499</c:v>
                </c:pt>
                <c:pt idx="58">
                  <c:v>19341.616011739687</c:v>
                </c:pt>
                <c:pt idx="59">
                  <c:v>19694.469248368252</c:v>
                </c:pt>
                <c:pt idx="60">
                  <c:v>20099.074077575136</c:v>
                </c:pt>
                <c:pt idx="61">
                  <c:v>20552.715358931971</c:v>
                </c:pt>
                <c:pt idx="62">
                  <c:v>21052.573697006985</c:v>
                </c:pt>
                <c:pt idx="63">
                  <c:v>21595.789054031709</c:v>
                </c:pt>
                <c:pt idx="64">
                  <c:v>22179.518080100017</c:v>
                </c:pt>
                <c:pt idx="65">
                  <c:v>22800.980214305269</c:v>
                </c:pt>
                <c:pt idx="66">
                  <c:v>23457.491455516712</c:v>
                </c:pt>
                <c:pt idx="67">
                  <c:v>24146.486673920503</c:v>
                </c:pt>
                <c:pt idx="68">
                  <c:v>24865.531808232379</c:v>
                </c:pt>
                <c:pt idx="69">
                  <c:v>25612.32869813119</c:v>
                </c:pt>
                <c:pt idx="70">
                  <c:v>26384.713542983125</c:v>
                </c:pt>
                <c:pt idx="71">
                  <c:v>27180.651354822836</c:v>
                </c:pt>
                <c:pt idx="72">
                  <c:v>27998.227593233154</c:v>
                </c:pt>
                <c:pt idx="73">
                  <c:v>28835.638154559958</c:v>
                </c:pt>
                <c:pt idx="74">
                  <c:v>29691.178580072155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92-4398-90F9-0635F73C17C7}"/>
            </c:ext>
          </c:extLst>
        </c:ser>
        <c:ser>
          <c:idx val="19"/>
          <c:order val="19"/>
          <c:tx>
            <c:strRef>
              <c:f>RPlot!$EP$22</c:f>
              <c:strCache>
                <c:ptCount val="1"/>
                <c:pt idx="0">
                  <c:v>4y 332d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RPlot!$AT$22:$EO$22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29762.849148230518</c:v>
                </c:pt>
                <c:pt idx="30">
                  <c:v>28999.631603221384</c:v>
                </c:pt>
                <c:pt idx="31">
                  <c:v>28250.961207105305</c:v>
                </c:pt>
                <c:pt idx="32">
                  <c:v>27517.566600672319</c:v>
                </c:pt>
                <c:pt idx="33">
                  <c:v>26800.264727026173</c:v>
                </c:pt>
                <c:pt idx="34">
                  <c:v>26099.976770251829</c:v>
                </c:pt>
                <c:pt idx="35">
                  <c:v>25417.744694365225</c:v>
                </c:pt>
                <c:pt idx="36">
                  <c:v>24754.748245902512</c:v>
                </c:pt>
                <c:pt idx="37">
                  <c:v>24112.322204790711</c:v>
                </c:pt>
                <c:pt idx="38">
                  <c:v>23491.973588886809</c:v>
                </c:pt>
                <c:pt idx="39">
                  <c:v>22895.39847424053</c:v>
                </c:pt>
                <c:pt idx="40">
                  <c:v>22324.498174627439</c:v>
                </c:pt>
                <c:pt idx="41">
                  <c:v>21781.394940196587</c:v>
                </c:pt>
                <c:pt idx="42">
                  <c:v>21268.448593612382</c:v>
                </c:pt>
                <c:pt idx="43">
                  <c:v>20788.278917372743</c:v>
                </c:pt>
                <c:pt idx="44">
                  <c:v>20343.807718797194</c:v>
                </c:pt>
                <c:pt idx="45">
                  <c:v>19938.36035967958</c:v>
                </c:pt>
                <c:pt idx="46">
                  <c:v>19575.948026705057</c:v>
                </c:pt>
                <c:pt idx="47">
                  <c:v>19262.152118465732</c:v>
                </c:pt>
                <c:pt idx="48">
                  <c:v>19007.415109444966</c:v>
                </c:pt>
                <c:pt idx="49">
                  <c:v>18818.863907451414</c:v>
                </c:pt>
                <c:pt idx="50">
                  <c:v>18646.108795810811</c:v>
                </c:pt>
                <c:pt idx="51">
                  <c:v>18527.991356055318</c:v>
                </c:pt>
                <c:pt idx="52">
                  <c:v>18466.422380506909</c:v>
                </c:pt>
                <c:pt idx="53">
                  <c:v>18462.802052205374</c:v>
                </c:pt>
                <c:pt idx="54">
                  <c:v>18513.014419786155</c:v>
                </c:pt>
                <c:pt idx="55">
                  <c:v>18585.723381296968</c:v>
                </c:pt>
                <c:pt idx="56">
                  <c:v>18737.5898609293</c:v>
                </c:pt>
                <c:pt idx="57">
                  <c:v>18955.138277285343</c:v>
                </c:pt>
                <c:pt idx="58">
                  <c:v>19232.594075141118</c:v>
                </c:pt>
                <c:pt idx="59">
                  <c:v>19566.203440634417</c:v>
                </c:pt>
                <c:pt idx="60">
                  <c:v>19952.783599703664</c:v>
                </c:pt>
                <c:pt idx="61">
                  <c:v>20389.300473920383</c:v>
                </c:pt>
                <c:pt idx="62">
                  <c:v>20872.756330441698</c:v>
                </c:pt>
                <c:pt idx="63">
                  <c:v>21400.180899855259</c:v>
                </c:pt>
                <c:pt idx="64">
                  <c:v>21968.655410691441</c:v>
                </c:pt>
                <c:pt idx="65">
                  <c:v>22575.342580853274</c:v>
                </c:pt>
                <c:pt idx="66">
                  <c:v>23217.51281163382</c:v>
                </c:pt>
                <c:pt idx="67">
                  <c:v>23892.562578315308</c:v>
                </c:pt>
                <c:pt idx="68">
                  <c:v>24598.025103492535</c:v>
                </c:pt>
                <c:pt idx="69">
                  <c:v>25331.574106305547</c:v>
                </c:pt>
                <c:pt idx="70">
                  <c:v>26091.022062218479</c:v>
                </c:pt>
                <c:pt idx="71">
                  <c:v>26874.314425399927</c:v>
                </c:pt>
                <c:pt idx="72">
                  <c:v>27679.521115687676</c:v>
                </c:pt>
                <c:pt idx="73">
                  <c:v>28504.826348874703</c:v>
                </c:pt>
                <c:pt idx="74">
                  <c:v>29348.517655695192</c:v>
                </c:pt>
                <c:pt idx="75">
                  <c:v>30000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92-4398-90F9-0635F73C17C7}"/>
            </c:ext>
          </c:extLst>
        </c:ser>
        <c:ser>
          <c:idx val="20"/>
          <c:order val="20"/>
          <c:tx>
            <c:strRef>
              <c:f>RPlot!$EP$23</c:f>
              <c:strCache>
                <c:ptCount val="1"/>
                <c:pt idx="0">
                  <c:v>5y 28d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RPlot!$AT$23:$EO$23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29262.978848347029</c:v>
                </c:pt>
                <c:pt idx="31">
                  <c:v>28503.030159687765</c:v>
                </c:pt>
                <c:pt idx="32">
                  <c:v>27758.555729972388</c:v>
                </c:pt>
                <c:pt idx="33">
                  <c:v>27030.357233356401</c:v>
                </c:pt>
                <c:pt idx="34">
                  <c:v>26319.334937967127</c:v>
                </c:pt>
                <c:pt idx="35">
                  <c:v>25626.504489906161</c:v>
                </c:pt>
                <c:pt idx="36">
                  <c:v>24953.014356219697</c:v>
                </c:pt>
                <c:pt idx="37">
                  <c:v>24300.163835936073</c:v>
                </c:pt>
                <c:pt idx="38">
                  <c:v>23669.421538817285</c:v>
                </c:pt>
                <c:pt idx="39">
                  <c:v>23062.444300416071</c:v>
                </c:pt>
                <c:pt idx="40">
                  <c:v>22481.096770182216</c:v>
                </c:pt>
                <c:pt idx="41">
                  <c:v>21927.472647787014</c:v>
                </c:pt>
                <c:pt idx="42">
                  <c:v>21403.920377286166</c:v>
                </c:pt>
                <c:pt idx="43">
                  <c:v>20913.080559691243</c:v>
                </c:pt>
                <c:pt idx="44">
                  <c:v>20457.953379437866</c:v>
                </c:pt>
                <c:pt idx="45">
                  <c:v>20042.043306712934</c:v>
                </c:pt>
                <c:pt idx="46">
                  <c:v>19669.711603340351</c:v>
                </c:pt>
                <c:pt idx="47">
                  <c:v>19347.139167690584</c:v>
                </c:pt>
                <c:pt idx="48">
                  <c:v>19085.361654486111</c:v>
                </c:pt>
                <c:pt idx="49">
                  <c:v>18897.430610991985</c:v>
                </c:pt>
                <c:pt idx="50">
                  <c:v>18708.924429974508</c:v>
                </c:pt>
                <c:pt idx="51">
                  <c:v>18574.499476575831</c:v>
                </c:pt>
                <c:pt idx="52">
                  <c:v>18496.1349825004</c:v>
                </c:pt>
                <c:pt idx="53">
                  <c:v>18475.323178838273</c:v>
                </c:pt>
                <c:pt idx="54">
                  <c:v>18512.99724217055</c:v>
                </c:pt>
                <c:pt idx="55">
                  <c:v>18609.487666600809</c:v>
                </c:pt>
                <c:pt idx="56">
                  <c:v>18712.63536641455</c:v>
                </c:pt>
                <c:pt idx="57">
                  <c:v>18892.557984445742</c:v>
                </c:pt>
                <c:pt idx="58">
                  <c:v>19141.659245854073</c:v>
                </c:pt>
                <c:pt idx="59">
                  <c:v>19451.555048706316</c:v>
                </c:pt>
                <c:pt idx="60">
                  <c:v>19817.120865179993</c:v>
                </c:pt>
                <c:pt idx="61">
                  <c:v>20234.396191220068</c:v>
                </c:pt>
                <c:pt idx="62">
                  <c:v>20699.893477315338</c:v>
                </c:pt>
                <c:pt idx="63">
                  <c:v>21210.358669470752</c:v>
                </c:pt>
                <c:pt idx="64">
                  <c:v>21762.693874519722</c:v>
                </c:pt>
                <c:pt idx="65">
                  <c:v>22353.939285391582</c:v>
                </c:pt>
                <c:pt idx="66">
                  <c:v>22981.275227557533</c:v>
                </c:pt>
                <c:pt idx="67">
                  <c:v>23642.028259357692</c:v>
                </c:pt>
                <c:pt idx="68">
                  <c:v>24333.675232845155</c:v>
                </c:pt>
                <c:pt idx="69">
                  <c:v>25053.843448435964</c:v>
                </c:pt>
                <c:pt idx="70">
                  <c:v>25800.306878749107</c:v>
                </c:pt>
                <c:pt idx="71">
                  <c:v>26570.979166295045</c:v>
                </c:pt>
                <c:pt idx="72">
                  <c:v>27363.904303793635</c:v>
                </c:pt>
                <c:pt idx="73">
                  <c:v>28177.245870082748</c:v>
                </c:pt>
                <c:pt idx="74">
                  <c:v>29009.275561338098</c:v>
                </c:pt>
                <c:pt idx="75">
                  <c:v>29858.361598082462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92-4398-90F9-0635F73C17C7}"/>
            </c:ext>
          </c:extLst>
        </c:ser>
        <c:ser>
          <c:idx val="21"/>
          <c:order val="21"/>
          <c:tx>
            <c:strRef>
              <c:f>RPlot!$EP$24</c:f>
              <c:strCache>
                <c:ptCount val="1"/>
                <c:pt idx="0">
                  <c:v>5y 89d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RPlot!$AT$24:$EO$24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29554.544066642597</c:v>
                </c:pt>
                <c:pt idx="31">
                  <c:v>28783.115206134451</c:v>
                </c:pt>
                <c:pt idx="32">
                  <c:v>28027.315624204155</c:v>
                </c:pt>
                <c:pt idx="33">
                  <c:v>27287.932953802814</c:v>
                </c:pt>
                <c:pt idx="34">
                  <c:v>26565.847647712893</c:v>
                </c:pt>
                <c:pt idx="35">
                  <c:v>25862.050006896854</c:v>
                </c:pt>
                <c:pt idx="36">
                  <c:v>25177.658048070563</c:v>
                </c:pt>
                <c:pt idx="37">
                  <c:v>24513.936225235979</c:v>
                </c:pt>
                <c:pt idx="38">
                  <c:v>23872.315062610636</c:v>
                </c:pt>
                <c:pt idx="39">
                  <c:v>23254.411901770691</c:v>
                </c:pt>
                <c:pt idx="40">
                  <c:v>22662.053346203626</c:v>
                </c:pt>
                <c:pt idx="41">
                  <c:v>22097.300887143927</c:v>
                </c:pt>
                <c:pt idx="42">
                  <c:v>21562.483248559187</c:v>
                </c:pt>
                <c:pt idx="43">
                  <c:v>21060.24366768057</c:v>
                </c:pt>
                <c:pt idx="44">
                  <c:v>20593.62127019593</c:v>
                </c:pt>
                <c:pt idx="45">
                  <c:v>20166.212658618322</c:v>
                </c:pt>
                <c:pt idx="46">
                  <c:v>19782.531619913854</c:v>
                </c:pt>
                <c:pt idx="47">
                  <c:v>19448.897464779031</c:v>
                </c:pt>
                <c:pt idx="48">
                  <c:v>19175.908162199739</c:v>
                </c:pt>
                <c:pt idx="49">
                  <c:v>18986.557506592839</c:v>
                </c:pt>
                <c:pt idx="50">
                  <c:v>18786.014960996632</c:v>
                </c:pt>
                <c:pt idx="51">
                  <c:v>18634.233113358627</c:v>
                </c:pt>
                <c:pt idx="52">
                  <c:v>18538.004165826937</c:v>
                </c:pt>
                <c:pt idx="53">
                  <c:v>18498.921435830816</c:v>
                </c:pt>
                <c:pt idx="54">
                  <c:v>18518.039485770685</c:v>
                </c:pt>
                <c:pt idx="55">
                  <c:v>18595.823148537656</c:v>
                </c:pt>
                <c:pt idx="56">
                  <c:v>18732.128593915222</c:v>
                </c:pt>
                <c:pt idx="57">
                  <c:v>18869.151639139331</c:v>
                </c:pt>
                <c:pt idx="58">
                  <c:v>19076.141703847068</c:v>
                </c:pt>
                <c:pt idx="59">
                  <c:v>19354.792061339052</c:v>
                </c:pt>
                <c:pt idx="60">
                  <c:v>19694.744807675859</c:v>
                </c:pt>
                <c:pt idx="61">
                  <c:v>20089.742944045021</c:v>
                </c:pt>
                <c:pt idx="62">
                  <c:v>20535.163955211065</c:v>
                </c:pt>
                <c:pt idx="63">
                  <c:v>21027.136291624542</c:v>
                </c:pt>
                <c:pt idx="64">
                  <c:v>21562.196425802107</c:v>
                </c:pt>
                <c:pt idx="65">
                  <c:v>22137.150740938199</c:v>
                </c:pt>
                <c:pt idx="66">
                  <c:v>22749.019187327591</c:v>
                </c:pt>
                <c:pt idx="67">
                  <c:v>23395.011474554434</c:v>
                </c:pt>
                <c:pt idx="68">
                  <c:v>24072.515148479346</c:v>
                </c:pt>
                <c:pt idx="69">
                  <c:v>24779.08688649943</c:v>
                </c:pt>
                <c:pt idx="70">
                  <c:v>25512.443625482847</c:v>
                </c:pt>
                <c:pt idx="71">
                  <c:v>26270.452496750841</c:v>
                </c:pt>
                <c:pt idx="72">
                  <c:v>27051.119560624476</c:v>
                </c:pt>
                <c:pt idx="73">
                  <c:v>27852.57771949525</c:v>
                </c:pt>
                <c:pt idx="74">
                  <c:v>28673.07428020109</c:v>
                </c:pt>
                <c:pt idx="75">
                  <c:v>29510.958599198784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92-4398-90F9-0635F73C17C7}"/>
            </c:ext>
          </c:extLst>
        </c:ser>
        <c:ser>
          <c:idx val="22"/>
          <c:order val="22"/>
          <c:tx>
            <c:strRef>
              <c:f>RPlot!$EP$25</c:f>
              <c:strCache>
                <c:ptCount val="1"/>
                <c:pt idx="0">
                  <c:v>5y 150d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RPlot!$AT$25:$EO$25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29871.943392009009</c:v>
                </c:pt>
                <c:pt idx="31">
                  <c:v>29088.875381742513</c:v>
                </c:pt>
                <c:pt idx="32">
                  <c:v>28321.550572935706</c:v>
                </c:pt>
                <c:pt idx="33">
                  <c:v>27570.743857850859</c:v>
                </c:pt>
                <c:pt idx="34">
                  <c:v>26837.316966737199</c:v>
                </c:pt>
                <c:pt idx="35">
                  <c:v>26122.2356998631</c:v>
                </c:pt>
                <c:pt idx="36">
                  <c:v>25426.58814939273</c:v>
                </c:pt>
                <c:pt idx="37">
                  <c:v>24751.604007863731</c:v>
                </c:pt>
                <c:pt idx="38">
                  <c:v>24098.675137207771</c:v>
                </c:pt>
                <c:pt idx="39">
                  <c:v>23469.377761346106</c:v>
                </c:pt>
                <c:pt idx="40">
                  <c:v>22865.497075737087</c:v>
                </c:pt>
                <c:pt idx="41">
                  <c:v>22289.056008836684</c:v>
                </c:pt>
                <c:pt idx="42">
                  <c:v>21742.351901140977</c:v>
                </c:pt>
                <c:pt idx="43">
                  <c:v>21228.009277734112</c:v>
                </c:pt>
                <c:pt idx="44">
                  <c:v>20749.066722668678</c:v>
                </c:pt>
                <c:pt idx="45">
                  <c:v>20309.138814209775</c:v>
                </c:pt>
                <c:pt idx="46">
                  <c:v>19912.75133765809</c:v>
                </c:pt>
                <c:pt idx="47">
                  <c:v>19566.104215597588</c:v>
                </c:pt>
                <c:pt idx="48">
                  <c:v>19278.995735569562</c:v>
                </c:pt>
                <c:pt idx="49">
                  <c:v>19070.355329955386</c:v>
                </c:pt>
                <c:pt idx="50">
                  <c:v>18876.971588917844</c:v>
                </c:pt>
                <c:pt idx="51">
                  <c:v>18706.906719014849</c:v>
                </c:pt>
                <c:pt idx="52">
                  <c:v>18591.859657407666</c:v>
                </c:pt>
                <c:pt idx="53">
                  <c:v>18533.531333329396</c:v>
                </c:pt>
                <c:pt idx="54">
                  <c:v>18533.106371515663</c:v>
                </c:pt>
                <c:pt idx="55">
                  <c:v>18591.194649264748</c:v>
                </c:pt>
                <c:pt idx="56">
                  <c:v>18707.803349982805</c:v>
                </c:pt>
                <c:pt idx="57">
                  <c:v>18882.342518531408</c:v>
                </c:pt>
                <c:pt idx="58">
                  <c:v>19049.173369131517</c:v>
                </c:pt>
                <c:pt idx="59">
                  <c:v>19283.048684881196</c:v>
                </c:pt>
                <c:pt idx="60">
                  <c:v>19589.890573888973</c:v>
                </c:pt>
                <c:pt idx="61">
                  <c:v>19958.027471280038</c:v>
                </c:pt>
                <c:pt idx="62">
                  <c:v>20380.360145606086</c:v>
                </c:pt>
                <c:pt idx="63">
                  <c:v>20851.754221257797</c:v>
                </c:pt>
                <c:pt idx="64">
                  <c:v>21368.042161199672</c:v>
                </c:pt>
                <c:pt idx="65">
                  <c:v>21925.606028312035</c:v>
                </c:pt>
                <c:pt idx="66">
                  <c:v>22521.191403411805</c:v>
                </c:pt>
                <c:pt idx="67">
                  <c:v>23151.81909555618</c:v>
                </c:pt>
                <c:pt idx="68">
                  <c:v>23814.739432096481</c:v>
                </c:pt>
                <c:pt idx="69">
                  <c:v>24507.405059428158</c:v>
                </c:pt>
                <c:pt idx="70">
                  <c:v>25227.451539920632</c:v>
                </c:pt>
                <c:pt idx="71">
                  <c:v>25972.681046890182</c:v>
                </c:pt>
                <c:pt idx="72">
                  <c:v>26741.04723514893</c:v>
                </c:pt>
                <c:pt idx="73">
                  <c:v>27530.640637250457</c:v>
                </c:pt>
                <c:pt idx="74">
                  <c:v>28339.67449110798</c:v>
                </c:pt>
                <c:pt idx="75">
                  <c:v>29166.471077250902</c:v>
                </c:pt>
                <c:pt idx="76">
                  <c:v>30000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92-4398-90F9-0635F73C17C7}"/>
            </c:ext>
          </c:extLst>
        </c:ser>
        <c:ser>
          <c:idx val="23"/>
          <c:order val="23"/>
          <c:tx>
            <c:strRef>
              <c:f>RPlot!$EP$26</c:f>
              <c:strCache>
                <c:ptCount val="1"/>
                <c:pt idx="0">
                  <c:v>5y 211d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RPlot!$AT$26:$EO$26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29418.263810247656</c:v>
                </c:pt>
                <c:pt idx="32">
                  <c:v>28639.25716474119</c:v>
                </c:pt>
                <c:pt idx="33">
                  <c:v>27876.832258338927</c:v>
                </c:pt>
                <c:pt idx="34">
                  <c:v>27131.8332990208</c:v>
                </c:pt>
                <c:pt idx="35">
                  <c:v>26405.202483557627</c:v>
                </c:pt>
                <c:pt idx="36">
                  <c:v>25697.998480634807</c:v>
                </c:pt>
                <c:pt idx="37">
                  <c:v>25011.416177313749</c:v>
                </c:pt>
                <c:pt idx="38">
                  <c:v>24346.807942478663</c:v>
                </c:pt>
                <c:pt idx="39">
                  <c:v>23705.706869025184</c:v>
                </c:pt>
                <c:pt idx="40">
                  <c:v>23089.852893746982</c:v>
                </c:pt>
                <c:pt idx="41">
                  <c:v>22501.223599760146</c:v>
                </c:pt>
                <c:pt idx="42">
                  <c:v>21942.073378342269</c:v>
                </c:pt>
                <c:pt idx="43">
                  <c:v>21414.988535109864</c:v>
                </c:pt>
                <c:pt idx="44">
                  <c:v>20922.974287127239</c:v>
                </c:pt>
                <c:pt idx="45">
                  <c:v>20469.608220904145</c:v>
                </c:pt>
                <c:pt idx="46">
                  <c:v>20059.338701641962</c:v>
                </c:pt>
                <c:pt idx="47">
                  <c:v>19698.118494258004</c:v>
                </c:pt>
                <c:pt idx="48">
                  <c:v>19394.877600632528</c:v>
                </c:pt>
                <c:pt idx="49">
                  <c:v>19165.338091193891</c:v>
                </c:pt>
                <c:pt idx="50">
                  <c:v>18981.515775496682</c:v>
                </c:pt>
                <c:pt idx="51">
                  <c:v>18792.357096328655</c:v>
                </c:pt>
                <c:pt idx="52">
                  <c:v>18657.646828953231</c:v>
                </c:pt>
                <c:pt idx="53">
                  <c:v>18579.19753208293</c:v>
                </c:pt>
                <c:pt idx="54">
                  <c:v>18558.330349699172</c:v>
                </c:pt>
                <c:pt idx="55">
                  <c:v>18595.809084939065</c:v>
                </c:pt>
                <c:pt idx="56">
                  <c:v>18691.803015834226</c:v>
                </c:pt>
                <c:pt idx="57">
                  <c:v>18845.882459063763</c:v>
                </c:pt>
                <c:pt idx="58">
                  <c:v>19057.047154298602</c:v>
                </c:pt>
                <c:pt idx="59">
                  <c:v>19248.467813215611</c:v>
                </c:pt>
                <c:pt idx="60">
                  <c:v>19509.315128781236</c:v>
                </c:pt>
                <c:pt idx="61">
                  <c:v>19843.335345001058</c:v>
                </c:pt>
                <c:pt idx="62">
                  <c:v>20238.115319631786</c:v>
                </c:pt>
                <c:pt idx="63">
                  <c:v>20685.995792821264</c:v>
                </c:pt>
                <c:pt idx="64">
                  <c:v>21181.484597998722</c:v>
                </c:pt>
                <c:pt idx="65">
                  <c:v>21720.209044501964</c:v>
                </c:pt>
                <c:pt idx="66">
                  <c:v>22298.452440973684</c:v>
                </c:pt>
                <c:pt idx="67">
                  <c:v>22912.933564950545</c:v>
                </c:pt>
                <c:pt idx="68">
                  <c:v>23560.693805278388</c:v>
                </c:pt>
                <c:pt idx="69">
                  <c:v>24239.034077885393</c:v>
                </c:pt>
                <c:pt idx="70">
                  <c:v>24945.475389532257</c:v>
                </c:pt>
                <c:pt idx="71">
                  <c:v>25677.730890641713</c:v>
                </c:pt>
                <c:pt idx="72">
                  <c:v>26433.683702595979</c:v>
                </c:pt>
                <c:pt idx="73">
                  <c:v>27211.367827975449</c:v>
                </c:pt>
                <c:pt idx="74">
                  <c:v>28008.951166414441</c:v>
                </c:pt>
                <c:pt idx="75">
                  <c:v>28824.719672324918</c:v>
                </c:pt>
                <c:pt idx="76">
                  <c:v>29657.063058117503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92-4398-90F9-0635F73C17C7}"/>
            </c:ext>
          </c:extLst>
        </c:ser>
        <c:ser>
          <c:idx val="24"/>
          <c:order val="24"/>
          <c:tx>
            <c:strRef>
              <c:f>RPlot!$EP$27</c:f>
              <c:strCache>
                <c:ptCount val="1"/>
                <c:pt idx="0">
                  <c:v>5y 272d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RPlot!$AT$27:$EO$27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29769.475671143657</c:v>
                </c:pt>
                <c:pt idx="32">
                  <c:v>28978.672183626706</c:v>
                </c:pt>
                <c:pt idx="33">
                  <c:v>28204.478587947317</c:v>
                </c:pt>
                <c:pt idx="34">
                  <c:v>27447.722947628325</c:v>
                </c:pt>
                <c:pt idx="35">
                  <c:v>26709.324917728452</c:v>
                </c:pt>
                <c:pt idx="36">
                  <c:v>25990.314390960004</c:v>
                </c:pt>
                <c:pt idx="37">
                  <c:v>25291.851532907371</c:v>
                </c:pt>
                <c:pt idx="38">
                  <c:v>24615.248510034511</c:v>
                </c:pt>
                <c:pt idx="39">
                  <c:v>23961.993424751119</c:v>
                </c:pt>
                <c:pt idx="40">
                  <c:v>23333.777389368042</c:v>
                </c:pt>
                <c:pt idx="41">
                  <c:v>22732.526499880754</c:v>
                </c:pt>
                <c:pt idx="42">
                  <c:v>22160.442123469897</c:v>
                </c:pt>
                <c:pt idx="43">
                  <c:v>21620.056248487788</c:v>
                </c:pt>
                <c:pt idx="44">
                  <c:v>21114.315527410894</c:v>
                </c:pt>
                <c:pt idx="45">
                  <c:v>20646.722351139106</c:v>
                </c:pt>
                <c:pt idx="46">
                  <c:v>20221.594318278439</c:v>
                </c:pt>
                <c:pt idx="47">
                  <c:v>19844.582620081055</c:v>
                </c:pt>
                <c:pt idx="48">
                  <c:v>19523.796076905986</c:v>
                </c:pt>
                <c:pt idx="49">
                  <c:v>19272.474311101454</c:v>
                </c:pt>
                <c:pt idx="50">
                  <c:v>19099.461425970137</c:v>
                </c:pt>
                <c:pt idx="51">
                  <c:v>18890.506852846316</c:v>
                </c:pt>
                <c:pt idx="52">
                  <c:v>18735.391522698348</c:v>
                </c:pt>
                <c:pt idx="53">
                  <c:v>18636.041198075607</c:v>
                </c:pt>
                <c:pt idx="54">
                  <c:v>18593.917631926844</c:v>
                </c:pt>
                <c:pt idx="55">
                  <c:v>18609.945506408712</c:v>
                </c:pt>
                <c:pt idx="56">
                  <c:v>18684.465839786793</c:v>
                </c:pt>
                <c:pt idx="57">
                  <c:v>18817.221114538097</c:v>
                </c:pt>
                <c:pt idx="58">
                  <c:v>19007.37350056077</c:v>
                </c:pt>
                <c:pt idx="59">
                  <c:v>19253.553397499469</c:v>
                </c:pt>
                <c:pt idx="60">
                  <c:v>19464.043512485892</c:v>
                </c:pt>
                <c:pt idx="61">
                  <c:v>19751.9442547285</c:v>
                </c:pt>
                <c:pt idx="62">
                  <c:v>20112.291823947926</c:v>
                </c:pt>
                <c:pt idx="63">
                  <c:v>20532.38640837717</c:v>
                </c:pt>
                <c:pt idx="64">
                  <c:v>21004.256060311945</c:v>
                </c:pt>
                <c:pt idx="65">
                  <c:v>21522.192505355379</c:v>
                </c:pt>
                <c:pt idx="66">
                  <c:v>22081.702598610354</c:v>
                </c:pt>
                <c:pt idx="67">
                  <c:v>22679.02239850978</c:v>
                </c:pt>
                <c:pt idx="68">
                  <c:v>23310.874710905155</c:v>
                </c:pt>
                <c:pt idx="69">
                  <c:v>23974.33886000709</c:v>
                </c:pt>
                <c:pt idx="70">
                  <c:v>24666.774714100444</c:v>
                </c:pt>
                <c:pt idx="71">
                  <c:v>25385.773951633746</c:v>
                </c:pt>
                <c:pt idx="72">
                  <c:v>26129.125736658443</c:v>
                </c:pt>
                <c:pt idx="73">
                  <c:v>26894.789972260282</c:v>
                </c:pt>
                <c:pt idx="74">
                  <c:v>27680.875439897518</c:v>
                </c:pt>
                <c:pt idx="75">
                  <c:v>28485.620872610143</c:v>
                </c:pt>
                <c:pt idx="76">
                  <c:v>29307.378288153508</c:v>
                </c:pt>
                <c:pt idx="77">
                  <c:v>30000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92-4398-90F9-0635F73C17C7}"/>
            </c:ext>
          </c:extLst>
        </c:ser>
        <c:ser>
          <c:idx val="25"/>
          <c:order val="25"/>
          <c:tx>
            <c:strRef>
              <c:f>RPlot!$EP$28</c:f>
              <c:strCache>
                <c:ptCount val="1"/>
                <c:pt idx="0">
                  <c:v>5y 333d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RPlot!$AT$28:$EO$28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29338.230633004085</c:v>
                </c:pt>
                <c:pt idx="33">
                  <c:v>28552.159387525655</c:v>
                </c:pt>
                <c:pt idx="34">
                  <c:v>27783.506006738917</c:v>
                </c:pt>
                <c:pt idx="35">
                  <c:v>27033.168894356379</c:v>
                </c:pt>
                <c:pt idx="36">
                  <c:v>26302.150060252647</c:v>
                </c:pt>
                <c:pt idx="37">
                  <c:v>25591.575306996012</c:v>
                </c:pt>
                <c:pt idx="38">
                  <c:v>24902.716219212991</c:v>
                </c:pt>
                <c:pt idx="39">
                  <c:v>24237.014489836874</c:v>
                </c:pt>
                <c:pt idx="40">
                  <c:v>23596.109501231076</c:v>
                </c:pt>
                <c:pt idx="41">
                  <c:v>22981.870814076276</c:v>
                </c:pt>
                <c:pt idx="42">
                  <c:v>22396.438636687628</c:v>
                </c:pt>
                <c:pt idx="43">
                  <c:v>21842.27812577341</c:v>
                </c:pt>
                <c:pt idx="44">
                  <c:v>21322.258920986569</c:v>
                </c:pt>
                <c:pt idx="45">
                  <c:v>20839.782752974486</c:v>
                </c:pt>
                <c:pt idx="46">
                  <c:v>20399.00653957633</c:v>
                </c:pt>
                <c:pt idx="47">
                  <c:v>20005.264492473558</c:v>
                </c:pt>
                <c:pt idx="48">
                  <c:v>19665.92910160929</c:v>
                </c:pt>
                <c:pt idx="49">
                  <c:v>19392.317092374386</c:v>
                </c:pt>
                <c:pt idx="50">
                  <c:v>19204.337484939635</c:v>
                </c:pt>
                <c:pt idx="51">
                  <c:v>19001.335713031935</c:v>
                </c:pt>
                <c:pt idx="52">
                  <c:v>18825.172281388972</c:v>
                </c:pt>
                <c:pt idx="53">
                  <c:v>18704.233172818989</c:v>
                </c:pt>
                <c:pt idx="54">
                  <c:v>18640.122511299709</c:v>
                </c:pt>
                <c:pt idx="55">
                  <c:v>18633.930655685323</c:v>
                </c:pt>
                <c:pt idx="56">
                  <c:v>18686.178337865364</c:v>
                </c:pt>
                <c:pt idx="57">
                  <c:v>18796.791038602758</c:v>
                </c:pt>
                <c:pt idx="58">
                  <c:v>18965.106319997489</c:v>
                </c:pt>
                <c:pt idx="59">
                  <c:v>19189.912739483672</c:v>
                </c:pt>
                <c:pt idx="60">
                  <c:v>19469.515134284691</c:v>
                </c:pt>
                <c:pt idx="61">
                  <c:v>19693.736706114294</c:v>
                </c:pt>
                <c:pt idx="62">
                  <c:v>20008.640609451882</c:v>
                </c:pt>
                <c:pt idx="63">
                  <c:v>20394.52304187859</c:v>
                </c:pt>
                <c:pt idx="64">
                  <c:v>20838.739869352423</c:v>
                </c:pt>
                <c:pt idx="65">
                  <c:v>21333.209953449976</c:v>
                </c:pt>
                <c:pt idx="66">
                  <c:v>21872.130743301357</c:v>
                </c:pt>
                <c:pt idx="67">
                  <c:v>22450.962668458324</c:v>
                </c:pt>
                <c:pt idx="68">
                  <c:v>23065.939484034046</c:v>
                </c:pt>
                <c:pt idx="69">
                  <c:v>23713.81456101478</c:v>
                </c:pt>
                <c:pt idx="70">
                  <c:v>24391.719663454471</c:v>
                </c:pt>
                <c:pt idx="71">
                  <c:v>25097.080322389455</c:v>
                </c:pt>
                <c:pt idx="72">
                  <c:v>25827.560371852309</c:v>
                </c:pt>
                <c:pt idx="73">
                  <c:v>26581.022985890984</c:v>
                </c:pt>
                <c:pt idx="74">
                  <c:v>27355.500910016392</c:v>
                </c:pt>
                <c:pt idx="75">
                  <c:v>28149.172499286426</c:v>
                </c:pt>
                <c:pt idx="76">
                  <c:v>28960.341633648382</c:v>
                </c:pt>
                <c:pt idx="77">
                  <c:v>29787.420471151152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B92-4398-90F9-0635F73C17C7}"/>
            </c:ext>
          </c:extLst>
        </c:ser>
        <c:ser>
          <c:idx val="26"/>
          <c:order val="26"/>
          <c:tx>
            <c:strRef>
              <c:f>RPlot!$EP$29</c:f>
              <c:strCache>
                <c:ptCount val="1"/>
                <c:pt idx="0">
                  <c:v>6y 29d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RPlot!$AT$29:$EO$29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29716.531778405784</c:v>
                </c:pt>
                <c:pt idx="33">
                  <c:v>28918.513374822865</c:v>
                </c:pt>
                <c:pt idx="34">
                  <c:v>28137.862420624904</c:v>
                </c:pt>
                <c:pt idx="35">
                  <c:v>27375.457618033615</c:v>
                </c:pt>
                <c:pt idx="36">
                  <c:v>26632.274283810642</c:v>
                </c:pt>
                <c:pt idx="37">
                  <c:v>25909.404566319798</c:v>
                </c:pt>
                <c:pt idx="38">
                  <c:v>25208.079523979766</c:v>
                </c:pt>
                <c:pt idx="39">
                  <c:v>24529.693596918249</c:v>
                </c:pt>
                <c:pt idx="40">
                  <c:v>23875.832348106222</c:v>
                </c:pt>
                <c:pt idx="41">
                  <c:v>23248.304988274052</c:v>
                </c:pt>
                <c:pt idx="42">
                  <c:v>22649.184396445551</c:v>
                </c:pt>
                <c:pt idx="43">
                  <c:v>22080.859602557826</c:v>
                </c:pt>
                <c:pt idx="44">
                  <c:v>21546.110294560665</c:v>
                </c:pt>
                <c:pt idx="45">
                  <c:v>21048.221220923704</c:v>
                </c:pt>
                <c:pt idx="46">
                  <c:v>20591.173449582326</c:v>
                </c:pt>
                <c:pt idx="47">
                  <c:v>20179.988288865017</c:v>
                </c:pt>
                <c:pt idx="48">
                  <c:v>19821.391922765601</c:v>
                </c:pt>
                <c:pt idx="49">
                  <c:v>19525.197834885119</c:v>
                </c:pt>
                <c:pt idx="50">
                  <c:v>19307.433150693738</c:v>
                </c:pt>
                <c:pt idx="51">
                  <c:v>19124.857830305205</c:v>
                </c:pt>
                <c:pt idx="52">
                  <c:v>18927.098230563715</c:v>
                </c:pt>
                <c:pt idx="53">
                  <c:v>18783.972549996146</c:v>
                </c:pt>
                <c:pt idx="54">
                  <c:v>18697.226638032982</c:v>
                </c:pt>
                <c:pt idx="55">
                  <c:v>18668.119064477054</c:v>
                </c:pt>
                <c:pt idx="56">
                  <c:v>18697.356332811785</c:v>
                </c:pt>
                <c:pt idx="57">
                  <c:v>18785.056376534438</c:v>
                </c:pt>
                <c:pt idx="58">
                  <c:v>18930.744427584355</c:v>
                </c:pt>
                <c:pt idx="59">
                  <c:v>19133.381332337209</c:v>
                </c:pt>
                <c:pt idx="60">
                  <c:v>19391.420366335704</c:v>
                </c:pt>
                <c:pt idx="61">
                  <c:v>19684.787086931137</c:v>
                </c:pt>
                <c:pt idx="62">
                  <c:v>19935.93832201809</c:v>
                </c:pt>
                <c:pt idx="63">
                  <c:v>20277.618660165637</c:v>
                </c:pt>
                <c:pt idx="64">
                  <c:v>20688.247670939807</c:v>
                </c:pt>
                <c:pt idx="65">
                  <c:v>21155.483107065658</c:v>
                </c:pt>
                <c:pt idx="66">
                  <c:v>21671.294359306186</c:v>
                </c:pt>
                <c:pt idx="67">
                  <c:v>22229.88436398565</c:v>
                </c:pt>
                <c:pt idx="68">
                  <c:v>22826.728770881</c:v>
                </c:pt>
                <c:pt idx="69">
                  <c:v>23458.096573492261</c:v>
                </c:pt>
                <c:pt idx="70">
                  <c:v>24120.793563805215</c:v>
                </c:pt>
                <c:pt idx="71">
                  <c:v>24812.015704897487</c:v>
                </c:pt>
                <c:pt idx="72">
                  <c:v>25529.259029304034</c:v>
                </c:pt>
                <c:pt idx="73">
                  <c:v>26270.260167940796</c:v>
                </c:pt>
                <c:pt idx="74">
                  <c:v>27032.954211586573</c:v>
                </c:pt>
                <c:pt idx="75">
                  <c:v>27815.442919125559</c:v>
                </c:pt>
                <c:pt idx="76">
                  <c:v>28615.969495663012</c:v>
                </c:pt>
                <c:pt idx="77">
                  <c:v>29432.897842104972</c:v>
                </c:pt>
                <c:pt idx="78">
                  <c:v>30000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B92-4398-90F9-0635F73C17C7}"/>
            </c:ext>
          </c:extLst>
        </c:ser>
        <c:ser>
          <c:idx val="27"/>
          <c:order val="27"/>
          <c:tx>
            <c:strRef>
              <c:f>RPlot!$EP$30</c:f>
              <c:strCache>
                <c:ptCount val="1"/>
                <c:pt idx="0">
                  <c:v>6y 90d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RPlot!$AT$30:$EO$30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29302.313938263069</c:v>
                </c:pt>
                <c:pt idx="34">
                  <c:v>28509.604529837594</c:v>
                </c:pt>
                <c:pt idx="35">
                  <c:v>27735.044164440227</c:v>
                </c:pt>
                <c:pt idx="36">
                  <c:v>26979.582970735053</c:v>
                </c:pt>
                <c:pt idx="37">
                  <c:v>26244.280532317334</c:v>
                </c:pt>
                <c:pt idx="38">
                  <c:v>25530.327913136942</c:v>
                </c:pt>
                <c:pt idx="39">
                  <c:v>24839.072079200865</c:v>
                </c:pt>
                <c:pt idx="40">
                  <c:v>24172.043509374071</c:v>
                </c:pt>
                <c:pt idx="41">
                  <c:v>23530.988519461833</c:v>
                </c:pt>
                <c:pt idx="42">
                  <c:v>22917.908276909766</c:v>
                </c:pt>
                <c:pt idx="43">
                  <c:v>22335.109229330854</c:v>
                </c:pt>
                <c:pt idx="44">
                  <c:v>21785.272290809287</c:v>
                </c:pt>
                <c:pt idx="45">
                  <c:v>21271.555420885103</c:v>
                </c:pt>
                <c:pt idx="46">
                  <c:v>20797.757603627178</c:v>
                </c:pt>
                <c:pt idx="47">
                  <c:v>20368.600525695783</c:v>
                </c:pt>
                <c:pt idx="48">
                  <c:v>19990.246555372192</c:v>
                </c:pt>
                <c:pt idx="49">
                  <c:v>19671.31845511889</c:v>
                </c:pt>
                <c:pt idx="50">
                  <c:v>19425.061577350734</c:v>
                </c:pt>
                <c:pt idx="51">
                  <c:v>19261.104101469638</c:v>
                </c:pt>
                <c:pt idx="52">
                  <c:v>19041.29165454732</c:v>
                </c:pt>
                <c:pt idx="53">
                  <c:v>18875.469516402198</c:v>
                </c:pt>
                <c:pt idx="54">
                  <c:v>18765.522243236428</c:v>
                </c:pt>
                <c:pt idx="55">
                  <c:v>18712.876776008186</c:v>
                </c:pt>
                <c:pt idx="56">
                  <c:v>18718.429294390491</c:v>
                </c:pt>
                <c:pt idx="57">
                  <c:v>18782.497953305785</c:v>
                </c:pt>
                <c:pt idx="58">
                  <c:v>18904.80688252085</c:v>
                </c:pt>
                <c:pt idx="59">
                  <c:v>19084.503031711723</c:v>
                </c:pt>
                <c:pt idx="60">
                  <c:v>19320.203333110665</c:v>
                </c:pt>
                <c:pt idx="61">
                  <c:v>19610.066117843056</c:v>
                </c:pt>
                <c:pt idx="62">
                  <c:v>19907.997837279698</c:v>
                </c:pt>
                <c:pt idx="63">
                  <c:v>20189.414434515093</c:v>
                </c:pt>
                <c:pt idx="64">
                  <c:v>20557.46643181664</c:v>
                </c:pt>
                <c:pt idx="65">
                  <c:v>20992.033675453313</c:v>
                </c:pt>
                <c:pt idx="66">
                  <c:v>21481.244560926727</c:v>
                </c:pt>
                <c:pt idx="67">
                  <c:v>22017.239263057039</c:v>
                </c:pt>
                <c:pt idx="68">
                  <c:v>22594.304588740953</c:v>
                </c:pt>
                <c:pt idx="69">
                  <c:v>23207.980844677579</c:v>
                </c:pt>
                <c:pt idx="70">
                  <c:v>23854.602235111786</c:v>
                </c:pt>
                <c:pt idx="71">
                  <c:v>24531.044352973273</c:v>
                </c:pt>
                <c:pt idx="72">
                  <c:v>25234.576255048454</c:v>
                </c:pt>
                <c:pt idx="73">
                  <c:v>25962.767978227603</c:v>
                </c:pt>
                <c:pt idx="74">
                  <c:v>26713.428810000616</c:v>
                </c:pt>
                <c:pt idx="75">
                  <c:v>27484.563430565555</c:v>
                </c:pt>
                <c:pt idx="76">
                  <c:v>28274.338982417965</c:v>
                </c:pt>
                <c:pt idx="77">
                  <c:v>29081.059211222386</c:v>
                </c:pt>
                <c:pt idx="78">
                  <c:v>29903.143470568077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B92-4398-90F9-0635F73C17C7}"/>
            </c:ext>
          </c:extLst>
        </c:ser>
        <c:ser>
          <c:idx val="28"/>
          <c:order val="28"/>
          <c:tx>
            <c:strRef>
              <c:f>RPlot!$EP$31</c:f>
              <c:strCache>
                <c:ptCount val="1"/>
                <c:pt idx="0">
                  <c:v>6y 151d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RPlot!$AT$31:$EO$31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29702.446762625084</c:v>
                </c:pt>
                <c:pt idx="34">
                  <c:v>28897.654792351848</c:v>
                </c:pt>
                <c:pt idx="35">
                  <c:v>28110.889277739705</c:v>
                </c:pt>
                <c:pt idx="36">
                  <c:v>27343.076976874032</c:v>
                </c:pt>
                <c:pt idx="37">
                  <c:v>26595.246352421382</c:v>
                </c:pt>
                <c:pt idx="38">
                  <c:v>25868.549534380025</c:v>
                </c:pt>
                <c:pt idx="39">
                  <c:v>25164.286386198968</c:v>
                </c:pt>
                <c:pt idx="40">
                  <c:v>24483.931941643197</c:v>
                </c:pt>
                <c:pt idx="41">
                  <c:v>23829.168057983436</c:v>
                </c:pt>
                <c:pt idx="42">
                  <c:v>23201.921479981389</c:v>
                </c:pt>
                <c:pt idx="43">
                  <c:v>22604.411834685132</c:v>
                </c:pt>
                <c:pt idx="44">
                  <c:v>22039.215859159929</c:v>
                </c:pt>
                <c:pt idx="45">
                  <c:v>21509.359358094218</c:v>
                </c:pt>
                <c:pt idx="46">
                  <c:v>21018.458458686044</c:v>
                </c:pt>
                <c:pt idx="47">
                  <c:v>20570.952002870523</c:v>
                </c:pt>
                <c:pt idx="48">
                  <c:v>20172.509733559593</c:v>
                </c:pt>
                <c:pt idx="49">
                  <c:v>19830.796861321302</c:v>
                </c:pt>
                <c:pt idx="50">
                  <c:v>19557.006346096186</c:v>
                </c:pt>
                <c:pt idx="51">
                  <c:v>19369.17455008949</c:v>
                </c:pt>
                <c:pt idx="52">
                  <c:v>19167.874249606713</c:v>
                </c:pt>
                <c:pt idx="53">
                  <c:v>18978.93165425989</c:v>
                </c:pt>
                <c:pt idx="54">
                  <c:v>18845.298533781861</c:v>
                </c:pt>
                <c:pt idx="55">
                  <c:v>18768.567927148149</c:v>
                </c:pt>
                <c:pt idx="56">
                  <c:v>18749.827258720263</c:v>
                </c:pt>
                <c:pt idx="57">
                  <c:v>18789.600674372527</c:v>
                </c:pt>
                <c:pt idx="58">
                  <c:v>18887.821026233156</c:v>
                </c:pt>
                <c:pt idx="59">
                  <c:v>19043.834454362812</c:v>
                </c:pt>
                <c:pt idx="60">
                  <c:v>19256.436827822181</c:v>
                </c:pt>
                <c:pt idx="61">
                  <c:v>19523.936947542563</c:v>
                </c:pt>
                <c:pt idx="62">
                  <c:v>19844.239025851191</c:v>
                </c:pt>
                <c:pt idx="63">
                  <c:v>20141.74336495794</c:v>
                </c:pt>
                <c:pt idx="64">
                  <c:v>20453.188534581954</c:v>
                </c:pt>
                <c:pt idx="65">
                  <c:v>20847.048768267559</c:v>
                </c:pt>
                <c:pt idx="66">
                  <c:v>21304.718839466012</c:v>
                </c:pt>
                <c:pt idx="67">
                  <c:v>21814.90642601953</c:v>
                </c:pt>
                <c:pt idx="68">
                  <c:v>22370.009005454376</c:v>
                </c:pt>
                <c:pt idx="69">
                  <c:v>22964.456488819073</c:v>
                </c:pt>
                <c:pt idx="70">
                  <c:v>23593.891832110945</c:v>
                </c:pt>
                <c:pt idx="71">
                  <c:v>24254.737710944013</c:v>
                </c:pt>
                <c:pt idx="72">
                  <c:v>24943.952669400624</c:v>
                </c:pt>
                <c:pt idx="73">
                  <c:v>25658.885334361767</c:v>
                </c:pt>
                <c:pt idx="74">
                  <c:v>26397.181829473542</c:v>
                </c:pt>
                <c:pt idx="75">
                  <c:v>27156.723367112689</c:v>
                </c:pt>
                <c:pt idx="76">
                  <c:v>27935.581756201733</c:v>
                </c:pt>
                <c:pt idx="77">
                  <c:v>28731.986076682733</c:v>
                </c:pt>
                <c:pt idx="78">
                  <c:v>29544.296689166738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B92-4398-90F9-0635F73C17C7}"/>
            </c:ext>
          </c:extLst>
        </c:ser>
        <c:ser>
          <c:idx val="29"/>
          <c:order val="29"/>
          <c:tx>
            <c:strRef>
              <c:f>RPlot!$EP$32</c:f>
              <c:strCache>
                <c:ptCount val="1"/>
                <c:pt idx="0">
                  <c:v>6y 211d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RPlot!$AT$32:$EO$32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29301.027622429196</c:v>
                </c:pt>
                <c:pt idx="35">
                  <c:v>28502.043325392944</c:v>
                </c:pt>
                <c:pt idx="36">
                  <c:v>27721.844157049716</c:v>
                </c:pt>
                <c:pt idx="37">
                  <c:v>26961.429348794471</c:v>
                </c:pt>
                <c:pt idx="38">
                  <c:v>26221.913460068143</c:v>
                </c:pt>
                <c:pt idx="39">
                  <c:v>25504.550278097347</c:v>
                </c:pt>
                <c:pt idx="40">
                  <c:v>24810.759712080267</c:v>
                </c:pt>
                <c:pt idx="41">
                  <c:v>24142.158766680957</c:v>
                </c:pt>
                <c:pt idx="42">
                  <c:v>23500.598361421286</c:v>
                </c:pt>
                <c:pt idx="43">
                  <c:v>22888.208968528921</c:v>
                </c:pt>
                <c:pt idx="44">
                  <c:v>22307.46021298453</c:v>
                </c:pt>
                <c:pt idx="45">
                  <c:v>21761.243566595251</c:v>
                </c:pt>
                <c:pt idx="46">
                  <c:v>21252.994783868126</c:v>
                </c:pt>
                <c:pt idx="47">
                  <c:v>20786.887371223027</c:v>
                </c:pt>
                <c:pt idx="48">
                  <c:v>20368.158153423599</c:v>
                </c:pt>
                <c:pt idx="49">
                  <c:v>20003.689796706138</c:v>
                </c:pt>
                <c:pt idx="50">
                  <c:v>19703.120734459262</c:v>
                </c:pt>
                <c:pt idx="51">
                  <c:v>19481.110848064138</c:v>
                </c:pt>
                <c:pt idx="52">
                  <c:v>19306.956444516174</c:v>
                </c:pt>
                <c:pt idx="53">
                  <c:v>19094.553101139332</c:v>
                </c:pt>
                <c:pt idx="54">
                  <c:v>18936.830710729562</c:v>
                </c:pt>
                <c:pt idx="55">
                  <c:v>18835.543708065004</c:v>
                </c:pt>
                <c:pt idx="56">
                  <c:v>18791.969856411011</c:v>
                </c:pt>
                <c:pt idx="57">
                  <c:v>18806.842822056944</c:v>
                </c:pt>
                <c:pt idx="58">
                  <c:v>18880.312149592086</c:v>
                </c:pt>
                <c:pt idx="59">
                  <c:v>19011.935203996276</c:v>
                </c:pt>
                <c:pt idx="60">
                  <c:v>19200.701706607724</c:v>
                </c:pt>
                <c:pt idx="61">
                  <c:v>19445.087436043228</c:v>
                </c:pt>
                <c:pt idx="62">
                  <c:v>19743.130378194004</c:v>
                </c:pt>
                <c:pt idx="63">
                  <c:v>20092.520693913859</c:v>
                </c:pt>
                <c:pt idx="64">
                  <c:v>20385.529068107775</c:v>
                </c:pt>
                <c:pt idx="65">
                  <c:v>20726.464303684395</c:v>
                </c:pt>
                <c:pt idx="66">
                  <c:v>21145.438668089766</c:v>
                </c:pt>
                <c:pt idx="67">
                  <c:v>21625.351383290457</c:v>
                </c:pt>
                <c:pt idx="68">
                  <c:v>22155.552452759253</c:v>
                </c:pt>
                <c:pt idx="69">
                  <c:v>22728.755725861265</c:v>
                </c:pt>
                <c:pt idx="70">
                  <c:v>23339.576957251425</c:v>
                </c:pt>
                <c:pt idx="71">
                  <c:v>23983.789838968863</c:v>
                </c:pt>
                <c:pt idx="72">
                  <c:v>24657.922672439268</c:v>
                </c:pt>
                <c:pt idx="73">
                  <c:v>25359.026462845679</c:v>
                </c:pt>
                <c:pt idx="74">
                  <c:v>26084.53374331339</c:v>
                </c:pt>
                <c:pt idx="75">
                  <c:v>26832.167653304561</c:v>
                </c:pt>
                <c:pt idx="76">
                  <c:v>27599.88009156525</c:v>
                </c:pt>
                <c:pt idx="77">
                  <c:v>28385.807450617911</c:v>
                </c:pt>
                <c:pt idx="78">
                  <c:v>29188.237488787534</c:v>
                </c:pt>
                <c:pt idx="79">
                  <c:v>30000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B92-4398-90F9-0635F73C17C7}"/>
            </c:ext>
          </c:extLst>
        </c:ser>
        <c:ser>
          <c:idx val="30"/>
          <c:order val="30"/>
          <c:tx>
            <c:strRef>
              <c:f>RPlot!$EP$33</c:f>
              <c:strCache>
                <c:ptCount val="1"/>
                <c:pt idx="0">
                  <c:v>6y 272d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RPlot!$AT$33:$EO$33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29718.814683574074</c:v>
                </c:pt>
                <c:pt idx="35">
                  <c:v>28907.631751108751</c:v>
                </c:pt>
                <c:pt idx="36">
                  <c:v>28115.04497719491</c:v>
                </c:pt>
                <c:pt idx="37">
                  <c:v>27342.026505078487</c:v>
                </c:pt>
                <c:pt idx="38">
                  <c:v>26589.655259794359</c:v>
                </c:pt>
                <c:pt idx="39">
                  <c:v>25859.140439545135</c:v>
                </c:pt>
                <c:pt idx="40">
                  <c:v>25151.847862857394</c:v>
                </c:pt>
                <c:pt idx="41">
                  <c:v>24469.330132618608</c:v>
                </c:pt>
                <c:pt idx="42">
                  <c:v>23813.362139846744</c:v>
                </c:pt>
                <c:pt idx="43">
                  <c:v>23185.984401339134</c:v>
                </c:pt>
                <c:pt idx="44">
                  <c:v>22589.55843557038</c:v>
                </c:pt>
                <c:pt idx="45">
                  <c:v>22026.841450197127</c:v>
                </c:pt>
                <c:pt idx="46">
                  <c:v>21501.093249877747</c:v>
                </c:pt>
                <c:pt idx="47">
                  <c:v>21016.238931689593</c:v>
                </c:pt>
                <c:pt idx="48">
                  <c:v>20577.131872958911</c:v>
                </c:pt>
                <c:pt idx="49">
                  <c:v>20190.004630795731</c:v>
                </c:pt>
                <c:pt idx="50">
                  <c:v>19863.289320382915</c:v>
                </c:pt>
                <c:pt idx="51">
                  <c:v>19609.207770062701</c:v>
                </c:pt>
                <c:pt idx="52">
                  <c:v>19447.081959806223</c:v>
                </c:pt>
                <c:pt idx="53">
                  <c:v>19222.506108403835</c:v>
                </c:pt>
                <c:pt idx="54">
                  <c:v>19040.371200604273</c:v>
                </c:pt>
                <c:pt idx="55">
                  <c:v>18914.133314285402</c:v>
                </c:pt>
                <c:pt idx="56">
                  <c:v>18845.257099257895</c:v>
                </c:pt>
                <c:pt idx="57">
                  <c:v>18834.68677070209</c:v>
                </c:pt>
                <c:pt idx="58">
                  <c:v>18882.794469278895</c:v>
                </c:pt>
                <c:pt idx="59">
                  <c:v>18989.359221551382</c:v>
                </c:pt>
                <c:pt idx="60">
                  <c:v>19153.57876476214</c:v>
                </c:pt>
                <c:pt idx="61">
                  <c:v>19374.112396711444</c:v>
                </c:pt>
                <c:pt idx="62">
                  <c:v>19649.149273879426</c:v>
                </c:pt>
                <c:pt idx="63">
                  <c:v>19976.494199297318</c:v>
                </c:pt>
                <c:pt idx="64">
                  <c:v>20353.661703028352</c:v>
                </c:pt>
                <c:pt idx="65">
                  <c:v>20638.913635416146</c:v>
                </c:pt>
                <c:pt idx="66">
                  <c:v>21008.574947112444</c:v>
                </c:pt>
                <c:pt idx="67">
                  <c:v>21451.868005163444</c:v>
                </c:pt>
                <c:pt idx="68">
                  <c:v>21953.144944478649</c:v>
                </c:pt>
                <c:pt idx="69">
                  <c:v>22502.427356167809</c:v>
                </c:pt>
                <c:pt idx="70">
                  <c:v>23092.782569788822</c:v>
                </c:pt>
                <c:pt idx="71">
                  <c:v>23719.041313324931</c:v>
                </c:pt>
                <c:pt idx="72">
                  <c:v>24377.127694493654</c:v>
                </c:pt>
                <c:pt idx="73">
                  <c:v>25063.687630836084</c:v>
                </c:pt>
                <c:pt idx="74">
                  <c:v>25775.87097905104</c:v>
                </c:pt>
                <c:pt idx="75">
                  <c:v>26511.196706795054</c:v>
                </c:pt>
                <c:pt idx="76">
                  <c:v>27267.464942609648</c:v>
                </c:pt>
                <c:pt idx="77">
                  <c:v>28042.696633106283</c:v>
                </c:pt>
                <c:pt idx="78">
                  <c:v>28835.090169659896</c:v>
                </c:pt>
                <c:pt idx="79">
                  <c:v>29642.988919607542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B92-4398-90F9-0635F73C17C7}"/>
            </c:ext>
          </c:extLst>
        </c:ser>
        <c:ser>
          <c:idx val="31"/>
          <c:order val="31"/>
          <c:tx>
            <c:strRef>
              <c:f>RPlot!$EP$34</c:f>
              <c:strCache>
                <c:ptCount val="1"/>
                <c:pt idx="0">
                  <c:v>6y 333d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RPlot!$AT$34:$EO$34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29326.842970963993</c:v>
                </c:pt>
                <c:pt idx="36">
                  <c:v>28521.900561409675</c:v>
                </c:pt>
                <c:pt idx="37">
                  <c:v>27736.292937064052</c:v>
                </c:pt>
                <c:pt idx="38">
                  <c:v>26971.065650152832</c:v>
                </c:pt>
                <c:pt idx="39">
                  <c:v>26227.38529684204</c:v>
                </c:pt>
                <c:pt idx="40">
                  <c:v>25506.565244815982</c:v>
                </c:pt>
                <c:pt idx="41">
                  <c:v>24810.094922041608</c:v>
                </c:pt>
                <c:pt idx="42">
                  <c:v>24139.673980460833</c:v>
                </c:pt>
                <c:pt idx="43">
                  <c:v>23497.253431727979</c:v>
                </c:pt>
                <c:pt idx="44">
                  <c:v>22885.08720212031</c:v>
                </c:pt>
                <c:pt idx="45">
                  <c:v>22305.799923607534</c:v>
                </c:pt>
                <c:pt idx="46">
                  <c:v>21762.4810261764</c:v>
                </c:pt>
                <c:pt idx="47">
                  <c:v>21258.82301547068</c:v>
                </c:pt>
                <c:pt idx="48">
                  <c:v>20799.336705664762</c:v>
                </c:pt>
                <c:pt idx="49">
                  <c:v>20389.705748108478</c:v>
                </c:pt>
                <c:pt idx="50">
                  <c:v>20037.404633044025</c:v>
                </c:pt>
                <c:pt idx="51">
                  <c:v>19752.841636060461</c:v>
                </c:pt>
                <c:pt idx="52">
                  <c:v>19551.614723208815</c:v>
                </c:pt>
                <c:pt idx="53">
                  <c:v>19362.934643074957</c:v>
                </c:pt>
                <c:pt idx="54">
                  <c:v>19156.142791667691</c:v>
                </c:pt>
                <c:pt idx="55">
                  <c:v>19004.636628945787</c:v>
                </c:pt>
                <c:pt idx="56">
                  <c:v>18910.061693777327</c:v>
                </c:pt>
                <c:pt idx="57">
                  <c:v>18873.571153772205</c:v>
                </c:pt>
                <c:pt idx="58">
                  <c:v>18895.763200083344</c:v>
                </c:pt>
                <c:pt idx="59">
                  <c:v>18976.647057607464</c:v>
                </c:pt>
                <c:pt idx="60">
                  <c:v>19115.641359846071</c:v>
                </c:pt>
                <c:pt idx="61">
                  <c:v>19311.605122835852</c:v>
                </c:pt>
                <c:pt idx="62">
                  <c:v>19562.896510608913</c:v>
                </c:pt>
                <c:pt idx="63">
                  <c:v>19867.452835523825</c:v>
                </c:pt>
                <c:pt idx="64">
                  <c:v>20222.882569124431</c:v>
                </c:pt>
                <c:pt idx="65">
                  <c:v>20597.306759079882</c:v>
                </c:pt>
                <c:pt idx="66">
                  <c:v>20901.488125490254</c:v>
                </c:pt>
                <c:pt idx="67">
                  <c:v>21298.94932011007</c:v>
                </c:pt>
                <c:pt idx="68">
                  <c:v>21765.691888778216</c:v>
                </c:pt>
                <c:pt idx="69">
                  <c:v>22287.444416922288</c:v>
                </c:pt>
                <c:pt idx="70">
                  <c:v>22854.904914383951</c:v>
                </c:pt>
                <c:pt idx="71">
                  <c:v>23461.514275830261</c:v>
                </c:pt>
                <c:pt idx="72">
                  <c:v>24102.33634721057</c:v>
                </c:pt>
                <c:pt idx="73">
                  <c:v>24773.458412306078</c:v>
                </c:pt>
                <c:pt idx="74">
                  <c:v>25471.651706053141</c:v>
                </c:pt>
                <c:pt idx="75">
                  <c:v>26194.16873505375</c:v>
                </c:pt>
                <c:pt idx="76">
                  <c:v>26938.615939590582</c:v>
                </c:pt>
                <c:pt idx="77">
                  <c:v>27702.869639341228</c:v>
                </c:pt>
                <c:pt idx="78">
                  <c:v>28485.017887809539</c:v>
                </c:pt>
                <c:pt idx="79">
                  <c:v>29283.318490692356</c:v>
                </c:pt>
                <c:pt idx="80">
                  <c:v>30000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B92-4398-90F9-0635F73C17C7}"/>
            </c:ext>
          </c:extLst>
        </c:ser>
        <c:ser>
          <c:idx val="32"/>
          <c:order val="32"/>
          <c:tx>
            <c:strRef>
              <c:f>RPlot!$EP$35</c:f>
              <c:strCache>
                <c:ptCount val="1"/>
                <c:pt idx="0">
                  <c:v>7y 29d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RPlot!$AT$35:$EO$35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29758.918690213603</c:v>
                </c:pt>
                <c:pt idx="36">
                  <c:v>28941.683205908867</c:v>
                </c:pt>
                <c:pt idx="37">
                  <c:v>28143.532482111485</c:v>
                </c:pt>
                <c:pt idx="38">
                  <c:v>27365.48128925023</c:v>
                </c:pt>
                <c:pt idx="39">
                  <c:v>26608.656024476059</c:v>
                </c:pt>
                <c:pt idx="40">
                  <c:v>25874.31977039203</c:v>
                </c:pt>
                <c:pt idx="41">
                  <c:v>25163.900671272335</c:v>
                </c:pt>
                <c:pt idx="42">
                  <c:v>24479.024762229703</c:v>
                </c:pt>
                <c:pt idx="43">
                  <c:v>23821.555020469154</c:v>
                </c:pt>
                <c:pt idx="44">
                  <c:v>23193.639477016004</c:v>
                </c:pt>
                <c:pt idx="45">
                  <c:v>22597.77306524993</c:v>
                </c:pt>
                <c:pt idx="46">
                  <c:v>22036.881104085565</c:v>
                </c:pt>
                <c:pt idx="47">
                  <c:v>21514.438095494246</c:v>
                </c:pt>
                <c:pt idx="48">
                  <c:v>21034.646211909167</c:v>
                </c:pt>
                <c:pt idx="49">
                  <c:v>20602.718409539768</c:v>
                </c:pt>
                <c:pt idx="50">
                  <c:v>20225.352527972362</c:v>
                </c:pt>
                <c:pt idx="51">
                  <c:v>19911.5709160427</c:v>
                </c:pt>
                <c:pt idx="52">
                  <c:v>19674.299928161789</c:v>
                </c:pt>
                <c:pt idx="53">
                  <c:v>19515.949749474181</c:v>
                </c:pt>
                <c:pt idx="54">
                  <c:v>19284.333437131536</c:v>
                </c:pt>
                <c:pt idx="55">
                  <c:v>19107.318437539281</c:v>
                </c:pt>
                <c:pt idx="56">
                  <c:v>18986.72271549952</c:v>
                </c:pt>
                <c:pt idx="57">
                  <c:v>18923.904087232066</c:v>
                </c:pt>
                <c:pt idx="58">
                  <c:v>18919.687584867752</c:v>
                </c:pt>
                <c:pt idx="59">
                  <c:v>18974.318810258377</c:v>
                </c:pt>
                <c:pt idx="60">
                  <c:v>19087.448669356741</c:v>
                </c:pt>
                <c:pt idx="61">
                  <c:v>19258.151068033236</c:v>
                </c:pt>
                <c:pt idx="62">
                  <c:v>19484.971022723254</c:v>
                </c:pt>
                <c:pt idx="63">
                  <c:v>19765.997077756769</c:v>
                </c:pt>
                <c:pt idx="64">
                  <c:v>20098.949660028768</c:v>
                </c:pt>
                <c:pt idx="65">
                  <c:v>20481.27631620536</c:v>
                </c:pt>
                <c:pt idx="66">
                  <c:v>20834.930237950124</c:v>
                </c:pt>
                <c:pt idx="67">
                  <c:v>21172.86535068493</c:v>
                </c:pt>
                <c:pt idx="68">
                  <c:v>21597.089229557041</c:v>
                </c:pt>
                <c:pt idx="69">
                  <c:v>22086.362362368003</c:v>
                </c:pt>
                <c:pt idx="70">
                  <c:v>22627.699517387915</c:v>
                </c:pt>
                <c:pt idx="71">
                  <c:v>23212.462711321139</c:v>
                </c:pt>
                <c:pt idx="72">
                  <c:v>23834.473574180483</c:v>
                </c:pt>
                <c:pt idx="73">
                  <c:v>24489.03856069914</c:v>
                </c:pt>
                <c:pt idx="74">
                  <c:v>25172.415326313654</c:v>
                </c:pt>
                <c:pt idx="75">
                  <c:v>25881.504641754935</c:v>
                </c:pt>
                <c:pt idx="76">
                  <c:v>26613.663355338358</c:v>
                </c:pt>
                <c:pt idx="77">
                  <c:v>27366.585217677159</c:v>
                </c:pt>
                <c:pt idx="78">
                  <c:v>28138.221336699655</c:v>
                </c:pt>
                <c:pt idx="79">
                  <c:v>28926.72471590641</c:v>
                </c:pt>
                <c:pt idx="80">
                  <c:v>29730.410025642341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B92-4398-90F9-0635F73C17C7}"/>
            </c:ext>
          </c:extLst>
        </c:ser>
        <c:ser>
          <c:idx val="33"/>
          <c:order val="33"/>
          <c:tx>
            <c:strRef>
              <c:f>RPlot!$EP$36</c:f>
              <c:strCache>
                <c:ptCount val="1"/>
                <c:pt idx="0">
                  <c:v>7y 90d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RPlot!$AT$36:$EO$36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29373.708532703771</c:v>
                </c:pt>
                <c:pt idx="37">
                  <c:v>28563.090086150536</c:v>
                </c:pt>
                <c:pt idx="38">
                  <c:v>27772.277392553253</c:v>
                </c:pt>
                <c:pt idx="39">
                  <c:v>27002.359409746616</c:v>
                </c:pt>
                <c:pt idx="40">
                  <c:v>26254.551550334232</c:v>
                </c:pt>
                <c:pt idx="41">
                  <c:v>25530.223128348091</c:v>
                </c:pt>
                <c:pt idx="42">
                  <c:v>24830.928878338331</c:v>
                </c:pt>
                <c:pt idx="43">
                  <c:v>24158.446045472818</c:v>
                </c:pt>
                <c:pt idx="44">
                  <c:v>23514.819395839397</c:v>
                </c:pt>
                <c:pt idx="45">
                  <c:v>22902.417928882227</c:v>
                </c:pt>
                <c:pt idx="46">
                  <c:v>22324.009532507476</c:v>
                </c:pt>
                <c:pt idx="47">
                  <c:v>21782.864131838418</c:v>
                </c:pt>
                <c:pt idx="48">
                  <c:v>21282.903647480649</c:v>
                </c:pt>
                <c:pt idx="49">
                  <c:v>20828.931559829172</c:v>
                </c:pt>
                <c:pt idx="50">
                  <c:v>20427.003071988052</c:v>
                </c:pt>
                <c:pt idx="51">
                  <c:v>20085.054643415955</c:v>
                </c:pt>
                <c:pt idx="52">
                  <c:v>19814.037117458458</c:v>
                </c:pt>
                <c:pt idx="53">
                  <c:v>19630.087095668008</c:v>
                </c:pt>
                <c:pt idx="54">
                  <c:v>19425.092533189465</c:v>
                </c:pt>
                <c:pt idx="55">
                  <c:v>19222.404025098418</c:v>
                </c:pt>
                <c:pt idx="56">
                  <c:v>19075.540529785234</c:v>
                </c:pt>
                <c:pt idx="57">
                  <c:v>18986.057510598584</c:v>
                </c:pt>
                <c:pt idx="58">
                  <c:v>18955.004808669008</c:v>
                </c:pt>
                <c:pt idx="59">
                  <c:v>18982.868014156506</c:v>
                </c:pt>
                <c:pt idx="60">
                  <c:v>19069.539407997956</c:v>
                </c:pt>
                <c:pt idx="61">
                  <c:v>19214.321786416414</c:v>
                </c:pt>
                <c:pt idx="62">
                  <c:v>19415.9643589839</c:v>
                </c:pt>
                <c:pt idx="63">
                  <c:v>19672.725998007616</c:v>
                </c:pt>
                <c:pt idx="64">
                  <c:v>19982.45821749985</c:v>
                </c:pt>
                <c:pt idx="65">
                  <c:v>20342.698894269204</c:v>
                </c:pt>
                <c:pt idx="66">
                  <c:v>20750.767939089386</c:v>
                </c:pt>
                <c:pt idx="67">
                  <c:v>21082.580929219908</c:v>
                </c:pt>
                <c:pt idx="68">
                  <c:v>21452.674805862596</c:v>
                </c:pt>
                <c:pt idx="69">
                  <c:v>21902.553670850375</c:v>
                </c:pt>
                <c:pt idx="70">
                  <c:v>22413.408652952967</c:v>
                </c:pt>
                <c:pt idx="71">
                  <c:v>22973.444128798816</c:v>
                </c:pt>
                <c:pt idx="72">
                  <c:v>23574.661962404702</c:v>
                </c:pt>
                <c:pt idx="73">
                  <c:v>24211.262127508588</c:v>
                </c:pt>
                <c:pt idx="74">
                  <c:v>24878.796510671273</c:v>
                </c:pt>
                <c:pt idx="75">
                  <c:v>25573.695953503353</c:v>
                </c:pt>
                <c:pt idx="76">
                  <c:v>26292.99221123771</c:v>
                </c:pt>
                <c:pt idx="77">
                  <c:v>27034.146489848259</c:v>
                </c:pt>
                <c:pt idx="78">
                  <c:v>27794.938743877821</c:v>
                </c:pt>
                <c:pt idx="79">
                  <c:v>28573.393007703187</c:v>
                </c:pt>
                <c:pt idx="80">
                  <c:v>29367.724937245537</c:v>
                </c:pt>
                <c:pt idx="81">
                  <c:v>30000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B92-4398-90F9-0635F73C17C7}"/>
            </c:ext>
          </c:extLst>
        </c:ser>
        <c:ser>
          <c:idx val="34"/>
          <c:order val="34"/>
          <c:tx>
            <c:strRef>
              <c:f>RPlot!$EP$37</c:f>
              <c:strCache>
                <c:ptCount val="1"/>
                <c:pt idx="0">
                  <c:v>7y 151d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RPlot!$AT$37:$EO$37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29817.329094942583</c:v>
                </c:pt>
                <c:pt idx="37">
                  <c:v>28994.345619973174</c:v>
                </c:pt>
                <c:pt idx="38">
                  <c:v>28190.861786001122</c:v>
                </c:pt>
                <c:pt idx="39">
                  <c:v>27407.932170610824</c:v>
                </c:pt>
                <c:pt idx="40">
                  <c:v>26646.727508993445</c:v>
                </c:pt>
                <c:pt idx="41">
                  <c:v>25908.561208247364</c:v>
                </c:pt>
                <c:pt idx="42">
                  <c:v>25194.919592319231</c:v>
                </c:pt>
                <c:pt idx="43">
                  <c:v>24507.497152708624</c:v>
                </c:pt>
                <c:pt idx="44">
                  <c:v>23848.238760386412</c:v>
                </c:pt>
                <c:pt idx="45">
                  <c:v>23219.391917697467</c:v>
                </c:pt>
                <c:pt idx="46">
                  <c:v>22623.574018077532</c:v>
                </c:pt>
                <c:pt idx="47">
                  <c:v>22063.862821638264</c:v>
                </c:pt>
                <c:pt idx="48">
                  <c:v>21543.924048989626</c:v>
                </c:pt>
                <c:pt idx="49">
                  <c:v>21068.200320461219</c:v>
                </c:pt>
                <c:pt idx="50">
                  <c:v>20642.20514431256</c:v>
                </c:pt>
                <c:pt idx="51">
                  <c:v>20273.004196075359</c:v>
                </c:pt>
                <c:pt idx="52">
                  <c:v>19970.046655886985</c:v>
                </c:pt>
                <c:pt idx="53">
                  <c:v>19746.687950509182</c:v>
                </c:pt>
                <c:pt idx="54">
                  <c:v>19578.528507175481</c:v>
                </c:pt>
                <c:pt idx="55">
                  <c:v>19350.076032546931</c:v>
                </c:pt>
                <c:pt idx="56">
                  <c:v>19176.772874088845</c:v>
                </c:pt>
                <c:pt idx="57">
                  <c:v>19060.362540665468</c:v>
                </c:pt>
                <c:pt idx="58">
                  <c:v>19002.114757500163</c:v>
                </c:pt>
                <c:pt idx="59">
                  <c:v>19002.755827503122</c:v>
                </c:pt>
                <c:pt idx="60">
                  <c:v>19062.426071416754</c:v>
                </c:pt>
                <c:pt idx="61">
                  <c:v>19180.669296881657</c:v>
                </c:pt>
                <c:pt idx="62">
                  <c:v>19356.455313108421</c:v>
                </c:pt>
                <c:pt idx="63">
                  <c:v>19588.232373320097</c:v>
                </c:pt>
                <c:pt idx="64">
                  <c:v>19874.002987397638</c:v>
                </c:pt>
                <c:pt idx="65">
                  <c:v>20211.414475731548</c:v>
                </c:pt>
                <c:pt idx="66">
                  <c:v>20597.855172030017</c:v>
                </c:pt>
                <c:pt idx="67">
                  <c:v>21030.548142282594</c:v>
                </c:pt>
                <c:pt idx="68">
                  <c:v>21339.930889884225</c:v>
                </c:pt>
                <c:pt idx="69">
                  <c:v>21740.560497686405</c:v>
                </c:pt>
                <c:pt idx="70">
                  <c:v>22214.947589868963</c:v>
                </c:pt>
                <c:pt idx="71">
                  <c:v>22746.422029722555</c:v>
                </c:pt>
                <c:pt idx="72">
                  <c:v>23324.279941341494</c:v>
                </c:pt>
                <c:pt idx="73">
                  <c:v>23941.131267937744</c:v>
                </c:pt>
                <c:pt idx="74">
                  <c:v>24591.545054702969</c:v>
                </c:pt>
                <c:pt idx="75">
                  <c:v>25271.316424208497</c:v>
                </c:pt>
                <c:pt idx="76">
                  <c:v>25977.048843468096</c:v>
                </c:pt>
                <c:pt idx="77">
                  <c:v>26705.904344926712</c:v>
                </c:pt>
                <c:pt idx="78">
                  <c:v>27455.447204854252</c:v>
                </c:pt>
                <c:pt idx="79">
                  <c:v>28223.541752939302</c:v>
                </c:pt>
                <c:pt idx="80">
                  <c:v>29008.282755151264</c:v>
                </c:pt>
                <c:pt idx="81">
                  <c:v>29807.946145857801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B92-4398-90F9-0635F73C17C7}"/>
            </c:ext>
          </c:extLst>
        </c:ser>
        <c:ser>
          <c:idx val="35"/>
          <c:order val="35"/>
          <c:tx>
            <c:strRef>
              <c:f>RPlot!$EP$38</c:f>
              <c:strCache>
                <c:ptCount val="1"/>
                <c:pt idx="0">
                  <c:v>7y 212d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RPlot!$AT$38:$EO$38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29436.708845682853</c:v>
                </c:pt>
                <c:pt idx="38">
                  <c:v>28620.670107712049</c:v>
                </c:pt>
                <c:pt idx="39">
                  <c:v>27824.836425256526</c:v>
                </c:pt>
                <c:pt idx="40">
                  <c:v>27050.337159766386</c:v>
                </c:pt>
                <c:pt idx="41">
                  <c:v>26298.433121602146</c:v>
                </c:pt>
                <c:pt idx="42">
                  <c:v>25570.545583292667</c:v>
                </c:pt>
                <c:pt idx="43">
                  <c:v>24868.289807101675</c:v>
                </c:pt>
                <c:pt idx="44">
                  <c:v>24193.51472437839</c:v>
                </c:pt>
                <c:pt idx="45">
                  <c:v>23548.351290528281</c:v>
                </c:pt>
                <c:pt idx="46">
                  <c:v>22935.27350122486</c:v>
                </c:pt>
                <c:pt idx="47">
                  <c:v>22357.178511622315</c:v>
                </c:pt>
                <c:pt idx="48">
                  <c:v>21817.496518188287</c:v>
                </c:pt>
                <c:pt idx="49">
                  <c:v>21320.34851232166</c:v>
                </c:pt>
                <c:pt idx="50">
                  <c:v>20870.783656188112</c:v>
                </c:pt>
                <c:pt idx="51">
                  <c:v>20475.154154390526</c:v>
                </c:pt>
                <c:pt idx="52">
                  <c:v>20141.73818531393</c:v>
                </c:pt>
                <c:pt idx="53">
                  <c:v>19881.833923487109</c:v>
                </c:pt>
                <c:pt idx="54">
                  <c:v>19711.802635026019</c:v>
                </c:pt>
                <c:pt idx="55">
                  <c:v>19490.472474203933</c:v>
                </c:pt>
                <c:pt idx="56">
                  <c:v>19290.63204274762</c:v>
                </c:pt>
                <c:pt idx="57">
                  <c:v>19147.105819498913</c:v>
                </c:pt>
                <c:pt idx="58">
                  <c:v>19061.375620479612</c:v>
                </c:pt>
                <c:pt idx="59">
                  <c:v>19034.406159320988</c:v>
                </c:pt>
                <c:pt idx="60">
                  <c:v>19066.589634612472</c:v>
                </c:pt>
                <c:pt idx="61">
                  <c:v>19157.720710918878</c:v>
                </c:pt>
                <c:pt idx="62">
                  <c:v>19307.004738368698</c:v>
                </c:pt>
                <c:pt idx="63">
                  <c:v>19513.097875004056</c:v>
                </c:pt>
                <c:pt idx="64">
                  <c:v>19774.173912879884</c:v>
                </c:pt>
                <c:pt idx="65">
                  <c:v>20088.00985713425</c:v>
                </c:pt>
                <c:pt idx="66">
                  <c:v>20452.081135866123</c:v>
                </c:pt>
                <c:pt idx="67">
                  <c:v>20863.657695769027</c:v>
                </c:pt>
                <c:pt idx="68">
                  <c:v>21269.599939453306</c:v>
                </c:pt>
                <c:pt idx="69">
                  <c:v>21606.633461901569</c:v>
                </c:pt>
                <c:pt idx="70">
                  <c:v>22036.180116923519</c:v>
                </c:pt>
                <c:pt idx="71">
                  <c:v>22533.913557530446</c:v>
                </c:pt>
                <c:pt idx="72">
                  <c:v>23085.043958030023</c:v>
                </c:pt>
                <c:pt idx="73">
                  <c:v>23679.863341650849</c:v>
                </c:pt>
                <c:pt idx="74">
                  <c:v>24311.553432286411</c:v>
                </c:pt>
                <c:pt idx="75">
                  <c:v>24975.038302595851</c:v>
                </c:pt>
                <c:pt idx="76">
                  <c:v>25666.350439036909</c:v>
                </c:pt>
                <c:pt idx="77">
                  <c:v>26382.262834974761</c:v>
                </c:pt>
                <c:pt idx="78">
                  <c:v>27120.065454267664</c:v>
                </c:pt>
                <c:pt idx="79">
                  <c:v>27877.423369118816</c:v>
                </c:pt>
                <c:pt idx="80">
                  <c:v>28652.282921806178</c:v>
                </c:pt>
                <c:pt idx="81">
                  <c:v>29442.807188736198</c:v>
                </c:pt>
                <c:pt idx="82">
                  <c:v>30000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B92-4398-90F9-0635F73C17C7}"/>
            </c:ext>
          </c:extLst>
        </c:ser>
        <c:ser>
          <c:idx val="36"/>
          <c:order val="36"/>
          <c:tx>
            <c:strRef>
              <c:f>RPlot!$EP$39</c:f>
              <c:strCache>
                <c:ptCount val="1"/>
                <c:pt idx="0">
                  <c:v>7y 273d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RPlot!$AT$39:$EO$39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29889.615310159155</c:v>
                </c:pt>
                <c:pt idx="38">
                  <c:v>29061.161928336471</c:v>
                </c:pt>
                <c:pt idx="39">
                  <c:v>28252.556074431064</c:v>
                </c:pt>
                <c:pt idx="40">
                  <c:v>27464.889289967876</c:v>
                </c:pt>
                <c:pt idx="41">
                  <c:v>26699.373411387867</c:v>
                </c:pt>
                <c:pt idx="42">
                  <c:v>25957.368397298036</c:v>
                </c:pt>
                <c:pt idx="43">
                  <c:v>25240.414241773455</c:v>
                </c:pt>
                <c:pt idx="44">
                  <c:v>24550.268353167627</c:v>
                </c:pt>
                <c:pt idx="45">
                  <c:v>23888.950482147535</c:v>
                </c:pt>
                <c:pt idx="46">
                  <c:v>23258.798422228283</c:v>
                </c:pt>
                <c:pt idx="47">
                  <c:v>22662.53958360968</c:v>
                </c:pt>
                <c:pt idx="48">
                  <c:v>22103.386696503312</c:v>
                </c:pt>
                <c:pt idx="49">
                  <c:v>21585.171337670967</c:v>
                </c:pt>
                <c:pt idx="50">
                  <c:v>21112.538656469169</c:v>
                </c:pt>
                <c:pt idx="51">
                  <c:v>20691.244652610036</c:v>
                </c:pt>
                <c:pt idx="52">
                  <c:v>20328.63243144811</c:v>
                </c:pt>
                <c:pt idx="53">
                  <c:v>20034.436155272939</c:v>
                </c:pt>
                <c:pt idx="54">
                  <c:v>19822.219202458484</c:v>
                </c:pt>
                <c:pt idx="55">
                  <c:v>19643.685789628442</c:v>
                </c:pt>
                <c:pt idx="56">
                  <c:v>19417.283088087923</c:v>
                </c:pt>
                <c:pt idx="57">
                  <c:v>19246.526808960527</c:v>
                </c:pt>
                <c:pt idx="58">
                  <c:v>19133.100318033019</c:v>
                </c:pt>
                <c:pt idx="59">
                  <c:v>19078.201350443091</c:v>
                </c:pt>
                <c:pt idx="60">
                  <c:v>19082.474743976432</c:v>
                </c:pt>
                <c:pt idx="61">
                  <c:v>19145.97317881685</c:v>
                </c:pt>
                <c:pt idx="62">
                  <c:v>19268.150516834987</c:v>
                </c:pt>
                <c:pt idx="63">
                  <c:v>19447.888297782036</c:v>
                </c:pt>
                <c:pt idx="64">
                  <c:v>19683.551796351647</c:v>
                </c:pt>
                <c:pt idx="65">
                  <c:v>19973.068723292392</c:v>
                </c:pt>
                <c:pt idx="66">
                  <c:v>20314.021706190757</c:v>
                </c:pt>
                <c:pt idx="67">
                  <c:v>20703.745425614477</c:v>
                </c:pt>
                <c:pt idx="68">
                  <c:v>21139.420376324357</c:v>
                </c:pt>
                <c:pt idx="69">
                  <c:v>21509.570246225689</c:v>
                </c:pt>
                <c:pt idx="70">
                  <c:v>21882.332327221615</c:v>
                </c:pt>
                <c:pt idx="71">
                  <c:v>22339.204701555434</c:v>
                </c:pt>
                <c:pt idx="72">
                  <c:v>22859.125352063114</c:v>
                </c:pt>
                <c:pt idx="73">
                  <c:v>23428.956654065303</c:v>
                </c:pt>
                <c:pt idx="74">
                  <c:v>24039.894793099818</c:v>
                </c:pt>
                <c:pt idx="75">
                  <c:v>24685.654701982385</c:v>
                </c:pt>
                <c:pt idx="76">
                  <c:v>25361.49829984783</c:v>
                </c:pt>
                <c:pt idx="77">
                  <c:v>26063.686964588152</c:v>
                </c:pt>
                <c:pt idx="78">
                  <c:v>26789.158263986974</c:v>
                </c:pt>
                <c:pt idx="79">
                  <c:v>27535.326538559071</c:v>
                </c:pt>
                <c:pt idx="80">
                  <c:v>28299.954659628438</c:v>
                </c:pt>
                <c:pt idx="81">
                  <c:v>29081.068243833441</c:v>
                </c:pt>
                <c:pt idx="82">
                  <c:v>29876.896119711448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B92-4398-90F9-0635F73C17C7}"/>
            </c:ext>
          </c:extLst>
        </c:ser>
        <c:ser>
          <c:idx val="37"/>
          <c:order val="37"/>
          <c:tx>
            <c:strRef>
              <c:f>RPlot!$EP$40</c:f>
              <c:strCache>
                <c:ptCount val="1"/>
                <c:pt idx="0">
                  <c:v>7y 334d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RPlot!$AT$40:$EO$40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29511.81760676856</c:v>
                </c:pt>
                <c:pt idx="39">
                  <c:v>28690.593906971397</c:v>
                </c:pt>
                <c:pt idx="40">
                  <c:v>27889.909357484172</c:v>
                </c:pt>
                <c:pt idx="41">
                  <c:v>27110.930689941382</c:v>
                </c:pt>
                <c:pt idx="42">
                  <c:v>26354.960585486973</c:v>
                </c:pt>
                <c:pt idx="43">
                  <c:v>25623.468074603261</c:v>
                </c:pt>
                <c:pt idx="44">
                  <c:v>24918.123817696891</c:v>
                </c:pt>
                <c:pt idx="45">
                  <c:v>24240.841999017226</c:v>
                </c:pt>
                <c:pt idx="46">
                  <c:v>23593.831461717913</c:v>
                </c:pt>
                <c:pt idx="47">
                  <c:v>22979.660159346324</c:v>
                </c:pt>
                <c:pt idx="48">
                  <c:v>22401.339382815124</c:v>
                </c:pt>
                <c:pt idx="49">
                  <c:v>21862.438236272665</c:v>
                </c:pt>
                <c:pt idx="50">
                  <c:v>21367.245797684744</c:v>
                </c:pt>
                <c:pt idx="51">
                  <c:v>20921.010948876021</c:v>
                </c:pt>
                <c:pt idx="52">
                  <c:v>20530.313578159588</c:v>
                </c:pt>
                <c:pt idx="53">
                  <c:v>20203.668163766357</c:v>
                </c:pt>
                <c:pt idx="54">
                  <c:v>19952.560538895581</c:v>
                </c:pt>
                <c:pt idx="55">
                  <c:v>19793.341378281726</c:v>
                </c:pt>
                <c:pt idx="56">
                  <c:v>19556.843011159926</c:v>
                </c:pt>
                <c:pt idx="57">
                  <c:v>19358.816042220955</c:v>
                </c:pt>
                <c:pt idx="58">
                  <c:v>19217.553799438545</c:v>
                </c:pt>
                <c:pt idx="59">
                  <c:v>19134.478606189849</c:v>
                </c:pt>
                <c:pt idx="60">
                  <c:v>19110.485469303901</c:v>
                </c:pt>
                <c:pt idx="61">
                  <c:v>19145.889215273615</c:v>
                </c:pt>
                <c:pt idx="62">
                  <c:v>19240.40274326954</c:v>
                </c:pt>
                <c:pt idx="63">
                  <c:v>19393.148861232861</c:v>
                </c:pt>
                <c:pt idx="64">
                  <c:v>19602.703938181421</c:v>
                </c:pt>
                <c:pt idx="65">
                  <c:v>19867.16776823259</c:v>
                </c:pt>
                <c:pt idx="66">
                  <c:v>20184.251429029682</c:v>
                </c:pt>
                <c:pt idx="67">
                  <c:v>20551.373872973611</c:v>
                </c:pt>
                <c:pt idx="68">
                  <c:v>20965.758539777107</c:v>
                </c:pt>
                <c:pt idx="69">
                  <c:v>21424.522949533632</c:v>
                </c:pt>
                <c:pt idx="70">
                  <c:v>21760.624826786923</c:v>
                </c:pt>
                <c:pt idx="71">
                  <c:v>22166.668379373048</c:v>
                </c:pt>
                <c:pt idx="72">
                  <c:v>22649.318353302595</c:v>
                </c:pt>
                <c:pt idx="73">
                  <c:v>23190.282820630273</c:v>
                </c:pt>
                <c:pt idx="74">
                  <c:v>23777.875426843406</c:v>
                </c:pt>
                <c:pt idx="75">
                  <c:v>24404.110156276191</c:v>
                </c:pt>
                <c:pt idx="76">
                  <c:v>25063.195933103812</c:v>
                </c:pt>
                <c:pt idx="77">
                  <c:v>25750.713454570934</c:v>
                </c:pt>
                <c:pt idx="78">
                  <c:v>26463.142767781628</c:v>
                </c:pt>
                <c:pt idx="79">
                  <c:v>27197.579763835267</c:v>
                </c:pt>
                <c:pt idx="80">
                  <c:v>27951.558748003525</c:v>
                </c:pt>
                <c:pt idx="81">
                  <c:v>28722.936889777753</c:v>
                </c:pt>
                <c:pt idx="82">
                  <c:v>29509.816097004121</c:v>
                </c:pt>
                <c:pt idx="83">
                  <c:v>30000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B92-4398-90F9-0635F73C17C7}"/>
            </c:ext>
          </c:extLst>
        </c:ser>
        <c:ser>
          <c:idx val="38"/>
          <c:order val="38"/>
          <c:tx>
            <c:strRef>
              <c:f>RPlot!$EP$41</c:f>
              <c:strCache>
                <c:ptCount val="1"/>
                <c:pt idx="0">
                  <c:v>8y 30d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RPlot!$AT$41:$EO$41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29972.135735026633</c:v>
                </c:pt>
                <c:pt idx="39">
                  <c:v>29138.469278155073</c:v>
                </c:pt>
                <c:pt idx="40">
                  <c:v>28324.937443423176</c:v>
                </c:pt>
                <c:pt idx="41">
                  <c:v>27532.665913879915</c:v>
                </c:pt>
                <c:pt idx="42">
                  <c:v>26762.904359214663</c:v>
                </c:pt>
                <c:pt idx="43">
                  <c:v>26017.055414718998</c:v>
                </c:pt>
                <c:pt idx="44">
                  <c:v>25296.708040279009</c:v>
                </c:pt>
                <c:pt idx="45">
                  <c:v>24603.676709882733</c:v>
                </c:pt>
                <c:pt idx="46">
                  <c:v>23940.048591080395</c:v>
                </c:pt>
                <c:pt idx="47">
                  <c:v>23308.241999363338</c:v>
                </c:pt>
                <c:pt idx="48">
                  <c:v>22711.081230749845</c:v>
                </c:pt>
                <c:pt idx="49">
                  <c:v>22151.89587290998</c:v>
                </c:pt>
                <c:pt idx="50">
                  <c:v>21634.657765635191</c:v>
                </c:pt>
                <c:pt idx="51">
                  <c:v>21164.177665769737</c:v>
                </c:pt>
                <c:pt idx="52">
                  <c:v>20746.399953671367</c:v>
                </c:pt>
                <c:pt idx="53">
                  <c:v>20388.865174929109</c:v>
                </c:pt>
                <c:pt idx="54">
                  <c:v>20101.474491459761</c:v>
                </c:pt>
                <c:pt idx="55">
                  <c:v>19897.828937637882</c:v>
                </c:pt>
                <c:pt idx="56">
                  <c:v>19709.380837214816</c:v>
                </c:pt>
                <c:pt idx="57">
                  <c:v>19484.114267511075</c:v>
                </c:pt>
                <c:pt idx="58">
                  <c:v>19314.951183996014</c:v>
                </c:pt>
                <c:pt idx="59">
                  <c:v>19203.527167491415</c:v>
                </c:pt>
                <c:pt idx="60">
                  <c:v>19150.981644337498</c:v>
                </c:pt>
                <c:pt idx="61">
                  <c:v>19157.892437164242</c:v>
                </c:pt>
                <c:pt idx="62">
                  <c:v>19224.23913481801</c:v>
                </c:pt>
                <c:pt idx="63">
                  <c:v>19349.399591995563</c:v>
                </c:pt>
                <c:pt idx="64">
                  <c:v>19532.179735569276</c:v>
                </c:pt>
                <c:pt idx="65">
                  <c:v>19770.872702186629</c:v>
                </c:pt>
                <c:pt idx="66">
                  <c:v>20063.340049537772</c:v>
                </c:pt>
                <c:pt idx="67">
                  <c:v>20407.106001792905</c:v>
                </c:pt>
                <c:pt idx="68">
                  <c:v>20799.455539191753</c:v>
                </c:pt>
                <c:pt idx="69">
                  <c:v>21237.528377125658</c:v>
                </c:pt>
                <c:pt idx="70">
                  <c:v>21681.257368336723</c:v>
                </c:pt>
                <c:pt idx="71">
                  <c:v>22022.242162418479</c:v>
                </c:pt>
                <c:pt idx="72">
                  <c:v>22459.284724252931</c:v>
                </c:pt>
                <c:pt idx="73">
                  <c:v>22966.217810891394</c:v>
                </c:pt>
                <c:pt idx="74">
                  <c:v>23527.107629155711</c:v>
                </c:pt>
                <c:pt idx="75">
                  <c:v>24131.542382740849</c:v>
                </c:pt>
                <c:pt idx="76">
                  <c:v>24772.273544225543</c:v>
                </c:pt>
                <c:pt idx="77">
                  <c:v>25443.965314268789</c:v>
                </c:pt>
                <c:pt idx="78">
                  <c:v>26142.497154006487</c:v>
                </c:pt>
                <c:pt idx="79">
                  <c:v>26864.556471540705</c:v>
                </c:pt>
                <c:pt idx="80">
                  <c:v>27607.390372741567</c:v>
                </c:pt>
                <c:pt idx="81">
                  <c:v>28368.648143170929</c:v>
                </c:pt>
                <c:pt idx="82">
                  <c:v>29146.277423390588</c:v>
                </c:pt>
                <c:pt idx="83">
                  <c:v>29938.453291328704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B92-4398-90F9-0635F73C17C7}"/>
            </c:ext>
          </c:extLst>
        </c:ser>
        <c:ser>
          <c:idx val="39"/>
          <c:order val="39"/>
          <c:tx>
            <c:strRef>
              <c:f>RPlot!$EP$42</c:f>
              <c:strCache>
                <c:ptCount val="1"/>
                <c:pt idx="0">
                  <c:v>8y 91d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RPlot!$AT$42:$EO$42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29595.716241644437</c:v>
                </c:pt>
                <c:pt idx="40">
                  <c:v>28769.526638089264</c:v>
                </c:pt>
                <c:pt idx="41">
                  <c:v>27964.151070025353</c:v>
                </c:pt>
                <c:pt idx="42">
                  <c:v>27180.790630396532</c:v>
                </c:pt>
                <c:pt idx="43">
                  <c:v>26420.786322785752</c:v>
                </c:pt>
                <c:pt idx="44">
                  <c:v>25685.65065339924</c:v>
                </c:pt>
                <c:pt idx="45">
                  <c:v>24977.104394416448</c:v>
                </c:pt>
                <c:pt idx="46">
                  <c:v>24297.120306936224</c:v>
                </c:pt>
                <c:pt idx="47">
                  <c:v>23647.976494505419</c:v>
                </c:pt>
                <c:pt idx="48">
                  <c:v>23032.32345854272</c:v>
                </c:pt>
                <c:pt idx="49">
                  <c:v>22453.271189102328</c:v>
                </c:pt>
                <c:pt idx="50">
                  <c:v>21914.506363574685</c:v>
                </c:pt>
                <c:pt idx="51">
                  <c:v>21420.456103680644</c:v>
                </c:pt>
                <c:pt idx="52">
                  <c:v>20976.526083437115</c:v>
                </c:pt>
                <c:pt idx="53">
                  <c:v>20589.462017437563</c:v>
                </c:pt>
                <c:pt idx="54">
                  <c:v>20267.925636592219</c:v>
                </c:pt>
                <c:pt idx="55">
                  <c:v>20023.464432493278</c:v>
                </c:pt>
                <c:pt idx="56">
                  <c:v>19872.249189164198</c:v>
                </c:pt>
                <c:pt idx="57">
                  <c:v>19622.512456671302</c:v>
                </c:pt>
                <c:pt idx="58">
                  <c:v>19425.456756682197</c:v>
                </c:pt>
                <c:pt idx="59">
                  <c:v>19285.58626631719</c:v>
                </c:pt>
                <c:pt idx="60">
                  <c:v>19204.275866265863</c:v>
                </c:pt>
                <c:pt idx="61">
                  <c:v>19182.363796002985</c:v>
                </c:pt>
                <c:pt idx="62">
                  <c:v>19220.10076566572</c:v>
                </c:pt>
                <c:pt idx="63">
                  <c:v>19317.130843727904</c:v>
                </c:pt>
                <c:pt idx="64">
                  <c:v>19472.506086783767</c:v>
                </c:pt>
                <c:pt idx="65">
                  <c:v>19684.734162030141</c:v>
                </c:pt>
                <c:pt idx="66">
                  <c:v>19951.848890122823</c:v>
                </c:pt>
                <c:pt idx="67">
                  <c:v>20271.502125080009</c:v>
                </c:pt>
                <c:pt idx="68">
                  <c:v>20641.060703228657</c:v>
                </c:pt>
                <c:pt idx="69">
                  <c:v>21057.703880381821</c:v>
                </c:pt>
                <c:pt idx="70">
                  <c:v>21518.512937898729</c:v>
                </c:pt>
                <c:pt idx="71">
                  <c:v>21914.158670469194</c:v>
                </c:pt>
                <c:pt idx="72">
                  <c:v>22293.915370770304</c:v>
                </c:pt>
                <c:pt idx="73">
                  <c:v>22759.830134150085</c:v>
                </c:pt>
                <c:pt idx="74">
                  <c:v>23289.611817700788</c:v>
                </c:pt>
                <c:pt idx="75">
                  <c:v>23869.339657348704</c:v>
                </c:pt>
                <c:pt idx="76">
                  <c:v>24489.721194458547</c:v>
                </c:pt>
                <c:pt idx="77">
                  <c:v>25144.171410439805</c:v>
                </c:pt>
                <c:pt idx="78">
                  <c:v>25827.772357413945</c:v>
                </c:pt>
                <c:pt idx="79">
                  <c:v>26536.681998096836</c:v>
                </c:pt>
                <c:pt idx="80">
                  <c:v>27267.78321846465</c:v>
                </c:pt>
                <c:pt idx="81">
                  <c:v>28018.466721238514</c:v>
                </c:pt>
                <c:pt idx="82">
                  <c:v>28786.491442813327</c:v>
                </c:pt>
                <c:pt idx="83">
                  <c:v>29569.891485241096</c:v>
                </c:pt>
                <c:pt idx="84">
                  <c:v>30000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EB92-4398-90F9-0635F73C17C7}"/>
            </c:ext>
          </c:extLst>
        </c:ser>
        <c:ser>
          <c:idx val="40"/>
          <c:order val="40"/>
          <c:tx>
            <c:strRef>
              <c:f>RPlot!$EP$43</c:f>
              <c:strCache>
                <c:ptCount val="1"/>
                <c:pt idx="0">
                  <c:v>8y 152d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RPlot!$AT$43:$EO$43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29223.241763856513</c:v>
                </c:pt>
                <c:pt idx="41">
                  <c:v>28404.968173429152</c:v>
                </c:pt>
                <c:pt idx="42">
                  <c:v>27608.218335500249</c:v>
                </c:pt>
                <c:pt idx="43">
                  <c:v>26834.276521014239</c:v>
                </c:pt>
                <c:pt idx="44">
                  <c:v>26084.584166323453</c:v>
                </c:pt>
                <c:pt idx="45">
                  <c:v>25360.774446661213</c:v>
                </c:pt>
                <c:pt idx="46">
                  <c:v>24664.712954055794</c:v>
                </c:pt>
                <c:pt idx="47">
                  <c:v>23998.546669704283</c:v>
                </c:pt>
                <c:pt idx="48">
                  <c:v>23364.764509427874</c:v>
                </c:pt>
                <c:pt idx="49">
                  <c:v>22766.27444651971</c:v>
                </c:pt>
                <c:pt idx="50">
                  <c:v>22206.505007826745</c:v>
                </c:pt>
                <c:pt idx="51">
                  <c:v>21689.543580540085</c:v>
                </c:pt>
                <c:pt idx="52">
                  <c:v>21220.331985204495</c:v>
                </c:pt>
                <c:pt idx="53">
                  <c:v>20804.954320977267</c:v>
                </c:pt>
                <c:pt idx="54">
                  <c:v>20451.080043621612</c:v>
                </c:pt>
                <c:pt idx="55">
                  <c:v>20168.682145524974</c:v>
                </c:pt>
                <c:pt idx="56">
                  <c:v>19971.272491839813</c:v>
                </c:pt>
                <c:pt idx="57">
                  <c:v>19774.052607207272</c:v>
                </c:pt>
                <c:pt idx="58">
                  <c:v>19549.183786290869</c:v>
                </c:pt>
                <c:pt idx="59">
                  <c:v>19380.843872929556</c:v>
                </c:pt>
                <c:pt idx="60">
                  <c:v>19270.631194855443</c:v>
                </c:pt>
                <c:pt idx="61">
                  <c:v>19219.638366490588</c:v>
                </c:pt>
                <c:pt idx="62">
                  <c:v>19228.388176930632</c:v>
                </c:pt>
                <c:pt idx="63">
                  <c:v>19296.79902924009</c:v>
                </c:pt>
                <c:pt idx="64">
                  <c:v>19424.184022372679</c:v>
                </c:pt>
                <c:pt idx="65">
                  <c:v>19609.283544772068</c:v>
                </c:pt>
                <c:pt idx="66">
                  <c:v>19850.327073955712</c:v>
                </c:pt>
                <c:pt idx="67">
                  <c:v>20145.11664259903</c:v>
                </c:pt>
                <c:pt idx="68">
                  <c:v>20491.122746779849</c:v>
                </c:pt>
                <c:pt idx="69">
                  <c:v>20885.583441783052</c:v>
                </c:pt>
                <c:pt idx="70">
                  <c:v>21325.598708136782</c:v>
                </c:pt>
                <c:pt idx="71">
                  <c:v>21808.214321743326</c:v>
                </c:pt>
                <c:pt idx="72">
                  <c:v>22159.873809631659</c:v>
                </c:pt>
                <c:pt idx="73">
                  <c:v>22575.154879199028</c:v>
                </c:pt>
                <c:pt idx="74">
                  <c:v>23067.961261412434</c:v>
                </c:pt>
                <c:pt idx="75">
                  <c:v>23619.220291892438</c:v>
                </c:pt>
                <c:pt idx="76">
                  <c:v>24216.733887763126</c:v>
                </c:pt>
                <c:pt idx="77">
                  <c:v>24852.19272200534</c:v>
                </c:pt>
                <c:pt idx="78">
                  <c:v>25519.607641856586</c:v>
                </c:pt>
                <c:pt idx="79">
                  <c:v>26214.442932453843</c:v>
                </c:pt>
                <c:pt idx="80">
                  <c:v>26933.115054465568</c:v>
                </c:pt>
                <c:pt idx="81">
                  <c:v>27672.690301445269</c:v>
                </c:pt>
                <c:pt idx="82">
                  <c:v>28430.695116608666</c:v>
                </c:pt>
                <c:pt idx="83">
                  <c:v>29204.992592828683</c:v>
                </c:pt>
                <c:pt idx="84">
                  <c:v>29993.699216300902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EB92-4398-90F9-0635F73C17C7}"/>
            </c:ext>
          </c:extLst>
        </c:ser>
        <c:ser>
          <c:idx val="41"/>
          <c:order val="41"/>
          <c:tx>
            <c:strRef>
              <c:f>RPlot!$EP$44</c:f>
              <c:strCache>
                <c:ptCount val="1"/>
                <c:pt idx="0">
                  <c:v>8y 212d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RPlot!$AT$44:$EO$44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29685.658359323163</c:v>
                </c:pt>
                <c:pt idx="41">
                  <c:v>28854.708500720822</c:v>
                </c:pt>
                <c:pt idx="42">
                  <c:v>28044.793965112127</c:v>
                </c:pt>
                <c:pt idx="43">
                  <c:v>27257.147273815324</c:v>
                </c:pt>
                <c:pt idx="44">
                  <c:v>26493.144260411922</c:v>
                </c:pt>
                <c:pt idx="45">
                  <c:v>25754.3366562337</c:v>
                </c:pt>
                <c:pt idx="46">
                  <c:v>25042.490065207516</c:v>
                </c:pt>
                <c:pt idx="47">
                  <c:v>24359.629138021519</c:v>
                </c:pt>
                <c:pt idx="48">
                  <c:v>23708.092609706124</c:v>
                </c:pt>
                <c:pt idx="49">
                  <c:v>23090.602194897168</c:v>
                </c:pt>
                <c:pt idx="50">
                  <c:v>22510.351444076674</c:v>
                </c:pt>
                <c:pt idx="51">
                  <c:v>21971.124088430995</c:v>
                </c:pt>
                <c:pt idx="52">
                  <c:v>21477.457153211464</c:v>
                </c:pt>
                <c:pt idx="53">
                  <c:v>21034.874238631164</c:v>
                </c:pt>
                <c:pt idx="54">
                  <c:v>20650.233206565503</c:v>
                </c:pt>
                <c:pt idx="55">
                  <c:v>20332.269765037337</c:v>
                </c:pt>
                <c:pt idx="56">
                  <c:v>20092.496350484791</c:v>
                </c:pt>
                <c:pt idx="57">
                  <c:v>19938.729291760224</c:v>
                </c:pt>
                <c:pt idx="58">
                  <c:v>19686.19515340601</c:v>
                </c:pt>
                <c:pt idx="59">
                  <c:v>19489.436259681137</c:v>
                </c:pt>
                <c:pt idx="60">
                  <c:v>19350.259610860874</c:v>
                </c:pt>
                <c:pt idx="61">
                  <c:v>19270.002777001158</c:v>
                </c:pt>
                <c:pt idx="62">
                  <c:v>19249.45796935014</c:v>
                </c:pt>
                <c:pt idx="63">
                  <c:v>19288.822644667307</c:v>
                </c:pt>
                <c:pt idx="64">
                  <c:v>19387.68250561101</c:v>
                </c:pt>
                <c:pt idx="65">
                  <c:v>19545.02881941677</c:v>
                </c:pt>
                <c:pt idx="66">
                  <c:v>19759.307624956477</c:v>
                </c:pt>
                <c:pt idx="67">
                  <c:v>20028.494595742104</c:v>
                </c:pt>
                <c:pt idx="68">
                  <c:v>20350.186869805435</c:v>
                </c:pt>
                <c:pt idx="69">
                  <c:v>20721.70231327866</c:v>
                </c:pt>
                <c:pt idx="70">
                  <c:v>21140.177507420707</c:v>
                </c:pt>
                <c:pt idx="71">
                  <c:v>21602.657568165367</c:v>
                </c:pt>
                <c:pt idx="72">
                  <c:v>22066.428058751007</c:v>
                </c:pt>
                <c:pt idx="73">
                  <c:v>22417.59904784834</c:v>
                </c:pt>
                <c:pt idx="74">
                  <c:v>22865.489900920464</c:v>
                </c:pt>
                <c:pt idx="75">
                  <c:v>23383.343885774269</c:v>
                </c:pt>
                <c:pt idx="76">
                  <c:v>23954.773340262582</c:v>
                </c:pt>
                <c:pt idx="77">
                  <c:v>24569.057694281233</c:v>
                </c:pt>
                <c:pt idx="78">
                  <c:v>25218.751331393942</c:v>
                </c:pt>
                <c:pt idx="79">
                  <c:v>25898.399482267461</c:v>
                </c:pt>
                <c:pt idx="80">
                  <c:v>26603.815169278019</c:v>
                </c:pt>
                <c:pt idx="81">
                  <c:v>27331.653964695237</c:v>
                </c:pt>
                <c:pt idx="82">
                  <c:v>28079.153601544152</c:v>
                </c:pt>
                <c:pt idx="83">
                  <c:v>28843.968376960573</c:v>
                </c:pt>
                <c:pt idx="84">
                  <c:v>29624.060021787649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EB92-4398-90F9-0635F73C17C7}"/>
            </c:ext>
          </c:extLst>
        </c:ser>
        <c:ser>
          <c:idx val="42"/>
          <c:order val="42"/>
          <c:tx>
            <c:strRef>
              <c:f>RPlot!$EP$45</c:f>
              <c:strCache>
                <c:ptCount val="1"/>
                <c:pt idx="0">
                  <c:v>8y 273d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RPlot!$AT$45:$EO$45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29312.971999447054</c:v>
                </c:pt>
                <c:pt idx="42">
                  <c:v>28490.131239510491</c:v>
                </c:pt>
                <c:pt idx="43">
                  <c:v>27689.025379581151</c:v>
                </c:pt>
                <c:pt idx="44">
                  <c:v>26910.970154393261</c:v>
                </c:pt>
                <c:pt idx="45">
                  <c:v>26157.442010724561</c:v>
                </c:pt>
                <c:pt idx="46">
                  <c:v>25430.113665632402</c:v>
                </c:pt>
                <c:pt idx="47">
                  <c:v>24730.895958858531</c:v>
                </c:pt>
                <c:pt idx="48">
                  <c:v>24061.988182647416</c:v>
                </c:pt>
                <c:pt idx="49">
                  <c:v>23425.940107840477</c:v>
                </c:pt>
                <c:pt idx="50">
                  <c:v>22825.730536845746</c:v>
                </c:pt>
                <c:pt idx="51">
                  <c:v>22264.869774323652</c:v>
                </c:pt>
                <c:pt idx="52">
                  <c:v>21747.537594496574</c:v>
                </c:pt>
                <c:pt idx="53">
                  <c:v>21278.775429921479</c:v>
                </c:pt>
                <c:pt idx="54">
                  <c:v>20864.764388225194</c:v>
                </c:pt>
                <c:pt idx="55">
                  <c:v>20513.245417788617</c:v>
                </c:pt>
                <c:pt idx="56">
                  <c:v>20234.188295679167</c:v>
                </c:pt>
                <c:pt idx="57">
                  <c:v>20040.924034581636</c:v>
                </c:pt>
                <c:pt idx="58">
                  <c:v>19836.504691512007</c:v>
                </c:pt>
                <c:pt idx="59">
                  <c:v>19611.448326668113</c:v>
                </c:pt>
                <c:pt idx="60">
                  <c:v>19443.321222585149</c:v>
                </c:pt>
                <c:pt idx="61">
                  <c:v>19333.693308590162</c:v>
                </c:pt>
                <c:pt idx="62">
                  <c:v>19283.619928567423</c:v>
                </c:pt>
                <c:pt idx="63">
                  <c:v>19293.578659050836</c:v>
                </c:pt>
                <c:pt idx="64">
                  <c:v>19363.43635619399</c:v>
                </c:pt>
                <c:pt idx="65">
                  <c:v>19492.450356825</c:v>
                </c:pt>
                <c:pt idx="66">
                  <c:v>19679.303448582985</c:v>
                </c:pt>
                <c:pt idx="67">
                  <c:v>19922.168023503185</c:v>
                </c:pt>
                <c:pt idx="68">
                  <c:v>20218.791626213137</c:v>
                </c:pt>
                <c:pt idx="69">
                  <c:v>20566.594450206525</c:v>
                </c:pt>
                <c:pt idx="70">
                  <c:v>20962.769528812718</c:v>
                </c:pt>
                <c:pt idx="71">
                  <c:v>21404.377648745482</c:v>
                </c:pt>
                <c:pt idx="72">
                  <c:v>21888.431266996427</c:v>
                </c:pt>
                <c:pt idx="73">
                  <c:v>22294.551384551756</c:v>
                </c:pt>
                <c:pt idx="74">
                  <c:v>22686.595165965733</c:v>
                </c:pt>
                <c:pt idx="75">
                  <c:v>23164.468982093706</c:v>
                </c:pt>
                <c:pt idx="76">
                  <c:v>23705.653431207356</c:v>
                </c:pt>
                <c:pt idx="77">
                  <c:v>24296.010169003093</c:v>
                </c:pt>
                <c:pt idx="78">
                  <c:v>24926.088469634022</c:v>
                </c:pt>
                <c:pt idx="79">
                  <c:v>25589.201796282679</c:v>
                </c:pt>
                <c:pt idx="80">
                  <c:v>26280.37414987637</c:v>
                </c:pt>
                <c:pt idx="81">
                  <c:v>26995.736086199584</c:v>
                </c:pt>
                <c:pt idx="82">
                  <c:v>27732.163764934056</c:v>
                </c:pt>
                <c:pt idx="83">
                  <c:v>28487.054704276317</c:v>
                </c:pt>
                <c:pt idx="84">
                  <c:v>29258.183295847524</c:v>
                </c:pt>
                <c:pt idx="85">
                  <c:v>30000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EB92-4398-90F9-0635F73C17C7}"/>
            </c:ext>
          </c:extLst>
        </c:ser>
        <c:ser>
          <c:idx val="43"/>
          <c:order val="43"/>
          <c:tx>
            <c:strRef>
              <c:f>RPlot!$EP$46</c:f>
              <c:strCache>
                <c:ptCount val="1"/>
                <c:pt idx="0">
                  <c:v>8y 334d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RPlot!$AT$46:$EO$46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29779.366827841055</c:v>
                </c:pt>
                <c:pt idx="42">
                  <c:v>28943.850885227152</c:v>
                </c:pt>
                <c:pt idx="43">
                  <c:v>28129.543229374034</c:v>
                </c:pt>
                <c:pt idx="44">
                  <c:v>27337.704996766923</c:v>
                </c:pt>
                <c:pt idx="45">
                  <c:v>26569.743478819393</c:v>
                </c:pt>
                <c:pt idx="46">
                  <c:v>25827.245505310457</c:v>
                </c:pt>
                <c:pt idx="47">
                  <c:v>25112.016367967779</c:v>
                </c:pt>
                <c:pt idx="48">
                  <c:v>24426.126087640623</c:v>
                </c:pt>
                <c:pt idx="49">
                  <c:v>23771.965642605683</c:v>
                </c:pt>
                <c:pt idx="50">
                  <c:v>23152.317020869581</c:v>
                </c:pt>
                <c:pt idx="51">
                  <c:v>22570.442898173169</c:v>
                </c:pt>
                <c:pt idx="52">
                  <c:v>22030.204837775953</c:v>
                </c:pt>
                <c:pt idx="53">
                  <c:v>21536.224034287588</c:v>
                </c:pt>
                <c:pt idx="54">
                  <c:v>21094.107566503957</c:v>
                </c:pt>
                <c:pt idx="55">
                  <c:v>20710.779741558959</c:v>
                </c:pt>
                <c:pt idx="56">
                  <c:v>20394.991051646972</c:v>
                </c:pt>
                <c:pt idx="57">
                  <c:v>20158.146294716084</c:v>
                </c:pt>
                <c:pt idx="58">
                  <c:v>20000.079209880721</c:v>
                </c:pt>
                <c:pt idx="59">
                  <c:v>19746.914689049856</c:v>
                </c:pt>
                <c:pt idx="60">
                  <c:v>19549.924256855713</c:v>
                </c:pt>
                <c:pt idx="61">
                  <c:v>19410.894733946076</c:v>
                </c:pt>
                <c:pt idx="62">
                  <c:v>19331.134781089528</c:v>
                </c:pt>
                <c:pt idx="63">
                  <c:v>19311.399375966725</c:v>
                </c:pt>
                <c:pt idx="64">
                  <c:v>19351.841510484726</c:v>
                </c:pt>
                <c:pt idx="65">
                  <c:v>19451.996883441429</c:v>
                </c:pt>
                <c:pt idx="66">
                  <c:v>19610.803319263752</c:v>
                </c:pt>
                <c:pt idx="67">
                  <c:v>19826.652225582588</c:v>
                </c:pt>
                <c:pt idx="68">
                  <c:v>20097.465616502985</c:v>
                </c:pt>
                <c:pt idx="69">
                  <c:v>20420.789745688253</c:v>
                </c:pt>
                <c:pt idx="70">
                  <c:v>20793.895715153369</c:v>
                </c:pt>
                <c:pt idx="71">
                  <c:v>21213.878358002094</c:v>
                </c:pt>
                <c:pt idx="72">
                  <c:v>21677.746419616033</c:v>
                </c:pt>
                <c:pt idx="73">
                  <c:v>22182.499703712205</c:v>
                </c:pt>
                <c:pt idx="74">
                  <c:v>22537.186294136438</c:v>
                </c:pt>
                <c:pt idx="75">
                  <c:v>22966.179501236536</c:v>
                </c:pt>
                <c:pt idx="76">
                  <c:v>23471.659775504493</c:v>
                </c:pt>
                <c:pt idx="77">
                  <c:v>24034.574949586251</c:v>
                </c:pt>
                <c:pt idx="78">
                  <c:v>24642.677944669915</c:v>
                </c:pt>
                <c:pt idx="79">
                  <c:v>25287.61155149393</c:v>
                </c:pt>
                <c:pt idx="80">
                  <c:v>25963.356694547583</c:v>
                </c:pt>
                <c:pt idx="81">
                  <c:v>26665.366041001835</c:v>
                </c:pt>
                <c:pt idx="82">
                  <c:v>27390.058831747199</c:v>
                </c:pt>
                <c:pt idx="83">
                  <c:v>28134.514310286308</c:v>
                </c:pt>
                <c:pt idx="84">
                  <c:v>28896.278589792804</c:v>
                </c:pt>
                <c:pt idx="85">
                  <c:v>29673.238640204836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EB92-4398-90F9-0635F73C17C7}"/>
            </c:ext>
          </c:extLst>
        </c:ser>
        <c:ser>
          <c:idx val="44"/>
          <c:order val="44"/>
          <c:tx>
            <c:strRef>
              <c:f>RPlot!$EP$47</c:f>
              <c:strCache>
                <c:ptCount val="1"/>
                <c:pt idx="0">
                  <c:v>9y 30d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RPlot!$AT$47:$EO$47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29405.580478938271</c:v>
                </c:pt>
                <c:pt idx="43">
                  <c:v>28578.338900224575</c:v>
                </c:pt>
                <c:pt idx="44">
                  <c:v>27772.996254863352</c:v>
                </c:pt>
                <c:pt idx="45">
                  <c:v>26990.896746206323</c:v>
                </c:pt>
                <c:pt idx="46">
                  <c:v>26233.548194424166</c:v>
                </c:pt>
                <c:pt idx="47">
                  <c:v>25502.65835817438</c:v>
                </c:pt>
                <c:pt idx="48">
                  <c:v>24800.177664376843</c:v>
                </c:pt>
                <c:pt idx="49">
                  <c:v>24128.350492657049</c:v>
                </c:pt>
                <c:pt idx="50">
                  <c:v>23489.778133305721</c:v>
                </c:pt>
                <c:pt idx="51">
                  <c:v>22887.498023812121</c:v>
                </c:pt>
                <c:pt idx="52">
                  <c:v>22325.086188465757</c:v>
                </c:pt>
                <c:pt idx="53">
                  <c:v>21806.793541759856</c:v>
                </c:pt>
                <c:pt idx="54">
                  <c:v>21337.733025072754</c:v>
                </c:pt>
                <c:pt idx="55">
                  <c:v>20924.145879302989</c:v>
                </c:pt>
                <c:pt idx="56">
                  <c:v>20573.797159431</c:v>
                </c:pt>
                <c:pt idx="57">
                  <c:v>20296.595235998058</c:v>
                </c:pt>
                <c:pt idx="58">
                  <c:v>20105.625870822525</c:v>
                </c:pt>
                <c:pt idx="59">
                  <c:v>19895.821447566977</c:v>
                </c:pt>
                <c:pt idx="60">
                  <c:v>19670.12579621562</c:v>
                </c:pt>
                <c:pt idx="61">
                  <c:v>19501.739900930352</c:v>
                </c:pt>
                <c:pt idx="62">
                  <c:v>19392.212623855587</c:v>
                </c:pt>
                <c:pt idx="63">
                  <c:v>19342.569837482773</c:v>
                </c:pt>
                <c:pt idx="64">
                  <c:v>19353.251835476574</c:v>
                </c:pt>
                <c:pt idx="65">
                  <c:v>19424.081614509934</c:v>
                </c:pt>
                <c:pt idx="66">
                  <c:v>19554.267829952434</c:v>
                </c:pt>
                <c:pt idx="67">
                  <c:v>19742.441817760358</c:v>
                </c:pt>
                <c:pt idx="68">
                  <c:v>19986.72394978903</c:v>
                </c:pt>
                <c:pt idx="69">
                  <c:v>20284.810966526071</c:v>
                </c:pt>
                <c:pt idx="70">
                  <c:v>20634.075249419875</c:v>
                </c:pt>
                <c:pt idx="71">
                  <c:v>21031.66605579172</c:v>
                </c:pt>
                <c:pt idx="72">
                  <c:v>21474.605124469399</c:v>
                </c:pt>
                <c:pt idx="73">
                  <c:v>21959.870904636609</c:v>
                </c:pt>
                <c:pt idx="74">
                  <c:v>22425.360095854725</c:v>
                </c:pt>
                <c:pt idx="75">
                  <c:v>22793.215121628215</c:v>
                </c:pt>
                <c:pt idx="76">
                  <c:v>23255.719218325507</c:v>
                </c:pt>
                <c:pt idx="77">
                  <c:v>23786.648455733237</c:v>
                </c:pt>
                <c:pt idx="78">
                  <c:v>24369.802732015225</c:v>
                </c:pt>
                <c:pt idx="79">
                  <c:v>24994.530652651552</c:v>
                </c:pt>
                <c:pt idx="80">
                  <c:v>25653.41841826083</c:v>
                </c:pt>
                <c:pt idx="81">
                  <c:v>26341.034230893434</c:v>
                </c:pt>
                <c:pt idx="82">
                  <c:v>27053.214433670146</c:v>
                </c:pt>
                <c:pt idx="83">
                  <c:v>27786.640448619983</c:v>
                </c:pt>
                <c:pt idx="84">
                  <c:v>28538.57821304903</c:v>
                </c:pt>
                <c:pt idx="85">
                  <c:v>29306.71181113839</c:v>
                </c:pt>
                <c:pt idx="86">
                  <c:v>30000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B92-4398-90F9-0635F73C17C7}"/>
            </c:ext>
          </c:extLst>
        </c:ser>
        <c:ser>
          <c:idx val="45"/>
          <c:order val="45"/>
          <c:tx>
            <c:strRef>
              <c:f>RPlot!$EP$48</c:f>
              <c:strCache>
                <c:ptCount val="1"/>
                <c:pt idx="0">
                  <c:v>9y 91d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RPlot!$AT$48:$EO$48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29874.954333931539</c:v>
                </c:pt>
                <c:pt idx="43">
                  <c:v>29035.056259983859</c:v>
                </c:pt>
                <c:pt idx="44">
                  <c:v>28216.496079661498</c:v>
                </c:pt>
                <c:pt idx="45">
                  <c:v>27420.56088608376</c:v>
                </c:pt>
                <c:pt idx="46">
                  <c:v>26648.686227058377</c:v>
                </c:pt>
                <c:pt idx="47">
                  <c:v>25902.490099020379</c:v>
                </c:pt>
                <c:pt idx="48">
                  <c:v>25183.812571135626</c:v>
                </c:pt>
                <c:pt idx="49">
                  <c:v>24494.762813580091</c:v>
                </c:pt>
                <c:pt idx="50">
                  <c:v>23837.776070636508</c:v>
                </c:pt>
                <c:pt idx="51">
                  <c:v>23215.684271625691</c:v>
                </c:pt>
                <c:pt idx="52">
                  <c:v>22631.805735205926</c:v>
                </c:pt>
                <c:pt idx="53">
                  <c:v>22090.062189326811</c:v>
                </c:pt>
                <c:pt idx="54">
                  <c:v>21595.135855304165</c:v>
                </c:pt>
                <c:pt idx="55">
                  <c:v>21152.687194762926</c:v>
                </c:pt>
                <c:pt idx="56">
                  <c:v>20769.668532037038</c:v>
                </c:pt>
                <c:pt idx="57">
                  <c:v>20454.797919580018</c:v>
                </c:pt>
                <c:pt idx="58">
                  <c:v>20219.319056277578</c:v>
                </c:pt>
                <c:pt idx="59">
                  <c:v>20058.108574448412</c:v>
                </c:pt>
                <c:pt idx="60">
                  <c:v>19803.933227819187</c:v>
                </c:pt>
                <c:pt idx="61">
                  <c:v>19606.310066241072</c:v>
                </c:pt>
                <c:pt idx="62">
                  <c:v>19467.012072303132</c:v>
                </c:pt>
                <c:pt idx="63">
                  <c:v>19387.325846500644</c:v>
                </c:pt>
                <c:pt idx="64">
                  <c:v>19367.976211513494</c:v>
                </c:pt>
                <c:pt idx="65">
                  <c:v>19409.078679790557</c:v>
                </c:pt>
                <c:pt idx="66">
                  <c:v>19510.125507518344</c:v>
                </c:pt>
                <c:pt idx="67">
                  <c:v>19670.006914139751</c:v>
                </c:pt>
                <c:pt idx="68">
                  <c:v>19887.064563540076</c:v>
                </c:pt>
                <c:pt idx="69">
                  <c:v>20159.17057398169</c:v>
                </c:pt>
                <c:pt idx="70">
                  <c:v>20483.822926831883</c:v>
                </c:pt>
                <c:pt idx="71">
                  <c:v>20858.24749442621</c:v>
                </c:pt>
                <c:pt idx="72">
                  <c:v>21279.497842081466</c:v>
                </c:pt>
                <c:pt idx="73">
                  <c:v>21744.545971739419</c:v>
                </c:pt>
                <c:pt idx="74">
                  <c:v>22250.359640041985</c:v>
                </c:pt>
                <c:pt idx="75">
                  <c:v>22651.961071441765</c:v>
                </c:pt>
                <c:pt idx="76">
                  <c:v>23061.643556651019</c:v>
                </c:pt>
                <c:pt idx="77">
                  <c:v>23554.625600751169</c:v>
                </c:pt>
                <c:pt idx="78">
                  <c:v>24109.038573575843</c:v>
                </c:pt>
                <c:pt idx="79">
                  <c:v>24711.039675932519</c:v>
                </c:pt>
                <c:pt idx="80">
                  <c:v>25351.32799201466</c:v>
                </c:pt>
                <c:pt idx="81">
                  <c:v>26023.305132546902</c:v>
                </c:pt>
                <c:pt idx="82">
                  <c:v>26722.056430878067</c:v>
                </c:pt>
                <c:pt idx="83">
                  <c:v>27443.761621663114</c:v>
                </c:pt>
                <c:pt idx="84">
                  <c:v>28185.340085359287</c:v>
                </c:pt>
                <c:pt idx="85">
                  <c:v>28944.229220504822</c:v>
                </c:pt>
                <c:pt idx="86">
                  <c:v>29718.241090623189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B92-4398-90F9-0635F73C17C7}"/>
            </c:ext>
          </c:extLst>
        </c:ser>
        <c:ser>
          <c:idx val="46"/>
          <c:order val="46"/>
          <c:tx>
            <c:strRef>
              <c:f>RPlot!$EP$49</c:f>
              <c:strCache>
                <c:ptCount val="1"/>
                <c:pt idx="0">
                  <c:v>9y 152d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RPlot!$AT$49:$EO$49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29499.345067810362</c:v>
                </c:pt>
                <c:pt idx="44">
                  <c:v>28667.861632806169</c:v>
                </c:pt>
                <c:pt idx="45">
                  <c:v>27858.398953527038</c:v>
                </c:pt>
                <c:pt idx="46">
                  <c:v>27072.326885624669</c:v>
                </c:pt>
                <c:pt idx="47">
                  <c:v>26311.181190901938</c:v>
                </c:pt>
                <c:pt idx="48">
                  <c:v>25576.700413793002</c:v>
                </c:pt>
                <c:pt idx="49">
                  <c:v>24870.869212918711</c:v>
                </c:pt>
                <c:pt idx="50">
                  <c:v>24195.970234299719</c:v>
                </c:pt>
                <c:pt idx="51">
                  <c:v>23554.647515937446</c:v>
                </c:pt>
                <c:pt idx="52">
                  <c:v>22949.985769953852</c:v>
                </c:pt>
                <c:pt idx="53">
                  <c:v>22385.611969343885</c:v>
                </c:pt>
                <c:pt idx="54">
                  <c:v>21865.828970004794</c:v>
                </c:pt>
                <c:pt idx="55">
                  <c:v>21395.796429698919</c:v>
                </c:pt>
                <c:pt idx="56">
                  <c:v>20981.784218757311</c:v>
                </c:pt>
                <c:pt idx="57">
                  <c:v>20631.542754416085</c:v>
                </c:pt>
                <c:pt idx="58">
                  <c:v>20354.874409645869</c:v>
                </c:pt>
                <c:pt idx="59">
                  <c:v>20164.575802615</c:v>
                </c:pt>
                <c:pt idx="60">
                  <c:v>19951.306343869903</c:v>
                </c:pt>
                <c:pt idx="61">
                  <c:v>19724.63595690814</c:v>
                </c:pt>
                <c:pt idx="62">
                  <c:v>19555.640146589325</c:v>
                </c:pt>
                <c:pt idx="63">
                  <c:v>19445.852665205835</c:v>
                </c:pt>
                <c:pt idx="64">
                  <c:v>19396.27616495001</c:v>
                </c:pt>
                <c:pt idx="65">
                  <c:v>19407.319928869223</c:v>
                </c:pt>
                <c:pt idx="66">
                  <c:v>19478.769094473486</c:v>
                </c:pt>
                <c:pt idx="67">
                  <c:v>19609.789085252814</c:v>
                </c:pt>
                <c:pt idx="68">
                  <c:v>19798.964481959523</c:v>
                </c:pt>
                <c:pt idx="69">
                  <c:v>20044.367266829988</c:v>
                </c:pt>
                <c:pt idx="70">
                  <c:v>20343.646184947676</c:v>
                </c:pt>
                <c:pt idx="71">
                  <c:v>20694.127461155738</c:v>
                </c:pt>
                <c:pt idx="72">
                  <c:v>21092.917329622363</c:v>
                </c:pt>
                <c:pt idx="73">
                  <c:v>21536.998424710117</c:v>
                </c:pt>
                <c:pt idx="74">
                  <c:v>22023.314423476113</c:v>
                </c:pt>
                <c:pt idx="75">
                  <c:v>22548.83982419633</c:v>
                </c:pt>
                <c:pt idx="76">
                  <c:v>22894.485454212947</c:v>
                </c:pt>
                <c:pt idx="77">
                  <c:v>23341.579773132988</c:v>
                </c:pt>
                <c:pt idx="78">
                  <c:v>23862.348936865477</c:v>
                </c:pt>
                <c:pt idx="79">
                  <c:v>24438.44984608611</c:v>
                </c:pt>
                <c:pt idx="80">
                  <c:v>25057.99650819079</c:v>
                </c:pt>
                <c:pt idx="81">
                  <c:v>25712.834337654331</c:v>
                </c:pt>
                <c:pt idx="82">
                  <c:v>26397.071015044305</c:v>
                </c:pt>
                <c:pt idx="83">
                  <c:v>27106.247662264173</c:v>
                </c:pt>
                <c:pt idx="84">
                  <c:v>27836.851422012234</c:v>
                </c:pt>
                <c:pt idx="85">
                  <c:v>28586.017602201955</c:v>
                </c:pt>
                <c:pt idx="86">
                  <c:v>29351.340971123325</c:v>
                </c:pt>
                <c:pt idx="87">
                  <c:v>30000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B92-4398-90F9-0635F73C17C7}"/>
            </c:ext>
          </c:extLst>
        </c:ser>
        <c:ser>
          <c:idx val="47"/>
          <c:order val="47"/>
          <c:tx>
            <c:strRef>
              <c:f>RPlot!$EP$50</c:f>
              <c:strCache>
                <c:ptCount val="1"/>
                <c:pt idx="0">
                  <c:v>9y 213d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RPlot!$AT$50:$EO$50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29970.861059811556</c:v>
                </c:pt>
                <c:pt idx="44">
                  <c:v>29126.755367819194</c:v>
                </c:pt>
                <c:pt idx="45">
                  <c:v>28304.078498614192</c:v>
                </c:pt>
                <c:pt idx="46">
                  <c:v>27504.141024132332</c:v>
                </c:pt>
                <c:pt idx="47">
                  <c:v>26728.403754913306</c:v>
                </c:pt>
                <c:pt idx="48">
                  <c:v>25978.512168338028</c:v>
                </c:pt>
                <c:pt idx="49">
                  <c:v>25256.336502935093</c:v>
                </c:pt>
                <c:pt idx="50">
                  <c:v>24564.019245162581</c:v>
                </c:pt>
                <c:pt idx="51">
                  <c:v>23904.032449872015</c:v>
                </c:pt>
                <c:pt idx="52">
                  <c:v>23279.248392078163</c:v>
                </c:pt>
                <c:pt idx="53">
                  <c:v>22693.028635437386</c:v>
                </c:pt>
                <c:pt idx="54">
                  <c:v>22149.339056176781</c:v>
                </c:pt>
                <c:pt idx="55">
                  <c:v>21652.902329378281</c:v>
                </c:pt>
                <c:pt idx="56">
                  <c:v>21209.406245253769</c:v>
                </c:pt>
                <c:pt idx="57">
                  <c:v>20825.799063707273</c:v>
                </c:pt>
                <c:pt idx="58">
                  <c:v>20510.728991765198</c:v>
                </c:pt>
                <c:pt idx="59">
                  <c:v>20275.239859115711</c:v>
                </c:pt>
                <c:pt idx="60">
                  <c:v>20112.16001320945</c:v>
                </c:pt>
                <c:pt idx="61">
                  <c:v>19856.699511843643</c:v>
                </c:pt>
                <c:pt idx="62">
                  <c:v>19658.152888397039</c:v>
                </c:pt>
                <c:pt idx="63">
                  <c:v>19518.28442254999</c:v>
                </c:pt>
                <c:pt idx="64">
                  <c:v>19438.364116530596</c:v>
                </c:pt>
                <c:pt idx="65">
                  <c:v>19419.09220242126</c:v>
                </c:pt>
                <c:pt idx="66">
                  <c:v>19460.552126975846</c:v>
                </c:pt>
                <c:pt idx="67">
                  <c:v>19562.197714603328</c:v>
                </c:pt>
                <c:pt idx="68">
                  <c:v>19722.875966501666</c:v>
                </c:pt>
                <c:pt idx="69">
                  <c:v>19940.882395636079</c:v>
                </c:pt>
                <c:pt idx="70">
                  <c:v>20214.041945846875</c:v>
                </c:pt>
                <c:pt idx="71">
                  <c:v>20539.80614021359</c:v>
                </c:pt>
                <c:pt idx="72">
                  <c:v>20915.356556596988</c:v>
                </c:pt>
                <c:pt idx="73">
                  <c:v>21337.70567920095</c:v>
                </c:pt>
                <c:pt idx="74">
                  <c:v>21803.788296283081</c:v>
                </c:pt>
                <c:pt idx="75">
                  <c:v>22310.539140476281</c:v>
                </c:pt>
                <c:pt idx="76">
                  <c:v>22761.067318279922</c:v>
                </c:pt>
                <c:pt idx="77">
                  <c:v>23151.52194471447</c:v>
                </c:pt>
                <c:pt idx="78">
                  <c:v>23632.217990982972</c:v>
                </c:pt>
                <c:pt idx="79">
                  <c:v>24178.374069933201</c:v>
                </c:pt>
                <c:pt idx="80">
                  <c:v>24774.516767131368</c:v>
                </c:pt>
                <c:pt idx="81">
                  <c:v>25410.390941451944</c:v>
                </c:pt>
                <c:pt idx="82">
                  <c:v>26078.817793414397</c:v>
                </c:pt>
                <c:pt idx="83">
                  <c:v>26774.517534166902</c:v>
                </c:pt>
                <c:pt idx="84">
                  <c:v>27493.433446943825</c:v>
                </c:pt>
                <c:pt idx="85">
                  <c:v>28232.328014269042</c:v>
                </c:pt>
                <c:pt idx="86">
                  <c:v>28988.532461401275</c:v>
                </c:pt>
                <c:pt idx="87">
                  <c:v>29759.786070506612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B92-4398-90F9-0635F73C17C7}"/>
            </c:ext>
          </c:extLst>
        </c:ser>
        <c:ser>
          <c:idx val="48"/>
          <c:order val="48"/>
          <c:tx>
            <c:strRef>
              <c:f>RPlot!$EP$51</c:f>
              <c:strCache>
                <c:ptCount val="1"/>
                <c:pt idx="0">
                  <c:v>9y 274d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RPlot!$AT$51:$EO$51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29592.845261634186</c:v>
                </c:pt>
                <c:pt idx="45">
                  <c:v>28757.271997359479</c:v>
                </c:pt>
                <c:pt idx="46">
                  <c:v>27943.803732585144</c:v>
                </c:pt>
                <c:pt idx="47">
                  <c:v>27153.833363848949</c:v>
                </c:pt>
                <c:pt idx="48">
                  <c:v>26388.921404331482</c:v>
                </c:pt>
                <c:pt idx="49">
                  <c:v>25650.833221644651</c:v>
                </c:pt>
                <c:pt idx="50">
                  <c:v>24941.582719184727</c:v>
                </c:pt>
                <c:pt idx="51">
                  <c:v>24263.484469907882</c:v>
                </c:pt>
                <c:pt idx="52">
                  <c:v>23619.217142958951</c:v>
                </c:pt>
                <c:pt idx="53">
                  <c:v>23011.902291434555</c:v>
                </c:pt>
                <c:pt idx="54">
                  <c:v>22445.204421843431</c:v>
                </c:pt>
                <c:pt idx="55">
                  <c:v>21923.46116681899</c:v>
                </c:pt>
                <c:pt idx="56">
                  <c:v>21451.857207753215</c:v>
                </c:pt>
                <c:pt idx="57">
                  <c:v>21036.664284357343</c:v>
                </c:pt>
                <c:pt idx="58">
                  <c:v>20685.586631157719</c:v>
                </c:pt>
                <c:pt idx="59">
                  <c:v>20408.286688084234</c:v>
                </c:pt>
                <c:pt idx="60">
                  <c:v>20217.242995076034</c:v>
                </c:pt>
                <c:pt idx="61">
                  <c:v>20002.436242096657</c:v>
                </c:pt>
                <c:pt idx="62">
                  <c:v>19774.556685019026</c:v>
                </c:pt>
                <c:pt idx="63">
                  <c:v>19604.704250684124</c:v>
                </c:pt>
                <c:pt idx="64">
                  <c:v>19494.402305829939</c:v>
                </c:pt>
                <c:pt idx="65">
                  <c:v>19444.635159786507</c:v>
                </c:pt>
                <c:pt idx="66">
                  <c:v>19455.785902676882</c:v>
                </c:pt>
                <c:pt idx="67">
                  <c:v>19527.606348777808</c:v>
                </c:pt>
                <c:pt idx="68">
                  <c:v>19659.222739454392</c:v>
                </c:pt>
                <c:pt idx="69">
                  <c:v>19849.176285674923</c:v>
                </c:pt>
                <c:pt idx="70">
                  <c:v>20095.493274121109</c:v>
                </c:pt>
                <c:pt idx="71">
                  <c:v>20395.776261800122</c:v>
                </c:pt>
                <c:pt idx="72">
                  <c:v>20747.306412805508</c:v>
                </c:pt>
                <c:pt idx="73">
                  <c:v>21147.147312992598</c:v>
                </c:pt>
                <c:pt idx="74">
                  <c:v>21592.242261911801</c:v>
                </c:pt>
                <c:pt idx="75">
                  <c:v>22079.499445147656</c:v>
                </c:pt>
                <c:pt idx="76">
                  <c:v>22605.861926472997</c:v>
                </c:pt>
                <c:pt idx="77">
                  <c:v>22989.779748490579</c:v>
                </c:pt>
                <c:pt idx="78">
                  <c:v>23421.839436325485</c:v>
                </c:pt>
                <c:pt idx="79">
                  <c:v>23932.825185506947</c:v>
                </c:pt>
                <c:pt idx="80">
                  <c:v>24502.216368658555</c:v>
                </c:pt>
                <c:pt idx="81">
                  <c:v>25116.887192233349</c:v>
                </c:pt>
                <c:pt idx="82">
                  <c:v>25767.946823069196</c:v>
                </c:pt>
                <c:pt idx="83">
                  <c:v>26449.049353403527</c:v>
                </c:pt>
                <c:pt idx="84">
                  <c:v>27155.447397966949</c:v>
                </c:pt>
                <c:pt idx="85">
                  <c:v>27883.439536432237</c:v>
                </c:pt>
                <c:pt idx="86">
                  <c:v>28630.035028307968</c:v>
                </c:pt>
                <c:pt idx="87">
                  <c:v>29392.743028627821</c:v>
                </c:pt>
                <c:pt idx="88">
                  <c:v>30000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B92-4398-90F9-0635F73C17C7}"/>
            </c:ext>
          </c:extLst>
        </c:ser>
        <c:ser>
          <c:idx val="49"/>
          <c:order val="49"/>
          <c:tx>
            <c:strRef>
              <c:f>RPlot!$EP$52</c:f>
              <c:strCache>
                <c:ptCount val="1"/>
                <c:pt idx="0">
                  <c:v>9y 335d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RPlot!$AT$52:$EO$52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29217.657202501297</c:v>
                </c:pt>
                <c:pt idx="46">
                  <c:v>28390.994887733359</c:v>
                </c:pt>
                <c:pt idx="47">
                  <c:v>27587.149822790663</c:v>
                </c:pt>
                <c:pt idx="48">
                  <c:v>26807.605320106668</c:v>
                </c:pt>
                <c:pt idx="49">
                  <c:v>26054.030932374655</c:v>
                </c:pt>
                <c:pt idx="50">
                  <c:v>25328.322806080327</c:v>
                </c:pt>
                <c:pt idx="51">
                  <c:v>24632.651353886431</c:v>
                </c:pt>
                <c:pt idx="52">
                  <c:v>23969.518571437126</c:v>
                </c:pt>
                <c:pt idx="53">
                  <c:v>23341.828285106021</c:v>
                </c:pt>
                <c:pt idx="54">
                  <c:v>22752.974037283948</c:v>
                </c:pt>
                <c:pt idx="55">
                  <c:v>22206.951476755628</c:v>
                </c:pt>
                <c:pt idx="56">
                  <c:v>21708.505582652499</c:v>
                </c:pt>
                <c:pt idx="57">
                  <c:v>21263.329030524099</c:v>
                </c:pt>
                <c:pt idx="58">
                  <c:v>20878.339300608277</c:v>
                </c:pt>
                <c:pt idx="59">
                  <c:v>20562.085183426272</c:v>
                </c:pt>
                <c:pt idx="60">
                  <c:v>20325.382846420096</c:v>
                </c:pt>
                <c:pt idx="61">
                  <c:v>20161.738127986486</c:v>
                </c:pt>
                <c:pt idx="62">
                  <c:v>19904.810250332052</c:v>
                </c:pt>
                <c:pt idx="63">
                  <c:v>19705.145140225417</c:v>
                </c:pt>
                <c:pt idx="64">
                  <c:v>19564.502423019716</c:v>
                </c:pt>
                <c:pt idx="65">
                  <c:v>19484.139728362738</c:v>
                </c:pt>
                <c:pt idx="66">
                  <c:v>19464.736925743717</c:v>
                </c:pt>
                <c:pt idx="67">
                  <c:v>19506.349436548218</c:v>
                </c:pt>
                <c:pt idx="68">
                  <c:v>19608.396323173514</c:v>
                </c:pt>
                <c:pt idx="69">
                  <c:v>19769.68451410381</c:v>
                </c:pt>
                <c:pt idx="70">
                  <c:v>19988.465931777955</c:v>
                </c:pt>
                <c:pt idx="71">
                  <c:v>20262.520030523687</c:v>
                </c:pt>
                <c:pt idx="72">
                  <c:v>20589.253170272823</c:v>
                </c:pt>
                <c:pt idx="73">
                  <c:v>20965.803094576866</c:v>
                </c:pt>
                <c:pt idx="74">
                  <c:v>21389.141161148877</c:v>
                </c:pt>
                <c:pt idx="75">
                  <c:v>21856.164451963308</c:v>
                </c:pt>
                <c:pt idx="76">
                  <c:v>22363.773805155299</c:v>
                </c:pt>
                <c:pt idx="77">
                  <c:v>22863.561922288965</c:v>
                </c:pt>
                <c:pt idx="78">
                  <c:v>23235.388761958882</c:v>
                </c:pt>
                <c:pt idx="79">
                  <c:v>23704.353660638277</c:v>
                </c:pt>
                <c:pt idx="80">
                  <c:v>24242.730276892296</c:v>
                </c:pt>
                <c:pt idx="81">
                  <c:v>24833.418127963465</c:v>
                </c:pt>
                <c:pt idx="82">
                  <c:v>25465.220948746217</c:v>
                </c:pt>
                <c:pt idx="83">
                  <c:v>26130.393320363502</c:v>
                </c:pt>
                <c:pt idx="84">
                  <c:v>26823.302182695334</c:v>
                </c:pt>
                <c:pt idx="85">
                  <c:v>27539.663838650777</c:v>
                </c:pt>
                <c:pt idx="86">
                  <c:v>28276.091191695898</c:v>
                </c:pt>
                <c:pt idx="87">
                  <c:v>29029.81497211949</c:v>
                </c:pt>
                <c:pt idx="88">
                  <c:v>29798.505969246529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B92-4398-90F9-0635F73C17C7}"/>
            </c:ext>
          </c:extLst>
        </c:ser>
        <c:ser>
          <c:idx val="50"/>
          <c:order val="50"/>
          <c:tx>
            <c:strRef>
              <c:f>RPlot!$EP$53</c:f>
              <c:strCache>
                <c:ptCount val="1"/>
                <c:pt idx="0">
                  <c:v>10y 31d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RPlot!$AT$53:$EO$53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29684.917418260888</c:v>
                </c:pt>
                <c:pt idx="46">
                  <c:v>28845.399597412921</c:v>
                </c:pt>
                <c:pt idx="47">
                  <c:v>28028.037809701138</c:v>
                </c:pt>
                <c:pt idx="48">
                  <c:v>27234.24560277813</c:v>
                </c:pt>
                <c:pt idx="49">
                  <c:v>26465.605315438988</c:v>
                </c:pt>
                <c:pt idx="50">
                  <c:v>25723.905499313554</c:v>
                </c:pt>
                <c:pt idx="51">
                  <c:v>25011.184721878093</c:v>
                </c:pt>
                <c:pt idx="52">
                  <c:v>24329.783668633081</c:v>
                </c:pt>
                <c:pt idx="53">
                  <c:v>23682.40822238721</c:v>
                </c:pt>
                <c:pt idx="54">
                  <c:v>23072.207301409471</c:v>
                </c:pt>
                <c:pt idx="55">
                  <c:v>22502.87087674507</c:v>
                </c:pt>
                <c:pt idx="56">
                  <c:v>21978.756122964449</c:v>
                </c:pt>
                <c:pt idx="57">
                  <c:v>21505.053852186866</c:v>
                </c:pt>
                <c:pt idx="58">
                  <c:v>21088.014982851444</c:v>
                </c:pt>
                <c:pt idx="59">
                  <c:v>20735.271868216354</c:v>
                </c:pt>
                <c:pt idx="60">
                  <c:v>20456.321218100202</c:v>
                </c:pt>
                <c:pt idx="61">
                  <c:v>20263.305135739156</c:v>
                </c:pt>
                <c:pt idx="62">
                  <c:v>20048.827185067217</c:v>
                </c:pt>
                <c:pt idx="63">
                  <c:v>19819.591472223834</c:v>
                </c:pt>
                <c:pt idx="64">
                  <c:v>19648.725946848266</c:v>
                </c:pt>
                <c:pt idx="65">
                  <c:v>19537.747211351387</c:v>
                </c:pt>
                <c:pt idx="66">
                  <c:v>19487.624891765608</c:v>
                </c:pt>
                <c:pt idx="67">
                  <c:v>19498.719424706247</c:v>
                </c:pt>
                <c:pt idx="68">
                  <c:v>19570.752562008667</c:v>
                </c:pt>
                <c:pt idx="69">
                  <c:v>19702.814205795421</c:v>
                </c:pt>
                <c:pt idx="70">
                  <c:v>19893.404518539945</c:v>
                </c:pt>
                <c:pt idx="71">
                  <c:v>20140.505832013481</c:v>
                </c:pt>
                <c:pt idx="72">
                  <c:v>20441.675664426468</c:v>
                </c:pt>
                <c:pt idx="73">
                  <c:v>20794.150706282868</c:v>
                </c:pt>
                <c:pt idx="74">
                  <c:v>21194.951982601422</c:v>
                </c:pt>
                <c:pt idx="75">
                  <c:v>21640.983127141444</c:v>
                </c:pt>
                <c:pt idx="76">
                  <c:v>22129.116173599508</c:v>
                </c:pt>
                <c:pt idx="77">
                  <c:v>22656.261847606056</c:v>
                </c:pt>
                <c:pt idx="78">
                  <c:v>23078.422361251571</c:v>
                </c:pt>
                <c:pt idx="79">
                  <c:v>23496.243383083893</c:v>
                </c:pt>
                <c:pt idx="80">
                  <c:v>23998.101248642135</c:v>
                </c:pt>
                <c:pt idx="81">
                  <c:v>24561.315132830503</c:v>
                </c:pt>
                <c:pt idx="82">
                  <c:v>25171.545353203161</c:v>
                </c:pt>
                <c:pt idx="83">
                  <c:v>25819.188516874136</c:v>
                </c:pt>
                <c:pt idx="84">
                  <c:v>26497.464173756453</c:v>
                </c:pt>
                <c:pt idx="85">
                  <c:v>27201.351026156473</c:v>
                </c:pt>
                <c:pt idx="86">
                  <c:v>27926.970053100216</c:v>
                </c:pt>
                <c:pt idx="87">
                  <c:v>28671.212737192567</c:v>
                </c:pt>
                <c:pt idx="88">
                  <c:v>29431.508763116795</c:v>
                </c:pt>
                <c:pt idx="89">
                  <c:v>30000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B92-4398-90F9-0635F73C17C7}"/>
            </c:ext>
          </c:extLst>
        </c:ser>
        <c:ser>
          <c:idx val="51"/>
          <c:order val="51"/>
          <c:tx>
            <c:strRef>
              <c:f>RPlot!$EP$54</c:f>
              <c:strCache>
                <c:ptCount val="1"/>
                <c:pt idx="0">
                  <c:v>10y 92d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RPlot!$AT$54:$EO$54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29306.708546928647</c:v>
                </c:pt>
                <c:pt idx="47">
                  <c:v>28476.187387632424</c:v>
                </c:pt>
                <c:pt idx="48">
                  <c:v>27668.529127486312</c:v>
                </c:pt>
                <c:pt idx="49">
                  <c:v>26885.237067684498</c:v>
                </c:pt>
                <c:pt idx="50">
                  <c:v>26128.001730450233</c:v>
                </c:pt>
                <c:pt idx="51">
                  <c:v>25398.741280274327</c:v>
                </c:pt>
                <c:pt idx="52">
                  <c:v>24699.649137498945</c:v>
                </c:pt>
                <c:pt idx="53">
                  <c:v>24033.250982841295</c:v>
                </c:pt>
                <c:pt idx="54">
                  <c:v>23402.474219861091</c:v>
                </c:pt>
                <c:pt idx="55">
                  <c:v>22810.734224897486</c:v>
                </c:pt>
                <c:pt idx="56">
                  <c:v>22262.043607536878</c:v>
                </c:pt>
                <c:pt idx="57">
                  <c:v>21761.153712021209</c:v>
                </c:pt>
                <c:pt idx="58">
                  <c:v>21313.742796880568</c:v>
                </c:pt>
                <c:pt idx="59">
                  <c:v>20926.675280274147</c:v>
                </c:pt>
                <c:pt idx="60">
                  <c:v>20608.377074139233</c:v>
                </c:pt>
                <c:pt idx="61">
                  <c:v>20369.416869187949</c:v>
                </c:pt>
                <c:pt idx="62">
                  <c:v>20206.479050278464</c:v>
                </c:pt>
                <c:pt idx="63">
                  <c:v>19947.981194148626</c:v>
                </c:pt>
                <c:pt idx="64">
                  <c:v>19747.085200555128</c:v>
                </c:pt>
                <c:pt idx="65">
                  <c:v>19605.549114196157</c:v>
                </c:pt>
                <c:pt idx="66">
                  <c:v>19524.621317598867</c:v>
                </c:pt>
                <c:pt idx="67">
                  <c:v>19504.964365882657</c:v>
                </c:pt>
                <c:pt idx="68">
                  <c:v>19546.60849270886</c:v>
                </c:pt>
                <c:pt idx="69">
                  <c:v>19648.940504177033</c:v>
                </c:pt>
                <c:pt idx="70">
                  <c:v>19810.729335079192</c:v>
                </c:pt>
                <c:pt idx="71">
                  <c:v>20030.184820276281</c:v>
                </c:pt>
                <c:pt idx="72">
                  <c:v>20305.042299212844</c:v>
                </c:pt>
                <c:pt idx="73">
                  <c:v>20632.663281136931</c:v>
                </c:pt>
                <c:pt idx="74">
                  <c:v>21010.141941454705</c:v>
                </c:pt>
                <c:pt idx="75">
                  <c:v>21434.408306378577</c:v>
                </c:pt>
                <c:pt idx="76">
                  <c:v>21902.321239400018</c:v>
                </c:pt>
                <c:pt idx="77">
                  <c:v>22410.746969308104</c:v>
                </c:pt>
                <c:pt idx="78">
                  <c:v>22956.621342339997</c:v>
                </c:pt>
                <c:pt idx="79">
                  <c:v>23312.794454029739</c:v>
                </c:pt>
                <c:pt idx="80">
                  <c:v>23770.92073601485</c:v>
                </c:pt>
                <c:pt idx="81">
                  <c:v>24302.219163534312</c:v>
                </c:pt>
                <c:pt idx="82">
                  <c:v>24888.007043598693</c:v>
                </c:pt>
                <c:pt idx="83">
                  <c:v>25516.184901058929</c:v>
                </c:pt>
                <c:pt idx="84">
                  <c:v>26178.469813462758</c:v>
                </c:pt>
                <c:pt idx="85">
                  <c:v>26868.89704124094</c:v>
                </c:pt>
                <c:pt idx="86">
                  <c:v>27582.971729681252</c:v>
                </c:pt>
                <c:pt idx="87">
                  <c:v>28317.168857555178</c:v>
                </c:pt>
                <c:pt idx="88">
                  <c:v>29068.627213543477</c:v>
                </c:pt>
                <c:pt idx="89">
                  <c:v>29834.955536763657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EB92-4398-90F9-0635F73C17C7}"/>
            </c:ext>
          </c:extLst>
        </c:ser>
        <c:ser>
          <c:idx val="52"/>
          <c:order val="52"/>
          <c:tx>
            <c:strRef>
              <c:f>RPlot!$EP$55</c:f>
              <c:strCache>
                <c:ptCount val="1"/>
                <c:pt idx="0">
                  <c:v>10y 152d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RPlot!$AT$55:$EO$55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29774.618256603546</c:v>
                </c:pt>
                <c:pt idx="47">
                  <c:v>28931.294400711144</c:v>
                </c:pt>
                <c:pt idx="48">
                  <c:v>28110.148510912702</c:v>
                </c:pt>
                <c:pt idx="49">
                  <c:v>27312.612626835748</c:v>
                </c:pt>
                <c:pt idx="50">
                  <c:v>26540.28826377527</c:v>
                </c:pt>
                <c:pt idx="51">
                  <c:v>25794.983857019546</c:v>
                </c:pt>
                <c:pt idx="52">
                  <c:v>25078.758481285273</c:v>
                </c:pt>
                <c:pt idx="53">
                  <c:v>24393.973662294553</c:v>
                </c:pt>
                <c:pt idx="54">
                  <c:v>23743.355787796987</c:v>
                </c:pt>
                <c:pt idx="55">
                  <c:v>23130.072611936226</c:v>
                </c:pt>
                <c:pt idx="56">
                  <c:v>22557.82878894217</c:v>
                </c:pt>
                <c:pt idx="57">
                  <c:v>22030.987576797666</c:v>
                </c:pt>
                <c:pt idx="58">
                  <c:v>21554.729493017483</c:v>
                </c:pt>
                <c:pt idx="59">
                  <c:v>21135.265361946636</c:v>
                </c:pt>
                <c:pt idx="60">
                  <c:v>20780.134608168133</c:v>
                </c:pt>
                <c:pt idx="61">
                  <c:v>20498.64848171188</c:v>
                </c:pt>
                <c:pt idx="62">
                  <c:v>20302.601493710496</c:v>
                </c:pt>
                <c:pt idx="63">
                  <c:v>20090.208538005598</c:v>
                </c:pt>
                <c:pt idx="64">
                  <c:v>19859.545054126786</c:v>
                </c:pt>
                <c:pt idx="65">
                  <c:v>19687.587652622304</c:v>
                </c:pt>
                <c:pt idx="66">
                  <c:v>19575.848808257462</c:v>
                </c:pt>
                <c:pt idx="67">
                  <c:v>19525.286044240922</c:v>
                </c:pt>
                <c:pt idx="68">
                  <c:v>19536.23955895425</c:v>
                </c:pt>
                <c:pt idx="69">
                  <c:v>19608.403190181984</c:v>
                </c:pt>
                <c:pt idx="70">
                  <c:v>19740.832300729438</c:v>
                </c:pt>
                <c:pt idx="71">
                  <c:v>19931.987395664433</c:v>
                </c:pt>
                <c:pt idx="72">
                  <c:v>20179.807835299045</c:v>
                </c:pt>
                <c:pt idx="73">
                  <c:v>20481.806660070299</c:v>
                </c:pt>
                <c:pt idx="74">
                  <c:v>20835.176277806961</c:v>
                </c:pt>
                <c:pt idx="75">
                  <c:v>21236.895023812103</c:v>
                </c:pt>
                <c:pt idx="76">
                  <c:v>21683.826480555668</c:v>
                </c:pt>
                <c:pt idx="77">
                  <c:v>22172.805944189247</c:v>
                </c:pt>
                <c:pt idx="78">
                  <c:v>22700.711111063396</c:v>
                </c:pt>
                <c:pt idx="79">
                  <c:v>23159.738701077113</c:v>
                </c:pt>
                <c:pt idx="80">
                  <c:v>23564.529536457794</c:v>
                </c:pt>
                <c:pt idx="81">
                  <c:v>24058.182174560803</c:v>
                </c:pt>
                <c:pt idx="82">
                  <c:v>24615.928208625577</c:v>
                </c:pt>
                <c:pt idx="83">
                  <c:v>25222.272381166578</c:v>
                </c:pt>
                <c:pt idx="84">
                  <c:v>25866.941954996117</c:v>
                </c:pt>
                <c:pt idx="85">
                  <c:v>26542.75310146964</c:v>
                </c:pt>
                <c:pt idx="86">
                  <c:v>27244.432934403572</c:v>
                </c:pt>
                <c:pt idx="87">
                  <c:v>27967.940926533596</c:v>
                </c:pt>
                <c:pt idx="88">
                  <c:v>28710.062423025433</c:v>
                </c:pt>
                <c:pt idx="89">
                  <c:v>29468.156258953</c:v>
                </c:pt>
                <c:pt idx="90">
                  <c:v>30000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EB92-4398-90F9-0635F73C17C7}"/>
            </c:ext>
          </c:extLst>
        </c:ser>
        <c:ser>
          <c:idx val="53"/>
          <c:order val="53"/>
          <c:tx>
            <c:strRef>
              <c:f>RPlot!$EP$56</c:f>
              <c:strCache>
                <c:ptCount val="1"/>
                <c:pt idx="0">
                  <c:v>10y 213d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RPlot!$AT$56:$EO$56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29393.060766134677</c:v>
                </c:pt>
                <c:pt idx="48">
                  <c:v>28558.802534183098</c:v>
                </c:pt>
                <c:pt idx="49">
                  <c:v>27747.424737976078</c:v>
                </c:pt>
                <c:pt idx="50">
                  <c:v>26960.448408715318</c:v>
                </c:pt>
                <c:pt idx="51">
                  <c:v>26199.582240777116</c:v>
                </c:pt>
                <c:pt idx="52">
                  <c:v>25466.762907850411</c:v>
                </c:pt>
                <c:pt idx="53">
                  <c:v>24764.202399679227</c:v>
                </c:pt>
                <c:pt idx="54">
                  <c:v>24094.444443279412</c:v>
                </c:pt>
                <c:pt idx="55">
                  <c:v>23460.432852738941</c:v>
                </c:pt>
                <c:pt idx="56">
                  <c:v>22865.595768515926</c:v>
                </c:pt>
                <c:pt idx="57">
                  <c:v>22313.951399565409</c:v>
                </c:pt>
                <c:pt idx="58">
                  <c:v>21810.243488544005</c:v>
                </c:pt>
                <c:pt idx="59">
                  <c:v>21360.119255336835</c:v>
                </c:pt>
                <c:pt idx="60">
                  <c:v>20970.371370245281</c:v>
                </c:pt>
                <c:pt idx="61">
                  <c:v>20649.284070763588</c:v>
                </c:pt>
                <c:pt idx="62">
                  <c:v>20407.164378933703</c:v>
                </c:pt>
                <c:pt idx="63">
                  <c:v>20246.127218989735</c:v>
                </c:pt>
                <c:pt idx="64">
                  <c:v>19986.025245873825</c:v>
                </c:pt>
                <c:pt idx="65">
                  <c:v>19783.856963351525</c:v>
                </c:pt>
                <c:pt idx="66">
                  <c:v>19641.381032481815</c:v>
                </c:pt>
                <c:pt idx="67">
                  <c:v>19559.838742270615</c:v>
                </c:pt>
                <c:pt idx="68">
                  <c:v>19539.877337983486</c:v>
                </c:pt>
                <c:pt idx="69">
                  <c:v>19581.503649411025</c:v>
                </c:pt>
                <c:pt idx="70">
                  <c:v>19684.073720428685</c:v>
                </c:pt>
                <c:pt idx="71">
                  <c:v>19846.319652631908</c:v>
                </c:pt>
                <c:pt idx="72">
                  <c:v>20066.410047770787</c:v>
                </c:pt>
                <c:pt idx="73">
                  <c:v>20342.036464488312</c:v>
                </c:pt>
                <c:pt idx="74">
                  <c:v>20670.515862095577</c:v>
                </c:pt>
                <c:pt idx="75">
                  <c:v>21048.898696867167</c:v>
                </c:pt>
                <c:pt idx="76">
                  <c:v>21474.073348780053</c:v>
                </c:pt>
                <c:pt idx="77">
                  <c:v>21942.859994572853</c:v>
                </c:pt>
                <c:pt idx="78">
                  <c:v>22452.089694464587</c:v>
                </c:pt>
                <c:pt idx="79">
                  <c:v>22998.666817938007</c:v>
                </c:pt>
                <c:pt idx="80">
                  <c:v>23383.308187321381</c:v>
                </c:pt>
                <c:pt idx="81">
                  <c:v>23831.809596497144</c:v>
                </c:pt>
                <c:pt idx="82">
                  <c:v>24356.939209961929</c:v>
                </c:pt>
                <c:pt idx="83">
                  <c:v>24938.519655354838</c:v>
                </c:pt>
                <c:pt idx="84">
                  <c:v>25563.611235274202</c:v>
                </c:pt>
                <c:pt idx="85">
                  <c:v>26223.437816287427</c:v>
                </c:pt>
                <c:pt idx="86">
                  <c:v>26911.734027786664</c:v>
                </c:pt>
                <c:pt idx="87">
                  <c:v>27623.815794693983</c:v>
                </c:pt>
                <c:pt idx="88">
                  <c:v>28356.035794279713</c:v>
                </c:pt>
                <c:pt idx="89">
                  <c:v>29105.452229811497</c:v>
                </c:pt>
                <c:pt idx="90">
                  <c:v>29869.620112364595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EB92-4398-90F9-0635F73C17C7}"/>
            </c:ext>
          </c:extLst>
        </c:ser>
        <c:ser>
          <c:idx val="54"/>
          <c:order val="54"/>
          <c:tx>
            <c:strRef>
              <c:f>RPlot!$EP$57</c:f>
              <c:strCache>
                <c:ptCount val="1"/>
                <c:pt idx="0">
                  <c:v>10y 274d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RPlot!$AT$57:$EO$57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29861.194674134091</c:v>
                </c:pt>
                <c:pt idx="48">
                  <c:v>29014.196449898562</c:v>
                </c:pt>
                <c:pt idx="49">
                  <c:v>28189.372879299899</c:v>
                </c:pt>
                <c:pt idx="50">
                  <c:v>27388.172568231192</c:v>
                </c:pt>
                <c:pt idx="51">
                  <c:v>26612.21383974421</c:v>
                </c:pt>
                <c:pt idx="52">
                  <c:v>25863.322055259123</c:v>
                </c:pt>
                <c:pt idx="53">
                  <c:v>25143.573066506742</c:v>
                </c:pt>
                <c:pt idx="54">
                  <c:v>24455.344507159294</c:v>
                </c:pt>
                <c:pt idx="55">
                  <c:v>23801.377256222895</c:v>
                </c:pt>
                <c:pt idx="56">
                  <c:v>23184.85028254558</c:v>
                </c:pt>
                <c:pt idx="57">
                  <c:v>22609.473343586287</c:v>
                </c:pt>
                <c:pt idx="58">
                  <c:v>22079.603924256051</c:v>
                </c:pt>
                <c:pt idx="59">
                  <c:v>21600.39796055128</c:v>
                </c:pt>
                <c:pt idx="60">
                  <c:v>21178.009736817439</c:v>
                </c:pt>
                <c:pt idx="61">
                  <c:v>20819.86833924133</c:v>
                </c:pt>
                <c:pt idx="62">
                  <c:v>20535.084240195523</c:v>
                </c:pt>
                <c:pt idx="63">
                  <c:v>20335.097864763</c:v>
                </c:pt>
                <c:pt idx="64">
                  <c:v>20126.403222597299</c:v>
                </c:pt>
                <c:pt idx="65">
                  <c:v>19894.304939501635</c:v>
                </c:pt>
                <c:pt idx="66">
                  <c:v>19721.243382902107</c:v>
                </c:pt>
                <c:pt idx="67">
                  <c:v>19608.728659186771</c:v>
                </c:pt>
                <c:pt idx="68">
                  <c:v>19557.707813615863</c:v>
                </c:pt>
                <c:pt idx="69">
                  <c:v>19568.502232490719</c:v>
                </c:pt>
                <c:pt idx="70">
                  <c:v>19640.779015765085</c:v>
                </c:pt>
                <c:pt idx="71">
                  <c:v>19773.559878264601</c:v>
                </c:pt>
                <c:pt idx="72">
                  <c:v>19965.266296228539</c:v>
                </c:pt>
                <c:pt idx="73">
                  <c:v>20213.794957834136</c:v>
                </c:pt>
                <c:pt idx="74">
                  <c:v>20516.614515027923</c:v>
                </c:pt>
                <c:pt idx="75">
                  <c:v>20870.872967837404</c:v>
                </c:pt>
                <c:pt idx="76">
                  <c:v>21273.50567322506</c:v>
                </c:pt>
                <c:pt idx="77">
                  <c:v>21721.335751179624</c:v>
                </c:pt>
                <c:pt idx="78">
                  <c:v>22211.161312789191</c:v>
                </c:pt>
                <c:pt idx="79">
                  <c:v>22739.826457262778</c:v>
                </c:pt>
                <c:pt idx="80">
                  <c:v>23233.104738722228</c:v>
                </c:pt>
                <c:pt idx="81">
                  <c:v>23626.46357562561</c:v>
                </c:pt>
                <c:pt idx="82">
                  <c:v>24113.079778091207</c:v>
                </c:pt>
                <c:pt idx="83">
                  <c:v>24666.226705798246</c:v>
                </c:pt>
                <c:pt idx="84">
                  <c:v>25269.344309243159</c:v>
                </c:pt>
                <c:pt idx="85">
                  <c:v>25911.552870120904</c:v>
                </c:pt>
                <c:pt idx="86">
                  <c:v>26585.307983390056</c:v>
                </c:pt>
                <c:pt idx="87">
                  <c:v>27285.114827395031</c:v>
                </c:pt>
                <c:pt idx="88">
                  <c:v>28006.792143881317</c:v>
                </c:pt>
                <c:pt idx="89">
                  <c:v>28747.033988995783</c:v>
                </c:pt>
                <c:pt idx="90">
                  <c:v>29503.13904903211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EB92-4398-90F9-0635F73C17C7}"/>
            </c:ext>
          </c:extLst>
        </c:ser>
        <c:ser>
          <c:idx val="55"/>
          <c:order val="55"/>
          <c:tx>
            <c:strRef>
              <c:f>RPlot!$EP$58</c:f>
              <c:strCache>
                <c:ptCount val="1"/>
                <c:pt idx="0">
                  <c:v>10y 335d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RPlot!$AT$58:$EO$58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29476.042187387298</c:v>
                </c:pt>
                <c:pt idx="49">
                  <c:v>28638.16356369749</c:v>
                </c:pt>
                <c:pt idx="50">
                  <c:v>27823.158641268295</c:v>
                </c:pt>
                <c:pt idx="51">
                  <c:v>27032.564177312117</c:v>
                </c:pt>
                <c:pt idx="52">
                  <c:v>26268.104549478754</c:v>
                </c:pt>
                <c:pt idx="53">
                  <c:v>25531.73181160654</c:v>
                </c:pt>
                <c:pt idx="54">
                  <c:v>24825.672559379411</c:v>
                </c:pt>
                <c:pt idx="55">
                  <c:v>24152.483529816323</c:v>
                </c:pt>
                <c:pt idx="56">
                  <c:v>23515.118555715377</c:v>
                </c:pt>
                <c:pt idx="57">
                  <c:v>22917.010479583849</c:v>
                </c:pt>
                <c:pt idx="58">
                  <c:v>22362.173068919485</c:v>
                </c:pt>
                <c:pt idx="59">
                  <c:v>21855.330231587577</c:v>
                </c:pt>
                <c:pt idx="60">
                  <c:v>21402.083785888066</c:v>
                </c:pt>
                <c:pt idx="61">
                  <c:v>21009.138847313123</c:v>
                </c:pt>
                <c:pt idx="62">
                  <c:v>20684.622678905209</c:v>
                </c:pt>
                <c:pt idx="63">
                  <c:v>20438.570255186474</c:v>
                </c:pt>
                <c:pt idx="64">
                  <c:v>20280.517437407034</c:v>
                </c:pt>
                <c:pt idx="65">
                  <c:v>20018.835683295954</c:v>
                </c:pt>
                <c:pt idx="66">
                  <c:v>19815.414303231741</c:v>
                </c:pt>
                <c:pt idx="67">
                  <c:v>19672.014005147252</c:v>
                </c:pt>
                <c:pt idx="68">
                  <c:v>19589.870251800305</c:v>
                </c:pt>
                <c:pt idx="69">
                  <c:v>19569.61607263903</c:v>
                </c:pt>
                <c:pt idx="70">
                  <c:v>19611.235752697488</c:v>
                </c:pt>
                <c:pt idx="71">
                  <c:v>19714.055185025278</c:v>
                </c:pt>
                <c:pt idx="72">
                  <c:v>19876.770017563373</c:v>
                </c:pt>
                <c:pt idx="73">
                  <c:v>20097.50776064329</c:v>
                </c:pt>
                <c:pt idx="74">
                  <c:v>20373.91613240484</c:v>
                </c:pt>
                <c:pt idx="75">
                  <c:v>20703.267355105017</c:v>
                </c:pt>
                <c:pt idx="76">
                  <c:v>21082.567852496963</c:v>
                </c:pt>
                <c:pt idx="77">
                  <c:v>21508.663972415285</c:v>
                </c:pt>
                <c:pt idx="78">
                  <c:v>21978.336812619622</c:v>
                </c:pt>
                <c:pt idx="79">
                  <c:v>22488.381790631083</c:v>
                </c:pt>
                <c:pt idx="80">
                  <c:v>23035.671423301661</c:v>
                </c:pt>
                <c:pt idx="81">
                  <c:v>23446.557766753205</c:v>
                </c:pt>
                <c:pt idx="82">
                  <c:v>23886.941365239829</c:v>
                </c:pt>
                <c:pt idx="83">
                  <c:v>24406.996654604125</c:v>
                </c:pt>
                <c:pt idx="84">
                  <c:v>24985.181562647376</c:v>
                </c:pt>
                <c:pt idx="85">
                  <c:v>25607.803513467923</c:v>
                </c:pt>
                <c:pt idx="86">
                  <c:v>26265.651873005219</c:v>
                </c:pt>
                <c:pt idx="87">
                  <c:v>26952.200524853324</c:v>
                </c:pt>
                <c:pt idx="88">
                  <c:v>27662.60364255845</c:v>
                </c:pt>
                <c:pt idx="89">
                  <c:v>28393.110892171586</c:v>
                </c:pt>
                <c:pt idx="90">
                  <c:v>29140.713621194998</c:v>
                </c:pt>
                <c:pt idx="91">
                  <c:v>29902.923158678233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EB92-4398-90F9-0635F73C17C7}"/>
            </c:ext>
          </c:extLst>
        </c:ser>
        <c:ser>
          <c:idx val="56"/>
          <c:order val="56"/>
          <c:tx>
            <c:strRef>
              <c:f>RPlot!$EP$59</c:f>
              <c:strCache>
                <c:ptCount val="1"/>
                <c:pt idx="0">
                  <c:v>11y 31d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RPlot!$AT$59:$EO$59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29944.058469424024</c:v>
                </c:pt>
                <c:pt idx="49">
                  <c:v>29093.510531808486</c:v>
                </c:pt>
                <c:pt idx="50">
                  <c:v>28265.112296732674</c:v>
                </c:pt>
                <c:pt idx="51">
                  <c:v>27460.327242208972</c:v>
                </c:pt>
                <c:pt idx="52">
                  <c:v>26680.788408112348</c:v>
                </c:pt>
                <c:pt idx="53">
                  <c:v>25928.335463136937</c:v>
                </c:pt>
                <c:pt idx="54">
                  <c:v>25205.057724722759</c:v>
                </c:pt>
                <c:pt idx="55">
                  <c:v>24513.344727440268</c:v>
                </c:pt>
                <c:pt idx="56">
                  <c:v>23855.946494387848</c:v>
                </c:pt>
                <c:pt idx="57">
                  <c:v>23236.046442351406</c:v>
                </c:pt>
                <c:pt idx="58">
                  <c:v>22657.350954890462</c:v>
                </c:pt>
                <c:pt idx="59">
                  <c:v>22124.20131355153</c:v>
                </c:pt>
                <c:pt idx="60">
                  <c:v>21641.716419407359</c:v>
                </c:pt>
                <c:pt idx="61">
                  <c:v>21215.979885005039</c:v>
                </c:pt>
                <c:pt idx="62">
                  <c:v>20854.295853694555</c:v>
                </c:pt>
                <c:pt idx="63">
                  <c:v>20565.561822607167</c:v>
                </c:pt>
                <c:pt idx="64">
                  <c:v>20360.860421633228</c:v>
                </c:pt>
                <c:pt idx="65">
                  <c:v>20157.312415103803</c:v>
                </c:pt>
                <c:pt idx="66">
                  <c:v>19923.827240751489</c:v>
                </c:pt>
                <c:pt idx="67">
                  <c:v>19749.70577568575</c:v>
                </c:pt>
                <c:pt idx="68">
                  <c:v>19636.456736470336</c:v>
                </c:pt>
                <c:pt idx="69">
                  <c:v>19585.017470353207</c:v>
                </c:pt>
                <c:pt idx="70">
                  <c:v>19595.691109266852</c:v>
                </c:pt>
                <c:pt idx="71">
                  <c:v>19668.118343582511</c:v>
                </c:pt>
                <c:pt idx="72">
                  <c:v>19801.287364771626</c:v>
                </c:pt>
                <c:pt idx="73">
                  <c:v>19993.580519954216</c:v>
                </c:pt>
                <c:pt idx="74">
                  <c:v>20242.851503544309</c:v>
                </c:pt>
                <c:pt idx="75">
                  <c:v>20546.524666954352</c:v>
                </c:pt>
                <c:pt idx="76">
                  <c:v>20901.702805617224</c:v>
                </c:pt>
                <c:pt idx="77">
                  <c:v>21305.278025381656</c:v>
                </c:pt>
                <c:pt idx="78">
                  <c:v>21754.03262733452</c:v>
                </c:pt>
                <c:pt idx="79">
                  <c:v>22244.727114715453</c:v>
                </c:pt>
                <c:pt idx="80">
                  <c:v>22774.171701480802</c:v>
                </c:pt>
                <c:pt idx="81">
                  <c:v>23297.992796798382</c:v>
                </c:pt>
                <c:pt idx="82">
                  <c:v>23681.870583164491</c:v>
                </c:pt>
                <c:pt idx="83">
                  <c:v>24162.835489710145</c:v>
                </c:pt>
                <c:pt idx="84">
                  <c:v>24712.388097076931</c:v>
                </c:pt>
                <c:pt idx="85">
                  <c:v>25313.025617732746</c:v>
                </c:pt>
                <c:pt idx="86">
                  <c:v>25953.34171009804</c:v>
                </c:pt>
                <c:pt idx="87">
                  <c:v>26625.484915698424</c:v>
                </c:pt>
                <c:pt idx="88">
                  <c:v>27323.774686088473</c:v>
                </c:pt>
                <c:pt idx="89">
                  <c:v>28043.914018272757</c:v>
                </c:pt>
                <c:pt idx="90">
                  <c:v>28782.523207256789</c:v>
                </c:pt>
                <c:pt idx="91">
                  <c:v>29536.853414920963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EB92-4398-90F9-0635F73C17C7}"/>
            </c:ext>
          </c:extLst>
        </c:ser>
        <c:ser>
          <c:idx val="57"/>
          <c:order val="57"/>
          <c:tx>
            <c:strRef>
              <c:f>RPlot!$EP$60</c:f>
              <c:strCache>
                <c:ptCount val="1"/>
                <c:pt idx="0">
                  <c:v>11y 92d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RPlot!$AT$60:$EO$60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29555.134851107847</c:v>
                </c:pt>
                <c:pt idx="50">
                  <c:v>28713.747135530637</c:v>
                </c:pt>
                <c:pt idx="51">
                  <c:v>27895.205710473394</c:v>
                </c:pt>
                <c:pt idx="52">
                  <c:v>27101.061305658652</c:v>
                </c:pt>
                <c:pt idx="53">
                  <c:v>26333.051795701896</c:v>
                </c:pt>
                <c:pt idx="54">
                  <c:v>25593.141856250004</c:v>
                </c:pt>
                <c:pt idx="55">
                  <c:v>24883.569185445158</c:v>
                </c:pt>
                <c:pt idx="56">
                  <c:v>24206.899071184365</c:v>
                </c:pt>
                <c:pt idx="57">
                  <c:v>23566.089704013357</c:v>
                </c:pt>
                <c:pt idx="58">
                  <c:v>22964.571497720412</c:v>
                </c:pt>
                <c:pt idx="59">
                  <c:v>22406.344926462702</c:v>
                </c:pt>
                <c:pt idx="60">
                  <c:v>21896.103340536582</c:v>
                </c:pt>
                <c:pt idx="61">
                  <c:v>21439.390682646997</c:v>
                </c:pt>
                <c:pt idx="62">
                  <c:v>21042.810989497535</c:v>
                </c:pt>
                <c:pt idx="63">
                  <c:v>20714.321820768037</c:v>
                </c:pt>
                <c:pt idx="64">
                  <c:v>20463.678178391354</c:v>
                </c:pt>
                <c:pt idx="65">
                  <c:v>20303.170457800421</c:v>
                </c:pt>
                <c:pt idx="66">
                  <c:v>20046.373158286235</c:v>
                </c:pt>
                <c:pt idx="67">
                  <c:v>19841.769175243233</c:v>
                </c:pt>
                <c:pt idx="68">
                  <c:v>19697.512362525078</c:v>
                </c:pt>
                <c:pt idx="69">
                  <c:v>19614.832873609452</c:v>
                </c:pt>
                <c:pt idx="70">
                  <c:v>19594.349796415794</c:v>
                </c:pt>
                <c:pt idx="71">
                  <c:v>19636.024925850892</c:v>
                </c:pt>
                <c:pt idx="72">
                  <c:v>19739.153864217486</c:v>
                </c:pt>
                <c:pt idx="73">
                  <c:v>19902.395477072834</c:v>
                </c:pt>
                <c:pt idx="74">
                  <c:v>20123.835782883612</c:v>
                </c:pt>
                <c:pt idx="75">
                  <c:v>20401.078176386334</c:v>
                </c:pt>
                <c:pt idx="76">
                  <c:v>20731.349652236597</c:v>
                </c:pt>
                <c:pt idx="77">
                  <c:v>21111.612134536863</c:v>
                </c:pt>
                <c:pt idx="78">
                  <c:v>21538.669553764299</c:v>
                </c:pt>
                <c:pt idx="79">
                  <c:v>22009.263536560102</c:v>
                </c:pt>
                <c:pt idx="80">
                  <c:v>22520.1536261539</c:v>
                </c:pt>
                <c:pt idx="81">
                  <c:v>23068.180274146805</c:v>
                </c:pt>
                <c:pt idx="82">
                  <c:v>23502.264986920203</c:v>
                </c:pt>
                <c:pt idx="83">
                  <c:v>23936.29255906837</c:v>
                </c:pt>
                <c:pt idx="84">
                  <c:v>24452.523568177534</c:v>
                </c:pt>
                <c:pt idx="85">
                  <c:v>25028.221808623632</c:v>
                </c:pt>
                <c:pt idx="86">
                  <c:v>25649.051824568989</c:v>
                </c:pt>
                <c:pt idx="87">
                  <c:v>26305.440287226986</c:v>
                </c:pt>
                <c:pt idx="88">
                  <c:v>26990.648017071624</c:v>
                </c:pt>
                <c:pt idx="89">
                  <c:v>27699.699759263316</c:v>
                </c:pt>
                <c:pt idx="90">
                  <c:v>28428.764500156372</c:v>
                </c:pt>
                <c:pt idx="91">
                  <c:v>29174.782545772483</c:v>
                </c:pt>
                <c:pt idx="92">
                  <c:v>29935.232909516704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B92-4398-90F9-0635F73C17C7}"/>
            </c:ext>
          </c:extLst>
        </c:ser>
        <c:ser>
          <c:idx val="58"/>
          <c:order val="58"/>
          <c:tx>
            <c:strRef>
              <c:f>RPlot!$EP$61</c:f>
              <c:strCache>
                <c:ptCount val="1"/>
                <c:pt idx="0">
                  <c:v>11y 153d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RPlot!$AT$61:$EO$61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29168.784756018991</c:v>
                </c:pt>
                <c:pt idx="51">
                  <c:v>28336.911055848199</c:v>
                </c:pt>
                <c:pt idx="52">
                  <c:v>27528.620716227524</c:v>
                </c:pt>
                <c:pt idx="53">
                  <c:v>26745.55967381144</c:v>
                </c:pt>
                <c:pt idx="54">
                  <c:v>25989.57961463424</c:v>
                </c:pt>
                <c:pt idx="55">
                  <c:v>25262.780414953788</c:v>
                </c:pt>
                <c:pt idx="56">
                  <c:v>24567.559805717094</c:v>
                </c:pt>
                <c:pt idx="57">
                  <c:v>23906.672236741833</c:v>
                </c:pt>
                <c:pt idx="58">
                  <c:v>23283.299599860897</c:v>
                </c:pt>
                <c:pt idx="59">
                  <c:v>22701.137430155599</c:v>
                </c:pt>
                <c:pt idx="60">
                  <c:v>22164.501636317749</c:v>
                </c:pt>
                <c:pt idx="61">
                  <c:v>21678.463195290769</c:v>
                </c:pt>
                <c:pt idx="62">
                  <c:v>21249.022800627681</c:v>
                </c:pt>
                <c:pt idx="63">
                  <c:v>20883.347189081316</c:v>
                </c:pt>
                <c:pt idx="64">
                  <c:v>20590.11082190524</c:v>
                </c:pt>
                <c:pt idx="65">
                  <c:v>20380.036255373678</c:v>
                </c:pt>
                <c:pt idx="66">
                  <c:v>20182.903525464255</c:v>
                </c:pt>
                <c:pt idx="67">
                  <c:v>19948.125645743738</c:v>
                </c:pt>
                <c:pt idx="68">
                  <c:v>19773.036100548758</c:v>
                </c:pt>
                <c:pt idx="69">
                  <c:v>19659.142501284994</c:v>
                </c:pt>
                <c:pt idx="70">
                  <c:v>19607.37253109823</c:v>
                </c:pt>
                <c:pt idx="71">
                  <c:v>19618.010863015359</c:v>
                </c:pt>
                <c:pt idx="72">
                  <c:v>19690.671375665628</c:v>
                </c:pt>
                <c:pt idx="73">
                  <c:v>19824.308169858894</c:v>
                </c:pt>
                <c:pt idx="74">
                  <c:v>20017.263831985554</c:v>
                </c:pt>
                <c:pt idx="75">
                  <c:v>20267.348657283332</c:v>
                </c:pt>
                <c:pt idx="76">
                  <c:v>20571.941223981241</c:v>
                </c:pt>
                <c:pt idx="77">
                  <c:v>20928.099387444276</c:v>
                </c:pt>
                <c:pt idx="78">
                  <c:v>21332.67128486279</c:v>
                </c:pt>
                <c:pt idx="79">
                  <c:v>21782.397984757972</c:v>
                </c:pt>
                <c:pt idx="80">
                  <c:v>22274.002179373507</c:v>
                </c:pt>
                <c:pt idx="81">
                  <c:v>22804.260044080547</c:v>
                </c:pt>
                <c:pt idx="82">
                  <c:v>23354.01130783488</c:v>
                </c:pt>
                <c:pt idx="83">
                  <c:v>23730.661748424129</c:v>
                </c:pt>
                <c:pt idx="84">
                  <c:v>24207.539221281662</c:v>
                </c:pt>
                <c:pt idx="85">
                  <c:v>24754.610330442934</c:v>
                </c:pt>
                <c:pt idx="86">
                  <c:v>25353.580429662812</c:v>
                </c:pt>
                <c:pt idx="87">
                  <c:v>25992.613032032281</c:v>
                </c:pt>
                <c:pt idx="88">
                  <c:v>26663.612465358048</c:v>
                </c:pt>
                <c:pt idx="89">
                  <c:v>27360.754277014941</c:v>
                </c:pt>
                <c:pt idx="90">
                  <c:v>28079.654146342251</c:v>
                </c:pt>
                <c:pt idx="91">
                  <c:v>28816.87840371691</c:v>
                </c:pt>
                <c:pt idx="92">
                  <c:v>29569.644737590384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B92-4398-90F9-0635F73C17C7}"/>
            </c:ext>
          </c:extLst>
        </c:ser>
        <c:ser>
          <c:idx val="59"/>
          <c:order val="59"/>
          <c:tx>
            <c:strRef>
              <c:f>RPlot!$EP$62</c:f>
              <c:strCache>
                <c:ptCount val="1"/>
                <c:pt idx="0">
                  <c:v>11y 214d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RPlot!$AT$62:$EO$62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29629.954736942684</c:v>
                </c:pt>
                <c:pt idx="51">
                  <c:v>28785.163564094666</c:v>
                </c:pt>
                <c:pt idx="52">
                  <c:v>27963.173949371059</c:v>
                </c:pt>
                <c:pt idx="53">
                  <c:v>27165.549084627568</c:v>
                </c:pt>
                <c:pt idx="54">
                  <c:v>26394.038447793515</c:v>
                </c:pt>
                <c:pt idx="55">
                  <c:v>25650.616934752972</c:v>
                </c:pt>
                <c:pt idx="56">
                  <c:v>24937.530282175863</c:v>
                </c:pt>
                <c:pt idx="57">
                  <c:v>24257.348415717013</c:v>
                </c:pt>
                <c:pt idx="58">
                  <c:v>23613.028904759143</c:v>
                </c:pt>
                <c:pt idx="59">
                  <c:v>23007.993457192773</c:v>
                </c:pt>
                <c:pt idx="60">
                  <c:v>22446.221466514857</c:v>
                </c:pt>
                <c:pt idx="61">
                  <c:v>21932.36631481252</c:v>
                </c:pt>
                <c:pt idx="62">
                  <c:v>21471.903172144725</c:v>
                </c:pt>
                <c:pt idx="63">
                  <c:v>21071.323275715382</c:v>
                </c:pt>
                <c:pt idx="64">
                  <c:v>20738.403612708651</c:v>
                </c:pt>
                <c:pt idx="65">
                  <c:v>20482.612745779501</c:v>
                </c:pt>
                <c:pt idx="66">
                  <c:v>20315.784959134107</c:v>
                </c:pt>
                <c:pt idx="67">
                  <c:v>20068.655428304504</c:v>
                </c:pt>
                <c:pt idx="68">
                  <c:v>19862.98228259174</c:v>
                </c:pt>
                <c:pt idx="69">
                  <c:v>19717.98061183557</c:v>
                </c:pt>
                <c:pt idx="70">
                  <c:v>19634.875088894081</c:v>
                </c:pt>
                <c:pt idx="71">
                  <c:v>19614.270429440141</c:v>
                </c:pt>
                <c:pt idx="72">
                  <c:v>19656.105289780171</c:v>
                </c:pt>
                <c:pt idx="73">
                  <c:v>19759.644168848467</c:v>
                </c:pt>
                <c:pt idx="74">
                  <c:v>19923.508275491818</c:v>
                </c:pt>
                <c:pt idx="75">
                  <c:v>20145.741225216367</c:v>
                </c:pt>
                <c:pt idx="76">
                  <c:v>20423.901282622137</c:v>
                </c:pt>
                <c:pt idx="77">
                  <c:v>20755.169487472565</c:v>
                </c:pt>
                <c:pt idx="78">
                  <c:v>21136.462718611281</c:v>
                </c:pt>
                <c:pt idx="79">
                  <c:v>21564.542037765728</c:v>
                </c:pt>
                <c:pt idx="80">
                  <c:v>22036.109381529033</c:v>
                </c:pt>
                <c:pt idx="81">
                  <c:v>22547.888295706038</c:v>
                </c:pt>
                <c:pt idx="82">
                  <c:v>23096.687177099764</c:v>
                </c:pt>
                <c:pt idx="83">
                  <c:v>23550.27471633815</c:v>
                </c:pt>
                <c:pt idx="84">
                  <c:v>23979.914792084201</c:v>
                </c:pt>
                <c:pt idx="85">
                  <c:v>24493.692026092074</c:v>
                </c:pt>
                <c:pt idx="86">
                  <c:v>25067.883763407735</c:v>
                </c:pt>
                <c:pt idx="87">
                  <c:v>25687.641702571535</c:v>
                </c:pt>
                <c:pt idx="88">
                  <c:v>26343.112821972303</c:v>
                </c:pt>
                <c:pt idx="89">
                  <c:v>27027.399075738063</c:v>
                </c:pt>
                <c:pt idx="90">
                  <c:v>27735.431986537238</c:v>
                </c:pt>
                <c:pt idx="91">
                  <c:v>28463.324651579238</c:v>
                </c:pt>
                <c:pt idx="92">
                  <c:v>29207.983674610441</c:v>
                </c:pt>
                <c:pt idx="93">
                  <c:v>29966.86818466202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B92-4398-90F9-0635F73C17C7}"/>
            </c:ext>
          </c:extLst>
        </c:ser>
        <c:ser>
          <c:idx val="60"/>
          <c:order val="60"/>
          <c:tx>
            <c:strRef>
              <c:f>RPlot!$EP$63</c:f>
              <c:strCache>
                <c:ptCount val="1"/>
                <c:pt idx="0">
                  <c:v>11y 275d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RPlot!$AT$63:$EO$63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29239.69226549461</c:v>
                </c:pt>
                <c:pt idx="52">
                  <c:v>28404.438093902529</c:v>
                </c:pt>
                <c:pt idx="53">
                  <c:v>27592.721073517198</c:v>
                </c:pt>
                <c:pt idx="54">
                  <c:v>26806.198478866503</c:v>
                </c:pt>
                <c:pt idx="55">
                  <c:v>26046.73203916019</c:v>
                </c:pt>
                <c:pt idx="56">
                  <c:v>25316.42966857164</c:v>
                </c:pt>
                <c:pt idx="57">
                  <c:v>24617.694065681615</c:v>
                </c:pt>
                <c:pt idx="58">
                  <c:v>23953.279979440347</c:v>
                </c:pt>
                <c:pt idx="59">
                  <c:v>23326.362536496781</c:v>
                </c:pt>
                <c:pt idx="60">
                  <c:v>22740.619856503225</c:v>
                </c:pt>
                <c:pt idx="61">
                  <c:v>22200.33441890189</c:v>
                </c:pt>
                <c:pt idx="62">
                  <c:v>21710.519722982463</c:v>
                </c:pt>
                <c:pt idx="63">
                  <c:v>21277.082832747215</c:v>
                </c:pt>
                <c:pt idx="64">
                  <c:v>20907.042240242532</c:v>
                </c:pt>
                <c:pt idx="65">
                  <c:v>20608.84071966698</c:v>
                </c:pt>
                <c:pt idx="66">
                  <c:v>20392.83895917195</c:v>
                </c:pt>
                <c:pt idx="67">
                  <c:v>20203.200599678403</c:v>
                </c:pt>
                <c:pt idx="68">
                  <c:v>19967.262693569493</c:v>
                </c:pt>
                <c:pt idx="69">
                  <c:v>19791.33643882371</c:v>
                </c:pt>
                <c:pt idx="70">
                  <c:v>19676.928011511056</c:v>
                </c:pt>
                <c:pt idx="71">
                  <c:v>19624.954805632533</c:v>
                </c:pt>
                <c:pt idx="72">
                  <c:v>19635.682170495325</c:v>
                </c:pt>
                <c:pt idx="73">
                  <c:v>19708.696125607457</c:v>
                </c:pt>
                <c:pt idx="74">
                  <c:v>19842.915554512121</c:v>
                </c:pt>
                <c:pt idx="75">
                  <c:v>20036.642153561239</c:v>
                </c:pt>
                <c:pt idx="76">
                  <c:v>20287.641633757688</c:v>
                </c:pt>
                <c:pt idx="77">
                  <c:v>20593.246325408742</c:v>
                </c:pt>
                <c:pt idx="78">
                  <c:v>20950.468030514887</c:v>
                </c:pt>
                <c:pt idx="79">
                  <c:v>21356.110525415494</c:v>
                </c:pt>
                <c:pt idx="80">
                  <c:v>21806.873374173818</c:v>
                </c:pt>
                <c:pt idx="81">
                  <c:v>22299.441334918327</c:v>
                </c:pt>
                <c:pt idx="82">
                  <c:v>22830.556588976244</c:v>
                </c:pt>
                <c:pt idx="83">
                  <c:v>23397.073345076384</c:v>
                </c:pt>
                <c:pt idx="84">
                  <c:v>23772.854977579147</c:v>
                </c:pt>
                <c:pt idx="85">
                  <c:v>24247.343502966884</c:v>
                </c:pt>
                <c:pt idx="86">
                  <c:v>24793.122270999051</c:v>
                </c:pt>
                <c:pt idx="87">
                  <c:v>25391.280820847394</c:v>
                </c:pt>
                <c:pt idx="88">
                  <c:v>26029.662559553013</c:v>
                </c:pt>
                <c:pt idx="89">
                  <c:v>26699.998027164074</c:v>
                </c:pt>
                <c:pt idx="90">
                  <c:v>27396.365060877579</c:v>
                </c:pt>
                <c:pt idx="91">
                  <c:v>28114.323105190932</c:v>
                </c:pt>
                <c:pt idx="92">
                  <c:v>28850.405934161219</c:v>
                </c:pt>
                <c:pt idx="93">
                  <c:v>29601.81287650394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B92-4398-90F9-0635F73C17C7}"/>
            </c:ext>
          </c:extLst>
        </c:ser>
        <c:ser>
          <c:idx val="61"/>
          <c:order val="61"/>
          <c:tx>
            <c:strRef>
              <c:f>RPlot!$EP$64</c:f>
              <c:strCache>
                <c:ptCount val="1"/>
                <c:pt idx="0">
                  <c:v>11y 336d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RPlot!$AT$64:$EO$64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29700.234798439287</c:v>
                </c:pt>
                <c:pt idx="52">
                  <c:v>28852.1398835408</c:v>
                </c:pt>
                <c:pt idx="53">
                  <c:v>28026.787595746868</c:v>
                </c:pt>
                <c:pt idx="54">
                  <c:v>27225.752312472796</c:v>
                </c:pt>
                <c:pt idx="55">
                  <c:v>26450.793501698841</c:v>
                </c:pt>
                <c:pt idx="56">
                  <c:v>25703.894218164063</c:v>
                </c:pt>
                <c:pt idx="57">
                  <c:v>24987.305589537311</c:v>
                </c:pt>
                <c:pt idx="58">
                  <c:v>24303.598778881045</c:v>
                </c:pt>
                <c:pt idx="59">
                  <c:v>23655.726388572381</c:v>
                </c:pt>
                <c:pt idx="60">
                  <c:v>23047.095923530615</c:v>
                </c:pt>
                <c:pt idx="61">
                  <c:v>22481.658862455333</c:v>
                </c:pt>
                <c:pt idx="62">
                  <c:v>21964.02035181332</c:v>
                </c:pt>
                <c:pt idx="63">
                  <c:v>21499.577215061956</c:v>
                </c:pt>
                <c:pt idx="64">
                  <c:v>21094.697598933293</c:v>
                </c:pt>
                <c:pt idx="65">
                  <c:v>20756.968379144302</c:v>
                </c:pt>
                <c:pt idx="66">
                  <c:v>20495.56596715223</c:v>
                </c:pt>
                <c:pt idx="67">
                  <c:v>20321.872675658225</c:v>
                </c:pt>
                <c:pt idx="68">
                  <c:v>20085.74914372278</c:v>
                </c:pt>
                <c:pt idx="69">
                  <c:v>19879.15570500282</c:v>
                </c:pt>
                <c:pt idx="70">
                  <c:v>19733.556909995157</c:v>
                </c:pt>
                <c:pt idx="71">
                  <c:v>19650.171176179749</c:v>
                </c:pt>
                <c:pt idx="72">
                  <c:v>19629.587796955508</c:v>
                </c:pt>
                <c:pt idx="73">
                  <c:v>19671.721028774838</c:v>
                </c:pt>
                <c:pt idx="74">
                  <c:v>19775.8029010551</c:v>
                </c:pt>
                <c:pt idx="75">
                  <c:v>19940.415592420715</c:v>
                </c:pt>
                <c:pt idx="76">
                  <c:v>20163.559042989273</c:v>
                </c:pt>
                <c:pt idx="77">
                  <c:v>20442.745266993414</c:v>
                </c:pt>
                <c:pt idx="78">
                  <c:v>20775.108491104285</c:v>
                </c:pt>
                <c:pt idx="79">
                  <c:v>21157.519882320536</c:v>
                </c:pt>
                <c:pt idx="80">
                  <c:v>21586.697282999728</c:v>
                </c:pt>
                <c:pt idx="81">
                  <c:v>22059.302779919679</c:v>
                </c:pt>
                <c:pt idx="82">
                  <c:v>22572.02397152374</c:v>
                </c:pt>
                <c:pt idx="83">
                  <c:v>23121.637413650213</c:v>
                </c:pt>
                <c:pt idx="84">
                  <c:v>23590.57651770805</c:v>
                </c:pt>
                <c:pt idx="85">
                  <c:v>24017.948796867986</c:v>
                </c:pt>
                <c:pt idx="86">
                  <c:v>24530.723950449126</c:v>
                </c:pt>
                <c:pt idx="87">
                  <c:v>25104.432665822736</c:v>
                </c:pt>
                <c:pt idx="88">
                  <c:v>25723.860398328492</c:v>
                </c:pt>
                <c:pt idx="89">
                  <c:v>26378.966310624612</c:v>
                </c:pt>
                <c:pt idx="90">
                  <c:v>27062.752597048311</c:v>
                </c:pt>
                <c:pt idx="91">
                  <c:v>27770.096612218447</c:v>
                </c:pt>
                <c:pt idx="92">
                  <c:v>28497.082026209402</c:v>
                </c:pt>
                <c:pt idx="93">
                  <c:v>29240.600134740765</c:v>
                </c:pt>
                <c:pt idx="94">
                  <c:v>29998.103274326735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B92-4398-90F9-0635F73C17C7}"/>
            </c:ext>
          </c:extLst>
        </c:ser>
        <c:ser>
          <c:idx val="62"/>
          <c:order val="62"/>
          <c:tx>
            <c:strRef>
              <c:f>RPlot!$EP$65</c:f>
              <c:strCache>
                <c:ptCount val="1"/>
                <c:pt idx="0">
                  <c:v>12y 32d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RPlot!$AT$65:$EO$65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29306.015496994623</c:v>
                </c:pt>
                <c:pt idx="53">
                  <c:v>28467.471296997886</c:v>
                </c:pt>
                <c:pt idx="54">
                  <c:v>27652.404769962046</c:v>
                </c:pt>
                <c:pt idx="55">
                  <c:v>26862.483219238071</c:v>
                </c:pt>
                <c:pt idx="56">
                  <c:v>26099.576743928308</c:v>
                </c:pt>
                <c:pt idx="57">
                  <c:v>25365.799141076619</c:v>
                </c:pt>
                <c:pt idx="58">
                  <c:v>24663.555296022882</c:v>
                </c:pt>
                <c:pt idx="59">
                  <c:v>23995.596679316983</c:v>
                </c:pt>
                <c:pt idx="60">
                  <c:v>23365.087087159562</c:v>
                </c:pt>
                <c:pt idx="61">
                  <c:v>22775.68147941932</c:v>
                </c:pt>
                <c:pt idx="62">
                  <c:v>22231.621836913808</c:v>
                </c:pt>
                <c:pt idx="63">
                  <c:v>21737.855777065262</c:v>
                </c:pt>
                <c:pt idx="64">
                  <c:v>21300.187288804933</c:v>
                </c:pt>
                <c:pt idx="65">
                  <c:v>20925.477022493171</c:v>
                </c:pt>
                <c:pt idx="66">
                  <c:v>20621.928306715185</c:v>
                </c:pt>
                <c:pt idx="67">
                  <c:v>20399.538021509798</c:v>
                </c:pt>
                <c:pt idx="68">
                  <c:v>20218.276522606524</c:v>
                </c:pt>
                <c:pt idx="69">
                  <c:v>19981.342746526712</c:v>
                </c:pt>
                <c:pt idx="70">
                  <c:v>19804.743448017627</c:v>
                </c:pt>
                <c:pt idx="71">
                  <c:v>19689.982487111898</c:v>
                </c:pt>
                <c:pt idx="72">
                  <c:v>19637.965777668585</c:v>
                </c:pt>
                <c:pt idx="73">
                  <c:v>19648.937895702409</c:v>
                </c:pt>
                <c:pt idx="74">
                  <c:v>19722.455415745237</c:v>
                </c:pt>
                <c:pt idx="75">
                  <c:v>19857.400390090912</c:v>
                </c:pt>
                <c:pt idx="76">
                  <c:v>20052.03209921443</c:v>
                </c:pt>
                <c:pt idx="77">
                  <c:v>20304.070331029543</c:v>
                </c:pt>
                <c:pt idx="78">
                  <c:v>20610.80008163807</c:v>
                </c:pt>
                <c:pt idx="79">
                  <c:v>20969.186288155513</c:v>
                </c:pt>
                <c:pt idx="80">
                  <c:v>21375.987882872025</c:v>
                </c:pt>
                <c:pt idx="81">
                  <c:v>21827.862703253981</c:v>
                </c:pt>
                <c:pt idx="82">
                  <c:v>22321.45759548587</c:v>
                </c:pt>
                <c:pt idx="83">
                  <c:v>22853.480974835744</c:v>
                </c:pt>
                <c:pt idx="84">
                  <c:v>23420.757485795828</c:v>
                </c:pt>
                <c:pt idx="85">
                  <c:v>23808.588686718322</c:v>
                </c:pt>
                <c:pt idx="86">
                  <c:v>24282.472559064609</c:v>
                </c:pt>
                <c:pt idx="87">
                  <c:v>24828.190278467384</c:v>
                </c:pt>
                <c:pt idx="88">
                  <c:v>25426.412135151681</c:v>
                </c:pt>
                <c:pt idx="89">
                  <c:v>26064.781908329278</c:v>
                </c:pt>
                <c:pt idx="90">
                  <c:v>26734.932278025492</c:v>
                </c:pt>
                <c:pt idx="91">
                  <c:v>27430.892588688064</c:v>
                </c:pt>
                <c:pt idx="92">
                  <c:v>28148.198823571602</c:v>
                </c:pt>
                <c:pt idx="93">
                  <c:v>28883.374613557393</c:v>
                </c:pt>
                <c:pt idx="94">
                  <c:v>29633.61664413007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B92-4398-90F9-0635F73C17C7}"/>
            </c:ext>
          </c:extLst>
        </c:ser>
        <c:ser>
          <c:idx val="63"/>
          <c:order val="63"/>
          <c:tx>
            <c:strRef>
              <c:f>RPlot!$EP$66</c:f>
              <c:strCache>
                <c:ptCount val="1"/>
                <c:pt idx="0">
                  <c:v>12y 93d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RPlot!$AT$66:$EO$66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29765.810303833226</c:v>
                </c:pt>
                <c:pt idx="53">
                  <c:v>28914.505234450047</c:v>
                </c:pt>
                <c:pt idx="54">
                  <c:v>28085.872564319699</c:v>
                </c:pt>
                <c:pt idx="55">
                  <c:v>27281.496803348608</c:v>
                </c:pt>
                <c:pt idx="56">
                  <c:v>26503.146063381988</c:v>
                </c:pt>
                <c:pt idx="57">
                  <c:v>25752.809819268849</c:v>
                </c:pt>
                <c:pt idx="58">
                  <c:v>25032.742334905583</c:v>
                </c:pt>
                <c:pt idx="59">
                  <c:v>24345.513090575951</c:v>
                </c:pt>
                <c:pt idx="60">
                  <c:v>23694.065962987792</c:v>
                </c:pt>
                <c:pt idx="61">
                  <c:v>23081.789471402662</c:v>
                </c:pt>
                <c:pt idx="62">
                  <c:v>22512.60120371628</c:v>
                </c:pt>
                <c:pt idx="63">
                  <c:v>21991.05080878763</c:v>
                </c:pt>
                <c:pt idx="64">
                  <c:v>21522.448314526246</c:v>
                </c:pt>
                <c:pt idx="65">
                  <c:v>21113.02963724278</c:v>
                </c:pt>
                <c:pt idx="66">
                  <c:v>20770.182956223143</c:v>
                </c:pt>
                <c:pt idx="67">
                  <c:v>20502.787104992341</c:v>
                </c:pt>
                <c:pt idx="68">
                  <c:v>20321.775222026241</c:v>
                </c:pt>
                <c:pt idx="69">
                  <c:v>20097.763101738648</c:v>
                </c:pt>
                <c:pt idx="70">
                  <c:v>19890.426886030422</c:v>
                </c:pt>
                <c:pt idx="71">
                  <c:v>19744.407796804935</c:v>
                </c:pt>
                <c:pt idx="72">
                  <c:v>19660.916705038686</c:v>
                </c:pt>
                <c:pt idx="73">
                  <c:v>19640.525883382979</c:v>
                </c:pt>
                <c:pt idx="74">
                  <c:v>19683.123408667536</c:v>
                </c:pt>
                <c:pt idx="75">
                  <c:v>19787.906999070587</c:v>
                </c:pt>
                <c:pt idx="76">
                  <c:v>19953.418029030796</c:v>
                </c:pt>
                <c:pt idx="77">
                  <c:v>20177.611173088026</c:v>
                </c:pt>
                <c:pt idx="78">
                  <c:v>20457.950882637233</c:v>
                </c:pt>
                <c:pt idx="79">
                  <c:v>20791.523556062988</c:v>
                </c:pt>
                <c:pt idx="80">
                  <c:v>21175.15401724531</c:v>
                </c:pt>
                <c:pt idx="81">
                  <c:v>21605.516554759299</c:v>
                </c:pt>
                <c:pt idx="82">
                  <c:v>22079.23337303663</c:v>
                </c:pt>
                <c:pt idx="83">
                  <c:v>22592.956337502928</c:v>
                </c:pt>
                <c:pt idx="84">
                  <c:v>23143.430577859348</c:v>
                </c:pt>
                <c:pt idx="85">
                  <c:v>23623.31809753272</c:v>
                </c:pt>
                <c:pt idx="86">
                  <c:v>24050.632462235313</c:v>
                </c:pt>
                <c:pt idx="87">
                  <c:v>24563.896482724002</c:v>
                </c:pt>
                <c:pt idx="88">
                  <c:v>25138.15977486223</c:v>
                </c:pt>
                <c:pt idx="89">
                  <c:v>25758.000553598347</c:v>
                </c:pt>
                <c:pt idx="90">
                  <c:v>26413.288195950139</c:v>
                </c:pt>
                <c:pt idx="91">
                  <c:v>27096.987403882915</c:v>
                </c:pt>
                <c:pt idx="92">
                  <c:v>27803.962068443994</c:v>
                </c:pt>
                <c:pt idx="93">
                  <c:v>28530.293797018738</c:v>
                </c:pt>
                <c:pt idx="94">
                  <c:v>29272.877467409166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B92-4398-90F9-0635F73C17C7}"/>
            </c:ext>
          </c:extLst>
        </c:ser>
        <c:ser>
          <c:idx val="64"/>
          <c:order val="64"/>
          <c:tx>
            <c:strRef>
              <c:f>RPlot!$EP$67</c:f>
              <c:strCache>
                <c:ptCount val="1"/>
                <c:pt idx="0">
                  <c:v>12y 153d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RPlot!$AT$67:$EO$67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29367.632549099271</c:v>
                </c:pt>
                <c:pt idx="54">
                  <c:v>28525.883924943348</c:v>
                </c:pt>
                <c:pt idx="55">
                  <c:v>27707.543126556819</c:v>
                </c:pt>
                <c:pt idx="56">
                  <c:v>26914.286415049632</c:v>
                </c:pt>
                <c:pt idx="57">
                  <c:v>26147.990871683814</c:v>
                </c:pt>
                <c:pt idx="58">
                  <c:v>25410.774367043316</c:v>
                </c:pt>
                <c:pt idx="59">
                  <c:v>24705.04161319201</c:v>
                </c:pt>
                <c:pt idx="60">
                  <c:v>24033.537737871746</c:v>
                </c:pt>
                <c:pt idx="61">
                  <c:v>23399.411265119481</c:v>
                </c:pt>
                <c:pt idx="62">
                  <c:v>22806.289000873872</c:v>
                </c:pt>
                <c:pt idx="63">
                  <c:v>22258.366242315671</c:v>
                </c:pt>
                <c:pt idx="64">
                  <c:v>21760.517325056098</c:v>
                </c:pt>
                <c:pt idx="65">
                  <c:v>21318.434780681615</c:v>
                </c:pt>
                <c:pt idx="66">
                  <c:v>20938.812790365249</c:v>
                </c:pt>
                <c:pt idx="67">
                  <c:v>20629.608027854876</c:v>
                </c:pt>
                <c:pt idx="68">
                  <c:v>20400.451099593294</c:v>
                </c:pt>
                <c:pt idx="69">
                  <c:v>20228.246551814045</c:v>
                </c:pt>
                <c:pt idx="70">
                  <c:v>19990.506205577753</c:v>
                </c:pt>
                <c:pt idx="71">
                  <c:v>19813.423266150508</c:v>
                </c:pt>
                <c:pt idx="72">
                  <c:v>19698.497931813465</c:v>
                </c:pt>
                <c:pt idx="73">
                  <c:v>19646.622928864585</c:v>
                </c:pt>
                <c:pt idx="74">
                  <c:v>19658.020123118211</c:v>
                </c:pt>
                <c:pt idx="75">
                  <c:v>19732.214596561211</c:v>
                </c:pt>
                <c:pt idx="76">
                  <c:v>19868.049556904312</c:v>
                </c:pt>
                <c:pt idx="77">
                  <c:v>20063.740023590562</c:v>
                </c:pt>
                <c:pt idx="78">
                  <c:v>20316.958292431034</c:v>
                </c:pt>
                <c:pt idx="79">
                  <c:v>20624.940803531186</c:v>
                </c:pt>
                <c:pt idx="80">
                  <c:v>20984.604791000267</c:v>
                </c:pt>
                <c:pt idx="81">
                  <c:v>21392.663874623169</c:v>
                </c:pt>
                <c:pt idx="82">
                  <c:v>21845.734042286243</c:v>
                </c:pt>
                <c:pt idx="83">
                  <c:v>22340.424399302046</c:v>
                </c:pt>
                <c:pt idx="84">
                  <c:v>22873.410007498762</c:v>
                </c:pt>
                <c:pt idx="85">
                  <c:v>23441.486511628209</c:v>
                </c:pt>
                <c:pt idx="86">
                  <c:v>23838.128521274193</c:v>
                </c:pt>
                <c:pt idx="87">
                  <c:v>24313.226152312542</c:v>
                </c:pt>
                <c:pt idx="88">
                  <c:v>24860.120941840469</c:v>
                </c:pt>
                <c:pt idx="89">
                  <c:v>25459.275407169345</c:v>
                </c:pt>
                <c:pt idx="90">
                  <c:v>26098.26105553388</c:v>
                </c:pt>
                <c:pt idx="91">
                  <c:v>26768.691868567599</c:v>
                </c:pt>
                <c:pt idx="92">
                  <c:v>27464.599436244247</c:v>
                </c:pt>
                <c:pt idx="93">
                  <c:v>28181.529778538057</c:v>
                </c:pt>
                <c:pt idx="94">
                  <c:v>28916.019127939489</c:v>
                </c:pt>
                <c:pt idx="95">
                  <c:v>29665.277390467421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B92-4398-90F9-0635F73C17C7}"/>
            </c:ext>
          </c:extLst>
        </c:ser>
        <c:ser>
          <c:idx val="65"/>
          <c:order val="65"/>
          <c:tx>
            <c:strRef>
              <c:f>RPlot!$EP$68</c:f>
              <c:strCache>
                <c:ptCount val="1"/>
                <c:pt idx="0">
                  <c:v>12y 214d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RPlot!$AT$68:$EO$68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29826.60609881764</c:v>
                </c:pt>
                <c:pt idx="54">
                  <c:v>28972.178181717089</c:v>
                </c:pt>
                <c:pt idx="55">
                  <c:v>28140.343831373859</c:v>
                </c:pt>
                <c:pt idx="56">
                  <c:v>27332.696850082837</c:v>
                </c:pt>
                <c:pt idx="57">
                  <c:v>26551.012901053546</c:v>
                </c:pt>
                <c:pt idx="58">
                  <c:v>25797.286445884369</c:v>
                </c:pt>
                <c:pt idx="59">
                  <c:v>25073.773000106936</c:v>
                </c:pt>
                <c:pt idx="60">
                  <c:v>24383.037891161257</c:v>
                </c:pt>
                <c:pt idx="61">
                  <c:v>23728.013057944514</c:v>
                </c:pt>
                <c:pt idx="62">
                  <c:v>23112.063910032342</c:v>
                </c:pt>
                <c:pt idx="63">
                  <c:v>22539.068949556058</c:v>
                </c:pt>
                <c:pt idx="64">
                  <c:v>22013.515964562408</c:v>
                </c:pt>
                <c:pt idx="65">
                  <c:v>21540.620717440379</c:v>
                </c:pt>
                <c:pt idx="66">
                  <c:v>21126.478710371543</c:v>
                </c:pt>
                <c:pt idx="67">
                  <c:v>20778.271548703819</c:v>
                </c:pt>
                <c:pt idx="68">
                  <c:v>20504.575066249534</c:v>
                </c:pt>
                <c:pt idx="69">
                  <c:v>20315.874442881795</c:v>
                </c:pt>
                <c:pt idx="70">
                  <c:v>20104.842666891385</c:v>
                </c:pt>
                <c:pt idx="71">
                  <c:v>19896.963690610559</c:v>
                </c:pt>
                <c:pt idx="72">
                  <c:v>19750.723923036541</c:v>
                </c:pt>
                <c:pt idx="73">
                  <c:v>19667.324918489139</c:v>
                </c:pt>
                <c:pt idx="74">
                  <c:v>19647.31987388742</c:v>
                </c:pt>
                <c:pt idx="75">
                  <c:v>19690.56846450637</c:v>
                </c:pt>
                <c:pt idx="76">
                  <c:v>19796.231862852179</c:v>
                </c:pt>
                <c:pt idx="77">
                  <c:v>19962.808542786555</c:v>
                </c:pt>
                <c:pt idx="78">
                  <c:v>20188.206084238547</c:v>
                </c:pt>
                <c:pt idx="79">
                  <c:v>20469.839900390496</c:v>
                </c:pt>
                <c:pt idx="80">
                  <c:v>20804.747520411795</c:v>
                </c:pt>
                <c:pt idx="81">
                  <c:v>21189.70677222166</c:v>
                </c:pt>
                <c:pt idx="82">
                  <c:v>21621.34814457209</c:v>
                </c:pt>
                <c:pt idx="83">
                  <c:v>22096.254057288108</c:v>
                </c:pt>
                <c:pt idx="84">
                  <c:v>22611.041026611616</c:v>
                </c:pt>
                <c:pt idx="85">
                  <c:v>23162.423333683637</c:v>
                </c:pt>
                <c:pt idx="86">
                  <c:v>23648.81038610109</c:v>
                </c:pt>
                <c:pt idx="87">
                  <c:v>24078.302824275634</c:v>
                </c:pt>
                <c:pt idx="88">
                  <c:v>24593.542991468581</c:v>
                </c:pt>
                <c:pt idx="89">
                  <c:v>25169.383298385372</c:v>
                </c:pt>
                <c:pt idx="90">
                  <c:v>25790.361417392349</c:v>
                </c:pt>
                <c:pt idx="91">
                  <c:v>26446.358175950219</c:v>
                </c:pt>
                <c:pt idx="92">
                  <c:v>27130.364314157119</c:v>
                </c:pt>
                <c:pt idx="93">
                  <c:v>27837.271402629267</c:v>
                </c:pt>
                <c:pt idx="94">
                  <c:v>28563.186436055021</c:v>
                </c:pt>
                <c:pt idx="95">
                  <c:v>29305.026714349297</c:v>
                </c:pt>
                <c:pt idx="96">
                  <c:v>30000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B92-4398-90F9-0635F73C17C7}"/>
            </c:ext>
          </c:extLst>
        </c:ser>
        <c:ser>
          <c:idx val="66"/>
          <c:order val="66"/>
          <c:tx>
            <c:strRef>
              <c:f>RPlot!$EP$69</c:f>
              <c:strCache>
                <c:ptCount val="1"/>
                <c:pt idx="0">
                  <c:v>12y 275d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RPlot!$AT$69:$EO$69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29424.505316936284</c:v>
                </c:pt>
                <c:pt idx="55">
                  <c:v>28579.632809700284</c:v>
                </c:pt>
                <c:pt idx="56">
                  <c:v>27758.090603678531</c:v>
                </c:pt>
                <c:pt idx="57">
                  <c:v>26961.5630729597</c:v>
                </c:pt>
                <c:pt idx="58">
                  <c:v>26191.933163967689</c:v>
                </c:pt>
                <c:pt idx="59">
                  <c:v>25451.321338208945</c:v>
                </c:pt>
                <c:pt idx="60">
                  <c:v>24742.130170612887</c:v>
                </c:pt>
                <c:pt idx="61">
                  <c:v>24067.095862336173</c:v>
                </c:pt>
                <c:pt idx="62">
                  <c:v>23429.348303764506</c:v>
                </c:pt>
                <c:pt idx="63">
                  <c:v>22832.481844583272</c:v>
                </c:pt>
                <c:pt idx="64">
                  <c:v>22280.639718899169</c:v>
                </c:pt>
                <c:pt idx="65">
                  <c:v>21778.61647918012</c:v>
                </c:pt>
                <c:pt idx="66">
                  <c:v>21331.985741924676</c:v>
                </c:pt>
                <c:pt idx="67">
                  <c:v>20947.267387040956</c:v>
                </c:pt>
                <c:pt idx="68">
                  <c:v>20632.164574450449</c:v>
                </c:pt>
                <c:pt idx="69">
                  <c:v>20395.938474633964</c:v>
                </c:pt>
                <c:pt idx="70">
                  <c:v>20233.262857421785</c:v>
                </c:pt>
                <c:pt idx="71">
                  <c:v>19994.924641578105</c:v>
                </c:pt>
                <c:pt idx="72">
                  <c:v>19817.567272308355</c:v>
                </c:pt>
                <c:pt idx="73">
                  <c:v>19702.685498726551</c:v>
                </c:pt>
                <c:pt idx="74">
                  <c:v>19651.156730424289</c:v>
                </c:pt>
                <c:pt idx="75">
                  <c:v>19663.177764599914</c:v>
                </c:pt>
                <c:pt idx="76">
                  <c:v>19738.239762289213</c:v>
                </c:pt>
                <c:pt idx="77">
                  <c:v>19875.144752354277</c:v>
                </c:pt>
                <c:pt idx="78">
                  <c:v>20072.061402583073</c:v>
                </c:pt>
                <c:pt idx="79">
                  <c:v>20326.612785528363</c:v>
                </c:pt>
                <c:pt idx="80">
                  <c:v>20635.985484826557</c:v>
                </c:pt>
                <c:pt idx="81">
                  <c:v>20997.048189086901</c:v>
                </c:pt>
                <c:pt idx="82">
                  <c:v>21406.468800738341</c:v>
                </c:pt>
                <c:pt idx="83">
                  <c:v>21860.821449175965</c:v>
                </c:pt>
                <c:pt idx="84">
                  <c:v>22356.677825152423</c:v>
                </c:pt>
                <c:pt idx="85">
                  <c:v>22890.680203413845</c:v>
                </c:pt>
                <c:pt idx="86">
                  <c:v>23459.596048069587</c:v>
                </c:pt>
                <c:pt idx="87">
                  <c:v>23861.867058301345</c:v>
                </c:pt>
                <c:pt idx="88">
                  <c:v>24339.978498207071</c:v>
                </c:pt>
                <c:pt idx="89">
                  <c:v>24889.260217898103</c:v>
                </c:pt>
                <c:pt idx="90">
                  <c:v>25490.187104901983</c:v>
                </c:pt>
                <c:pt idx="91">
                  <c:v>26130.388779690984</c:v>
                </c:pt>
                <c:pt idx="92">
                  <c:v>26801.540507724087</c:v>
                </c:pt>
                <c:pt idx="93">
                  <c:v>27497.726864103293</c:v>
                </c:pt>
                <c:pt idx="94">
                  <c:v>28214.537130900255</c:v>
                </c:pt>
                <c:pt idx="95">
                  <c:v>28948.542560710346</c:v>
                </c:pt>
                <c:pt idx="96">
                  <c:v>29696.981835723793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B92-4398-90F9-0635F73C17C7}"/>
            </c:ext>
          </c:extLst>
        </c:ser>
        <c:ser>
          <c:idx val="67"/>
          <c:order val="67"/>
          <c:tx>
            <c:strRef>
              <c:f>RPlot!$EP$70</c:f>
              <c:strCache>
                <c:ptCount val="1"/>
                <c:pt idx="0">
                  <c:v>12y 336d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RPlot!$AT$70:$EO$70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29882.625492677311</c:v>
                </c:pt>
                <c:pt idx="55">
                  <c:v>29025.155659665583</c:v>
                </c:pt>
                <c:pt idx="56">
                  <c:v>28190.19445134803</c:v>
                </c:pt>
                <c:pt idx="57">
                  <c:v>27379.34432502804</c:v>
                </c:pt>
                <c:pt idx="58">
                  <c:v>26594.387643689472</c:v>
                </c:pt>
                <c:pt idx="59">
                  <c:v>25837.322711632012</c:v>
                </c:pt>
                <c:pt idx="60">
                  <c:v>25110.404761194062</c:v>
                </c:pt>
                <c:pt idx="61">
                  <c:v>24416.192920800706</c:v>
                </c:pt>
                <c:pt idx="62">
                  <c:v>23757.604491880935</c:v>
                </c:pt>
                <c:pt idx="63">
                  <c:v>23137.978264381018</c:v>
                </c:pt>
                <c:pt idx="64">
                  <c:v>22561.149182224941</c:v>
                </c:pt>
                <c:pt idx="65">
                  <c:v>22031.537631755651</c:v>
                </c:pt>
                <c:pt idx="66">
                  <c:v>21554.258520769577</c:v>
                </c:pt>
                <c:pt idx="67">
                  <c:v>21135.259589176501</c:v>
                </c:pt>
                <c:pt idx="68">
                  <c:v>20781.508562097959</c:v>
                </c:pt>
                <c:pt idx="69">
                  <c:v>20501.272741199711</c:v>
                </c:pt>
                <c:pt idx="70">
                  <c:v>20304.588923268449</c:v>
                </c:pt>
                <c:pt idx="71">
                  <c:v>20107.164986704647</c:v>
                </c:pt>
                <c:pt idx="72">
                  <c:v>19898.960209411383</c:v>
                </c:pt>
                <c:pt idx="73">
                  <c:v>19752.716416348401</c:v>
                </c:pt>
                <c:pt idx="74">
                  <c:v>19669.623687349576</c:v>
                </c:pt>
                <c:pt idx="75">
                  <c:v>19650.213691399607</c:v>
                </c:pt>
                <c:pt idx="76">
                  <c:v>19694.315114558929</c:v>
                </c:pt>
                <c:pt idx="77">
                  <c:v>19801.050033973857</c:v>
                </c:pt>
                <c:pt idx="78">
                  <c:v>19968.871678631684</c:v>
                </c:pt>
                <c:pt idx="79">
                  <c:v>20195.638534023477</c:v>
                </c:pt>
                <c:pt idx="80">
                  <c:v>20478.711252559642</c:v>
                </c:pt>
                <c:pt idx="81">
                  <c:v>20815.089909816765</c:v>
                </c:pt>
                <c:pt idx="82">
                  <c:v>21201.492249755946</c:v>
                </c:pt>
                <c:pt idx="83">
                  <c:v>21634.508985335415</c:v>
                </c:pt>
                <c:pt idx="84">
                  <c:v>22110.682989737881</c:v>
                </c:pt>
                <c:pt idx="85">
                  <c:v>22626.595958729478</c:v>
                </c:pt>
                <c:pt idx="86">
                  <c:v>23178.932140022975</c:v>
                </c:pt>
                <c:pt idx="87">
                  <c:v>23667.524437531589</c:v>
                </c:pt>
                <c:pt idx="88">
                  <c:v>24101.392403430087</c:v>
                </c:pt>
                <c:pt idx="89">
                  <c:v>24620.050057399807</c:v>
                </c:pt>
                <c:pt idx="90">
                  <c:v>25198.446394985305</c:v>
                </c:pt>
                <c:pt idx="91">
                  <c:v>25821.247888675294</c:v>
                </c:pt>
                <c:pt idx="92">
                  <c:v>26478.448167751878</c:v>
                </c:pt>
                <c:pt idx="93">
                  <c:v>27163.12689230009</c:v>
                </c:pt>
                <c:pt idx="94">
                  <c:v>27870.243671412754</c:v>
                </c:pt>
                <c:pt idx="95">
                  <c:v>28595.957628600685</c:v>
                </c:pt>
                <c:pt idx="96">
                  <c:v>29337.226738491325</c:v>
                </c:pt>
                <c:pt idx="97">
                  <c:v>30000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B92-4398-90F9-0635F73C17C7}"/>
            </c:ext>
          </c:extLst>
        </c:ser>
        <c:ser>
          <c:idx val="68"/>
          <c:order val="68"/>
          <c:tx>
            <c:strRef>
              <c:f>RPlot!$EP$71</c:f>
              <c:strCache>
                <c:ptCount val="1"/>
                <c:pt idx="0">
                  <c:v>13y 32d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RPlot!$AT$71:$EO$71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29476.669126260542</c:v>
                </c:pt>
                <c:pt idx="56">
                  <c:v>28628.748055037566</c:v>
                </c:pt>
                <c:pt idx="57">
                  <c:v>27804.074579301603</c:v>
                </c:pt>
                <c:pt idx="58">
                  <c:v>27004.340556569427</c:v>
                </c:pt>
                <c:pt idx="59">
                  <c:v>26231.433938486851</c:v>
                </c:pt>
                <c:pt idx="60">
                  <c:v>25487.476604560972</c:v>
                </c:pt>
                <c:pt idx="61">
                  <c:v>24774.867403537501</c:v>
                </c:pt>
                <c:pt idx="62">
                  <c:v>24096.331479828597</c:v>
                </c:pt>
                <c:pt idx="63">
                  <c:v>23454.977274564411</c:v>
                </c:pt>
                <c:pt idx="64">
                  <c:v>22854.363026947332</c:v>
                </c:pt>
                <c:pt idx="65">
                  <c:v>22298.575278770462</c:v>
                </c:pt>
                <c:pt idx="66">
                  <c:v>21792.323127831583</c:v>
                </c:pt>
                <c:pt idx="67">
                  <c:v>21341.054660402344</c:v>
                </c:pt>
                <c:pt idx="68">
                  <c:v>20951.108329238723</c:v>
                </c:pt>
                <c:pt idx="69">
                  <c:v>20629.927202649855</c:v>
                </c:pt>
                <c:pt idx="70">
                  <c:v>20386.399081480766</c:v>
                </c:pt>
                <c:pt idx="71">
                  <c:v>20231.463541288485</c:v>
                </c:pt>
                <c:pt idx="72">
                  <c:v>19994.796683075343</c:v>
                </c:pt>
                <c:pt idx="73">
                  <c:v>19817.388491210411</c:v>
                </c:pt>
                <c:pt idx="74">
                  <c:v>19702.772447188094</c:v>
                </c:pt>
                <c:pt idx="75">
                  <c:v>19651.808143371371</c:v>
                </c:pt>
                <c:pt idx="76">
                  <c:v>19664.664601989807</c:v>
                </c:pt>
                <c:pt idx="77">
                  <c:v>19740.796328638597</c:v>
                </c:pt>
                <c:pt idx="78">
                  <c:v>19878.961592451134</c:v>
                </c:pt>
                <c:pt idx="79">
                  <c:v>20077.280443220508</c:v>
                </c:pt>
                <c:pt idx="80">
                  <c:v>20333.32489892673</c:v>
                </c:pt>
                <c:pt idx="81">
                  <c:v>20644.230358487046</c:v>
                </c:pt>
                <c:pt idx="82">
                  <c:v>21006.816158361817</c:v>
                </c:pt>
                <c:pt idx="83">
                  <c:v>21417.704168499036</c:v>
                </c:pt>
                <c:pt idx="84">
                  <c:v>21873.426782712573</c:v>
                </c:pt>
                <c:pt idx="85">
                  <c:v>22370.518741951128</c:v>
                </c:pt>
                <c:pt idx="86">
                  <c:v>22905.59032255183</c:v>
                </c:pt>
                <c:pt idx="87">
                  <c:v>23475.381733386912</c:v>
                </c:pt>
                <c:pt idx="88">
                  <c:v>23880.316999268765</c:v>
                </c:pt>
                <c:pt idx="89">
                  <c:v>24363.172647046034</c:v>
                </c:pt>
                <c:pt idx="90">
                  <c:v>24915.989366423964</c:v>
                </c:pt>
                <c:pt idx="91">
                  <c:v>25519.476545467311</c:v>
                </c:pt>
                <c:pt idx="92">
                  <c:v>26161.451342625598</c:v>
                </c:pt>
                <c:pt idx="93">
                  <c:v>26833.728693153527</c:v>
                </c:pt>
                <c:pt idx="94">
                  <c:v>27530.495390228589</c:v>
                </c:pt>
                <c:pt idx="95">
                  <c:v>28247.415970105132</c:v>
                </c:pt>
                <c:pt idx="96">
                  <c:v>28981.118162186696</c:v>
                </c:pt>
                <c:pt idx="97">
                  <c:v>29728.884255668148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B92-4398-90F9-0635F73C17C7}"/>
            </c:ext>
          </c:extLst>
        </c:ser>
        <c:ser>
          <c:idx val="69"/>
          <c:order val="69"/>
          <c:tx>
            <c:strRef>
              <c:f>RPlot!$EP$72</c:f>
              <c:strCache>
                <c:ptCount val="1"/>
                <c:pt idx="0">
                  <c:v>13y 93d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RPlot!$AT$72:$EO$72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29933.940531407457</c:v>
                </c:pt>
                <c:pt idx="56">
                  <c:v>29073.503303786907</c:v>
                </c:pt>
                <c:pt idx="57">
                  <c:v>28235.485960088823</c:v>
                </c:pt>
                <c:pt idx="58">
                  <c:v>27421.499168388444</c:v>
                </c:pt>
                <c:pt idx="59">
                  <c:v>26633.331369073501</c:v>
                </c:pt>
                <c:pt idx="60">
                  <c:v>25872.983840110275</c:v>
                </c:pt>
                <c:pt idx="61">
                  <c:v>25142.710328016954</c:v>
                </c:pt>
                <c:pt idx="62">
                  <c:v>24445.062118282774</c:v>
                </c:pt>
                <c:pt idx="63">
                  <c:v>23782.939660978824</c:v>
                </c:pt>
                <c:pt idx="64">
                  <c:v>23159.652197653239</c:v>
                </c:pt>
                <c:pt idx="65">
                  <c:v>22578.987323953632</c:v>
                </c:pt>
                <c:pt idx="66">
                  <c:v>22045.293258093043</c:v>
                </c:pt>
                <c:pt idx="67">
                  <c:v>21563.578290892961</c:v>
                </c:pt>
                <c:pt idx="68">
                  <c:v>21139.635832363034</c:v>
                </c:pt>
                <c:pt idx="69">
                  <c:v>20780.212959129603</c:v>
                </c:pt>
                <c:pt idx="70">
                  <c:v>20493.262749632369</c:v>
                </c:pt>
                <c:pt idx="71">
                  <c:v>20288.371780058067</c:v>
                </c:pt>
                <c:pt idx="72">
                  <c:v>20104.934878831788</c:v>
                </c:pt>
                <c:pt idx="73">
                  <c:v>19896.633127169625</c:v>
                </c:pt>
                <c:pt idx="74">
                  <c:v>19750.613771163313</c:v>
                </c:pt>
                <c:pt idx="75">
                  <c:v>19668.052913368283</c:v>
                </c:pt>
                <c:pt idx="76">
                  <c:v>19649.457914320967</c:v>
                </c:pt>
                <c:pt idx="77">
                  <c:v>19694.623588986153</c:v>
                </c:pt>
                <c:pt idx="78">
                  <c:v>19802.630127320477</c:v>
                </c:pt>
                <c:pt idx="79">
                  <c:v>19971.882991898095</c:v>
                </c:pt>
                <c:pt idx="80">
                  <c:v>20200.189467681812</c:v>
                </c:pt>
                <c:pt idx="81">
                  <c:v>20484.862184891259</c:v>
                </c:pt>
                <c:pt idx="82">
                  <c:v>20822.837711343163</c:v>
                </c:pt>
                <c:pt idx="83">
                  <c:v>21210.79820528076</c:v>
                </c:pt>
                <c:pt idx="84">
                  <c:v>21645.28624104858</c:v>
                </c:pt>
                <c:pt idx="85">
                  <c:v>22122.805518288813</c:v>
                </c:pt>
                <c:pt idx="86">
                  <c:v>22639.903650893542</c:v>
                </c:pt>
                <c:pt idx="87">
                  <c:v>23193.235776329675</c:v>
                </c:pt>
                <c:pt idx="88">
                  <c:v>23680.080795749564</c:v>
                </c:pt>
                <c:pt idx="89">
                  <c:v>24120.420436805143</c:v>
                </c:pt>
                <c:pt idx="90">
                  <c:v>24643.850942151737</c:v>
                </c:pt>
                <c:pt idx="91">
                  <c:v>25225.712684187114</c:v>
                </c:pt>
                <c:pt idx="92">
                  <c:v>25850.967724657141</c:v>
                </c:pt>
                <c:pt idx="93">
                  <c:v>26509.820885669433</c:v>
                </c:pt>
                <c:pt idx="94">
                  <c:v>27195.501109830679</c:v>
                </c:pt>
                <c:pt idx="95">
                  <c:v>27903.074452865047</c:v>
                </c:pt>
                <c:pt idx="96">
                  <c:v>28628.777446550375</c:v>
                </c:pt>
                <c:pt idx="97">
                  <c:v>29369.625918401816</c:v>
                </c:pt>
                <c:pt idx="98">
                  <c:v>30000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EB92-4398-90F9-0635F73C17C7}"/>
            </c:ext>
          </c:extLst>
        </c:ser>
        <c:ser>
          <c:idx val="70"/>
          <c:order val="70"/>
          <c:tx>
            <c:strRef>
              <c:f>RPlot!$EP$73</c:f>
              <c:strCache>
                <c:ptCount val="1"/>
                <c:pt idx="0">
                  <c:v>13y 154d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RPlot!$AT$73:$EO$73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29524.223653135763</c:v>
                </c:pt>
                <c:pt idx="57">
                  <c:v>28673.324019772317</c:v>
                </c:pt>
                <c:pt idx="58">
                  <c:v>27845.586409057716</c:v>
                </c:pt>
                <c:pt idx="59">
                  <c:v>27042.709737575729</c:v>
                </c:pt>
                <c:pt idx="60">
                  <c:v>26266.58634721642</c:v>
                </c:pt>
                <c:pt idx="61">
                  <c:v>25519.338657680011</c:v>
                </c:pt>
                <c:pt idx="62">
                  <c:v>24803.36055977286</c:v>
                </c:pt>
                <c:pt idx="63">
                  <c:v>24121.36444362496</c:v>
                </c:pt>
                <c:pt idx="64">
                  <c:v>23476.435006425461</c:v>
                </c:pt>
                <c:pt idx="65">
                  <c:v>22872.091341582087</c:v>
                </c:pt>
                <c:pt idx="66">
                  <c:v>22312.359386579828</c:v>
                </c:pt>
                <c:pt idx="67">
                  <c:v>21801.857908176018</c:v>
                </c:pt>
                <c:pt idx="68">
                  <c:v>21345.903658981348</c:v>
                </c:pt>
                <c:pt idx="69">
                  <c:v>20950.647237653113</c:v>
                </c:pt>
                <c:pt idx="70">
                  <c:v>20623.265299542072</c:v>
                </c:pt>
                <c:pt idx="71">
                  <c:v>20372.267840353456</c:v>
                </c:pt>
                <c:pt idx="72">
                  <c:v>20208.051803223043</c:v>
                </c:pt>
                <c:pt idx="73">
                  <c:v>19990.344332476845</c:v>
                </c:pt>
                <c:pt idx="74">
                  <c:v>19813.118402640845</c:v>
                </c:pt>
                <c:pt idx="75">
                  <c:v>19698.999436939357</c:v>
                </c:pt>
                <c:pt idx="76">
                  <c:v>19648.826402241484</c:v>
                </c:pt>
                <c:pt idx="77">
                  <c:v>19662.737559096327</c:v>
                </c:pt>
                <c:pt idx="78">
                  <c:v>19740.147788115231</c:v>
                </c:pt>
                <c:pt idx="79">
                  <c:v>19879.768841835627</c:v>
                </c:pt>
                <c:pt idx="80">
                  <c:v>20079.669776460149</c:v>
                </c:pt>
                <c:pt idx="81">
                  <c:v>20337.369681948054</c:v>
                </c:pt>
                <c:pt idx="82">
                  <c:v>20649.951465410715</c:v>
                </c:pt>
                <c:pt idx="83">
                  <c:v>21014.184376226753</c:v>
                </c:pt>
                <c:pt idx="84">
                  <c:v>21426.644053547643</c:v>
                </c:pt>
                <c:pt idx="85">
                  <c:v>21883.821406909046</c:v>
                </c:pt>
                <c:pt idx="86">
                  <c:v>22382.214890356248</c:v>
                </c:pt>
                <c:pt idx="87">
                  <c:v>22918.40368079934</c:v>
                </c:pt>
                <c:pt idx="88">
                  <c:v>23489.101870968207</c:v>
                </c:pt>
                <c:pt idx="89">
                  <c:v>23894.098575645963</c:v>
                </c:pt>
                <c:pt idx="90">
                  <c:v>24383.310992985702</c:v>
                </c:pt>
                <c:pt idx="91">
                  <c:v>24940.718214896031</c:v>
                </c:pt>
                <c:pt idx="92">
                  <c:v>25547.48139969496</c:v>
                </c:pt>
                <c:pt idx="93">
                  <c:v>26191.729760597053</c:v>
                </c:pt>
                <c:pt idx="94">
                  <c:v>26865.492355275517</c:v>
                </c:pt>
                <c:pt idx="95">
                  <c:v>27563.104498325833</c:v>
                </c:pt>
                <c:pt idx="96">
                  <c:v>28280.335842347915</c:v>
                </c:pt>
                <c:pt idx="97">
                  <c:v>29013.890518303851</c:v>
                </c:pt>
                <c:pt idx="98">
                  <c:v>29761.108136361134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B92-4398-90F9-0635F73C17C7}"/>
            </c:ext>
          </c:extLst>
        </c:ser>
        <c:ser>
          <c:idx val="71"/>
          <c:order val="71"/>
          <c:tx>
            <c:strRef>
              <c:f>RPlot!$EP$74</c:f>
              <c:strCache>
                <c:ptCount val="1"/>
                <c:pt idx="0">
                  <c:v>13y 215d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RPlot!$AT$74:$EO$74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29980.68346699719</c:v>
                </c:pt>
                <c:pt idx="57">
                  <c:v>29117.346974959939</c:v>
                </c:pt>
                <c:pt idx="58">
                  <c:v>28276.339966885746</c:v>
                </c:pt>
                <c:pt idx="59">
                  <c:v>27459.281061821614</c:v>
                </c:pt>
                <c:pt idx="60">
                  <c:v>26667.964374092193</c:v>
                </c:pt>
                <c:pt idx="61">
                  <c:v>25904.393549104232</c:v>
                </c:pt>
                <c:pt idx="62">
                  <c:v>25170.81996278228</c:v>
                </c:pt>
                <c:pt idx="63">
                  <c:v>24469.785799316924</c:v>
                </c:pt>
                <c:pt idx="64">
                  <c:v>23804.172910171743</c:v>
                </c:pt>
                <c:pt idx="65">
                  <c:v>23177.258619614793</c:v>
                </c:pt>
                <c:pt idx="66">
                  <c:v>22592.780044861967</c:v>
                </c:pt>
                <c:pt idx="67">
                  <c:v>22055.009222943452</c:v>
                </c:pt>
                <c:pt idx="68">
                  <c:v>21568.842877703479</c:v>
                </c:pt>
                <c:pt idx="69">
                  <c:v>21139.914312542132</c:v>
                </c:pt>
                <c:pt idx="70">
                  <c:v>20774.743718356971</c:v>
                </c:pt>
                <c:pt idx="71">
                  <c:v>20480.964361141407</c:v>
                </c:pt>
                <c:pt idx="72">
                  <c:v>20267.709442179614</c:v>
                </c:pt>
                <c:pt idx="73">
                  <c:v>20098.381186591803</c:v>
                </c:pt>
                <c:pt idx="74">
                  <c:v>19890.218535139353</c:v>
                </c:pt>
                <c:pt idx="75">
                  <c:v>19744.659110635635</c:v>
                </c:pt>
                <c:pt idx="76">
                  <c:v>19662.862248573052</c:v>
                </c:pt>
                <c:pt idx="77">
                  <c:v>19645.307955240591</c:v>
                </c:pt>
                <c:pt idx="78">
                  <c:v>19691.754066629303</c:v>
                </c:pt>
                <c:pt idx="79">
                  <c:v>19801.235921319043</c:v>
                </c:pt>
                <c:pt idx="80">
                  <c:v>19972.108584001689</c:v>
                </c:pt>
                <c:pt idx="81">
                  <c:v>20202.125987871801</c:v>
                </c:pt>
                <c:pt idx="82">
                  <c:v>20488.54699943024</c:v>
                </c:pt>
                <c:pt idx="83">
                  <c:v>20828.256182371602</c:v>
                </c:pt>
                <c:pt idx="84">
                  <c:v>21217.887225286122</c:v>
                </c:pt>
                <c:pt idx="85">
                  <c:v>21653.938827510792</c:v>
                </c:pt>
                <c:pt idx="86">
                  <c:v>22132.876076664877</c:v>
                </c:pt>
                <c:pt idx="87">
                  <c:v>22651.213356254997</c:v>
                </c:pt>
                <c:pt idx="88">
                  <c:v>23205.577820797203</c:v>
                </c:pt>
                <c:pt idx="89">
                  <c:v>23687.23224454782</c:v>
                </c:pt>
                <c:pt idx="90">
                  <c:v>24135.979816279247</c:v>
                </c:pt>
                <c:pt idx="91">
                  <c:v>24665.416189270367</c:v>
                </c:pt>
                <c:pt idx="92">
                  <c:v>25251.559768893669</c:v>
                </c:pt>
                <c:pt idx="93">
                  <c:v>25879.827321342294</c:v>
                </c:pt>
                <c:pt idx="94">
                  <c:v>26540.72734723465</c:v>
                </c:pt>
                <c:pt idx="95">
                  <c:v>27227.694168966009</c:v>
                </c:pt>
                <c:pt idx="96">
                  <c:v>27935.935675053806</c:v>
                </c:pt>
                <c:pt idx="97">
                  <c:v>28661.788954093896</c:v>
                </c:pt>
                <c:pt idx="98">
                  <c:v>29402.343342920052</c:v>
                </c:pt>
                <c:pt idx="99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EB92-4398-90F9-0635F73C17C7}"/>
            </c:ext>
          </c:extLst>
        </c:ser>
        <c:ser>
          <c:idx val="72"/>
          <c:order val="72"/>
          <c:tx>
            <c:strRef>
              <c:f>RPlot!$EP$75</c:f>
              <c:strCache>
                <c:ptCount val="1"/>
                <c:pt idx="0">
                  <c:v>13y 276d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RPlot!$AT$75:$EO$75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29567.324955138633</c:v>
                </c:pt>
                <c:pt idx="58">
                  <c:v>28713.511407327242</c:v>
                </c:pt>
                <c:pt idx="59">
                  <c:v>27882.773587296033</c:v>
                </c:pt>
                <c:pt idx="60">
                  <c:v>27076.817242635243</c:v>
                </c:pt>
                <c:pt idx="61">
                  <c:v>26297.538725132377</c:v>
                </c:pt>
                <c:pt idx="62">
                  <c:v>25547.060400118364</c:v>
                </c:pt>
                <c:pt idx="63">
                  <c:v>24827.770312533234</c:v>
                </c:pt>
                <c:pt idx="64">
                  <c:v>24142.366818468778</c:v>
                </c:pt>
                <c:pt idx="65">
                  <c:v>23493.909081748388</c:v>
                </c:pt>
                <c:pt idx="66">
                  <c:v>22885.874618447997</c:v>
                </c:pt>
                <c:pt idx="67">
                  <c:v>22322.225555107823</c:v>
                </c:pt>
                <c:pt idx="68">
                  <c:v>21807.486253256611</c:v>
                </c:pt>
                <c:pt idx="69">
                  <c:v>21346.837130559848</c:v>
                </c:pt>
                <c:pt idx="70">
                  <c:v>20946.235239904585</c:v>
                </c:pt>
                <c:pt idx="71">
                  <c:v>20612.584999933759</c:v>
                </c:pt>
                <c:pt idx="72">
                  <c:v>20354.013701446864</c:v>
                </c:pt>
                <c:pt idx="73">
                  <c:v>20180.374174914468</c:v>
                </c:pt>
                <c:pt idx="74">
                  <c:v>19981.809762715537</c:v>
                </c:pt>
                <c:pt idx="75">
                  <c:v>19805.004154078131</c:v>
                </c:pt>
                <c:pt idx="76">
                  <c:v>19691.618167107543</c:v>
                </c:pt>
                <c:pt idx="77">
                  <c:v>19642.467085190608</c:v>
                </c:pt>
                <c:pt idx="78">
                  <c:v>19657.655204812523</c:v>
                </c:pt>
                <c:pt idx="79">
                  <c:v>19736.554645083594</c:v>
                </c:pt>
                <c:pt idx="80">
                  <c:v>19877.827776602287</c:v>
                </c:pt>
                <c:pt idx="81">
                  <c:v>20079.490240063988</c:v>
                </c:pt>
                <c:pt idx="82">
                  <c:v>20339.006340295746</c:v>
                </c:pt>
                <c:pt idx="83">
                  <c:v>20653.405241977893</c:v>
                </c:pt>
                <c:pt idx="84">
                  <c:v>21019.405489894725</c:v>
                </c:pt>
                <c:pt idx="85">
                  <c:v>21433.536415676313</c:v>
                </c:pt>
                <c:pt idx="86">
                  <c:v>21892.247878927505</c:v>
                </c:pt>
                <c:pt idx="87">
                  <c:v>22392.002826719068</c:v>
                </c:pt>
                <c:pt idx="88">
                  <c:v>22929.35043201844</c:v>
                </c:pt>
                <c:pt idx="89">
                  <c:v>23500.979952549154</c:v>
                </c:pt>
                <c:pt idx="90">
                  <c:v>23903.922156036049</c:v>
                </c:pt>
                <c:pt idx="91">
                  <c:v>24400.942693115932</c:v>
                </c:pt>
                <c:pt idx="92">
                  <c:v>24963.876358661855</c:v>
                </c:pt>
                <c:pt idx="93">
                  <c:v>25574.541761872482</c:v>
                </c:pt>
                <c:pt idx="94">
                  <c:v>26221.496029715461</c:v>
                </c:pt>
                <c:pt idx="95">
                  <c:v>26897.050703396944</c:v>
                </c:pt>
                <c:pt idx="96">
                  <c:v>27595.731706150593</c:v>
                </c:pt>
                <c:pt idx="97">
                  <c:v>28313.440752785755</c:v>
                </c:pt>
                <c:pt idx="98">
                  <c:v>29046.97625798166</c:v>
                </c:pt>
                <c:pt idx="99">
                  <c:v>29793.747423034354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EB92-4398-90F9-0635F73C17C7}"/>
            </c:ext>
          </c:extLst>
        </c:ser>
        <c:ser>
          <c:idx val="73"/>
          <c:order val="73"/>
          <c:tx>
            <c:strRef>
              <c:f>RPlot!$EP$76</c:f>
              <c:strCache>
                <c:ptCount val="1"/>
                <c:pt idx="0">
                  <c:v>13y 337d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RPlot!$AT$76:$EO$76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29156.865316440271</c:v>
                </c:pt>
                <c:pt idx="59">
                  <c:v>28312.930772635853</c:v>
                </c:pt>
                <c:pt idx="60">
                  <c:v>27492.86212121405</c:v>
                </c:pt>
                <c:pt idx="61">
                  <c:v>26698.458957024657</c:v>
                </c:pt>
                <c:pt idx="62">
                  <c:v>25931.726939523549</c:v>
                </c:pt>
                <c:pt idx="63">
                  <c:v>25194.914496113284</c:v>
                </c:pt>
                <c:pt idx="64">
                  <c:v>24490.553825170791</c:v>
                </c:pt>
                <c:pt idx="65">
                  <c:v>23821.506887278359</c:v>
                </c:pt>
                <c:pt idx="66">
                  <c:v>23191.017270290526</c:v>
                </c:pt>
                <c:pt idx="67">
                  <c:v>22602.769136928957</c:v>
                </c:pt>
                <c:pt idx="68">
                  <c:v>22060.955096497877</c:v>
                </c:pt>
                <c:pt idx="69">
                  <c:v>21570.356167276386</c:v>
                </c:pt>
                <c:pt idx="70">
                  <c:v>21136.440601716178</c:v>
                </c:pt>
                <c:pt idx="71">
                  <c:v>20765.496229443277</c:v>
                </c:pt>
                <c:pt idx="72">
                  <c:v>20464.831042664453</c:v>
                </c:pt>
                <c:pt idx="73">
                  <c:v>20243.120959450796</c:v>
                </c:pt>
                <c:pt idx="74">
                  <c:v>20087.753512414776</c:v>
                </c:pt>
                <c:pt idx="75">
                  <c:v>19879.969052296939</c:v>
                </c:pt>
                <c:pt idx="76">
                  <c:v>19735.107707567469</c:v>
                </c:pt>
                <c:pt idx="77">
                  <c:v>19654.309022535559</c:v>
                </c:pt>
                <c:pt idx="78">
                  <c:v>19638.022398732963</c:v>
                </c:pt>
                <c:pt idx="79">
                  <c:v>19685.965424895818</c:v>
                </c:pt>
                <c:pt idx="80">
                  <c:v>19797.125518536082</c:v>
                </c:pt>
                <c:pt idx="81">
                  <c:v>19969.80466928098</c:v>
                </c:pt>
                <c:pt idx="82">
                  <c:v>20201.701322226159</c:v>
                </c:pt>
                <c:pt idx="83">
                  <c:v>20490.019049272796</c:v>
                </c:pt>
                <c:pt idx="84">
                  <c:v>20831.589569610474</c:v>
                </c:pt>
                <c:pt idx="85">
                  <c:v>21222.997800218272</c:v>
                </c:pt>
                <c:pt idx="86">
                  <c:v>21660.698855032864</c:v>
                </c:pt>
                <c:pt idx="87">
                  <c:v>22141.119893354029</c:v>
                </c:pt>
                <c:pt idx="88">
                  <c:v>22660.743110840336</c:v>
                </c:pt>
                <c:pt idx="89">
                  <c:v>23216.168948117054</c:v>
                </c:pt>
                <c:pt idx="90">
                  <c:v>23689.841137624091</c:v>
                </c:pt>
                <c:pt idx="91">
                  <c:v>24148.720678574769</c:v>
                </c:pt>
                <c:pt idx="92">
                  <c:v>24685.242082765631</c:v>
                </c:pt>
                <c:pt idx="93">
                  <c:v>25276.371327707257</c:v>
                </c:pt>
                <c:pt idx="94">
                  <c:v>25908.126489277267</c:v>
                </c:pt>
                <c:pt idx="95">
                  <c:v>26571.403634375638</c:v>
                </c:pt>
                <c:pt idx="96">
                  <c:v>27259.892742042583</c:v>
                </c:pt>
                <c:pt idx="97">
                  <c:v>27968.974970396102</c:v>
                </c:pt>
                <c:pt idx="98">
                  <c:v>28695.108399002685</c:v>
                </c:pt>
                <c:pt idx="99">
                  <c:v>29435.469641373518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EB92-4398-90F9-0635F73C17C7}"/>
            </c:ext>
          </c:extLst>
        </c:ser>
        <c:ser>
          <c:idx val="74"/>
          <c:order val="74"/>
          <c:tx>
            <c:strRef>
              <c:f>RPlot!$EP$77</c:f>
              <c:strCache>
                <c:ptCount val="1"/>
                <c:pt idx="0">
                  <c:v>14y 33d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RPlot!$AT$77:$EO$77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29606.178469262126</c:v>
                </c:pt>
                <c:pt idx="59">
                  <c:v>28749.510314447994</c:v>
                </c:pt>
                <c:pt idx="60">
                  <c:v>27915.832859159073</c:v>
                </c:pt>
                <c:pt idx="61">
                  <c:v>27106.858642557454</c:v>
                </c:pt>
                <c:pt idx="62">
                  <c:v>26324.487872108773</c:v>
                </c:pt>
                <c:pt idx="63">
                  <c:v>25570.842538271179</c:v>
                </c:pt>
                <c:pt idx="64">
                  <c:v>24848.304286602277</c:v>
                </c:pt>
                <c:pt idx="65">
                  <c:v>24159.556568308184</c:v>
                </c:pt>
                <c:pt idx="66">
                  <c:v>23507.631722892846</c:v>
                </c:pt>
                <c:pt idx="67">
                  <c:v>22895.963859330193</c:v>
                </c:pt>
                <c:pt idx="68">
                  <c:v>22328.448808280016</c:v>
                </c:pt>
                <c:pt idx="69">
                  <c:v>21809.513216563984</c:v>
                </c:pt>
                <c:pt idx="70">
                  <c:v>21344.197135211558</c:v>
                </c:pt>
                <c:pt idx="71">
                  <c:v>20938.259207920608</c:v>
                </c:pt>
                <c:pt idx="72">
                  <c:v>20598.326349485316</c:v>
                </c:pt>
                <c:pt idx="73">
                  <c:v>20332.138294426204</c:v>
                </c:pt>
                <c:pt idx="74">
                  <c:v>20149.000893846416</c:v>
                </c:pt>
                <c:pt idx="75">
                  <c:v>19969.452413310362</c:v>
                </c:pt>
                <c:pt idx="76">
                  <c:v>19793.30603106986</c:v>
                </c:pt>
                <c:pt idx="77">
                  <c:v>19680.889229435099</c:v>
                </c:pt>
                <c:pt idx="78">
                  <c:v>19632.990356633076</c:v>
                </c:pt>
                <c:pt idx="79">
                  <c:v>19649.676389500961</c:v>
                </c:pt>
                <c:pt idx="80">
                  <c:v>19730.273447596905</c:v>
                </c:pt>
                <c:pt idx="81">
                  <c:v>19873.391610324947</c:v>
                </c:pt>
                <c:pt idx="82">
                  <c:v>20076.990696329969</c:v>
                </c:pt>
                <c:pt idx="83">
                  <c:v>20338.478420596071</c:v>
                </c:pt>
                <c:pt idx="84">
                  <c:v>20654.829090757401</c:v>
                </c:pt>
                <c:pt idx="85">
                  <c:v>21022.710033785352</c:v>
                </c:pt>
                <c:pt idx="86">
                  <c:v>21438.604382034206</c:v>
                </c:pt>
                <c:pt idx="87">
                  <c:v>21898.921507690236</c:v>
                </c:pt>
                <c:pt idx="88">
                  <c:v>22400.089818426175</c:v>
                </c:pt>
                <c:pt idx="89">
                  <c:v>22938.629721521658</c:v>
                </c:pt>
                <c:pt idx="90">
                  <c:v>23497.357773937267</c:v>
                </c:pt>
                <c:pt idx="91">
                  <c:v>23910.567193293733</c:v>
                </c:pt>
                <c:pt idx="92">
                  <c:v>24416.648862117967</c:v>
                </c:pt>
                <c:pt idx="93">
                  <c:v>24985.90294970138</c:v>
                </c:pt>
                <c:pt idx="94">
                  <c:v>25600.993273400498</c:v>
                </c:pt>
                <c:pt idx="95">
                  <c:v>26251.008676432328</c:v>
                </c:pt>
                <c:pt idx="96">
                  <c:v>26928.60355788127</c:v>
                </c:pt>
                <c:pt idx="97">
                  <c:v>27628.531222750607</c:v>
                </c:pt>
                <c:pt idx="98">
                  <c:v>28346.848809830179</c:v>
                </c:pt>
                <c:pt idx="99">
                  <c:v>29080.464444998281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EB92-4398-90F9-0635F73C17C7}"/>
            </c:ext>
          </c:extLst>
        </c:ser>
        <c:ser>
          <c:idx val="75"/>
          <c:order val="75"/>
          <c:tx>
            <c:strRef>
              <c:f>RPlot!$EP$78</c:f>
              <c:strCache>
                <c:ptCount val="1"/>
                <c:pt idx="0">
                  <c:v>14y 94d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RPlot!$AT$78:$EO$78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29192.283209671081</c:v>
                </c:pt>
                <c:pt idx="60">
                  <c:v>28345.478877909372</c:v>
                </c:pt>
                <c:pt idx="61">
                  <c:v>27522.460469643593</c:v>
                </c:pt>
                <c:pt idx="62">
                  <c:v>26725.033069513331</c:v>
                </c:pt>
                <c:pt idx="63">
                  <c:v>25955.204242653119</c:v>
                </c:pt>
                <c:pt idx="64">
                  <c:v>25215.219189079566</c:v>
                </c:pt>
                <c:pt idx="65">
                  <c:v>24507.599603733594</c:v>
                </c:pt>
                <c:pt idx="66">
                  <c:v>23835.186714383155</c:v>
                </c:pt>
                <c:pt idx="67">
                  <c:v>23201.189103299694</c:v>
                </c:pt>
                <c:pt idx="68">
                  <c:v>22609.236174258684</c:v>
                </c:pt>
                <c:pt idx="69">
                  <c:v>22063.438596872293</c:v>
                </c:pt>
                <c:pt idx="70">
                  <c:v>21568.458513731344</c:v>
                </c:pt>
                <c:pt idx="71">
                  <c:v>21129.595101256789</c:v>
                </c:pt>
                <c:pt idx="72">
                  <c:v>20752.89916214002</c:v>
                </c:pt>
                <c:pt idx="73">
                  <c:v>20445.348542852051</c:v>
                </c:pt>
                <c:pt idx="74">
                  <c:v>20215.157667432934</c:v>
                </c:pt>
                <c:pt idx="75">
                  <c:v>20072.383806362974</c:v>
                </c:pt>
                <c:pt idx="76">
                  <c:v>19866.151269425252</c:v>
                </c:pt>
                <c:pt idx="77">
                  <c:v>19722.224787258794</c:v>
                </c:pt>
                <c:pt idx="78">
                  <c:v>19642.656412750228</c:v>
                </c:pt>
                <c:pt idx="79">
                  <c:v>19627.861546260694</c:v>
                </c:pt>
                <c:pt idx="80">
                  <c:v>19677.51416394483</c:v>
                </c:pt>
                <c:pt idx="81">
                  <c:v>19790.550651245525</c:v>
                </c:pt>
                <c:pt idx="82">
                  <c:v>19965.217262394894</c:v>
                </c:pt>
                <c:pt idx="83">
                  <c:v>20199.154875034183</c:v>
                </c:pt>
                <c:pt idx="84">
                  <c:v>20489.510377050938</c:v>
                </c:pt>
                <c:pt idx="85">
                  <c:v>20833.061890606958</c:v>
                </c:pt>
                <c:pt idx="86">
                  <c:v>21226.34546876085</c:v>
                </c:pt>
                <c:pt idx="87">
                  <c:v>21665.773057046856</c:v>
                </c:pt>
                <c:pt idx="88">
                  <c:v>22147.734756706253</c:v>
                </c:pt>
                <c:pt idx="89">
                  <c:v>22668.681763503544</c:v>
                </c:pt>
                <c:pt idx="90">
                  <c:v>23225.189213669411</c:v>
                </c:pt>
                <c:pt idx="91">
                  <c:v>23688.852672280744</c:v>
                </c:pt>
                <c:pt idx="92">
                  <c:v>24159.331678591814</c:v>
                </c:pt>
                <c:pt idx="93">
                  <c:v>24703.837728881153</c:v>
                </c:pt>
                <c:pt idx="94">
                  <c:v>25300.528341492038</c:v>
                </c:pt>
                <c:pt idx="95">
                  <c:v>25936.152644730555</c:v>
                </c:pt>
                <c:pt idx="96">
                  <c:v>26602.067227975378</c:v>
                </c:pt>
                <c:pt idx="97">
                  <c:v>27292.260876460357</c:v>
                </c:pt>
                <c:pt idx="98">
                  <c:v>28002.314739409379</c:v>
                </c:pt>
                <c:pt idx="99">
                  <c:v>28728.825145686962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EB92-4398-90F9-0635F73C17C7}"/>
            </c:ext>
          </c:extLst>
        </c:ser>
        <c:ser>
          <c:idx val="76"/>
          <c:order val="76"/>
          <c:tx>
            <c:strRef>
              <c:f>RPlot!$EP$79</c:f>
              <c:strCache>
                <c:ptCount val="1"/>
                <c:pt idx="0">
                  <c:v>14y 154d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RPlot!$AT$79:$EO$79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29641.032853876382</c:v>
                </c:pt>
                <c:pt idx="60">
                  <c:v>28781.564114612313</c:v>
                </c:pt>
                <c:pt idx="61">
                  <c:v>27945.004157011896</c:v>
                </c:pt>
                <c:pt idx="62">
                  <c:v>27133.072454482317</c:v>
                </c:pt>
                <c:pt idx="63">
                  <c:v>26347.673135276174</c:v>
                </c:pt>
                <c:pt idx="64">
                  <c:v>25590.92776191116</c:v>
                </c:pt>
                <c:pt idx="65">
                  <c:v>24865.211355774674</c:v>
                </c:pt>
                <c:pt idx="66">
                  <c:v>24173.191997914917</c:v>
                </c:pt>
                <c:pt idx="67">
                  <c:v>23517.874423559711</c:v>
                </c:pt>
                <c:pt idx="68">
                  <c:v>22902.648090275012</c:v>
                </c:pt>
                <c:pt idx="69">
                  <c:v>22331.34077502822</c:v>
                </c:pt>
                <c:pt idx="70">
                  <c:v>21808.279061297661</c:v>
                </c:pt>
                <c:pt idx="71">
                  <c:v>21338.359463742469</c:v>
                </c:pt>
                <c:pt idx="72">
                  <c:v>20927.138406085411</c:v>
                </c:pt>
                <c:pt idx="73">
                  <c:v>20580.960941183454</c:v>
                </c:pt>
                <c:pt idx="74">
                  <c:v>20307.174829221032</c:v>
                </c:pt>
                <c:pt idx="75">
                  <c:v>20114.535447120194</c:v>
                </c:pt>
                <c:pt idx="76">
                  <c:v>19953.54633880674</c:v>
                </c:pt>
                <c:pt idx="77">
                  <c:v>19778.295136398967</c:v>
                </c:pt>
                <c:pt idx="78">
                  <c:v>19667.080128370686</c:v>
                </c:pt>
                <c:pt idx="79">
                  <c:v>19620.659337131165</c:v>
                </c:pt>
                <c:pt idx="80">
                  <c:v>19639.058971734492</c:v>
                </c:pt>
                <c:pt idx="81">
                  <c:v>19721.555875750666</c:v>
                </c:pt>
                <c:pt idx="82">
                  <c:v>19866.704947165199</c:v>
                </c:pt>
                <c:pt idx="83">
                  <c:v>20072.407837685147</c:v>
                </c:pt>
                <c:pt idx="84">
                  <c:v>20336.014005870973</c:v>
                </c:pt>
                <c:pt idx="85">
                  <c:v>20654.441894659878</c:v>
                </c:pt>
                <c:pt idx="86">
                  <c:v>21024.307301787849</c:v>
                </c:pt>
                <c:pt idx="87">
                  <c:v>21442.047408119164</c:v>
                </c:pt>
                <c:pt idx="88">
                  <c:v>21904.031849299743</c:v>
                </c:pt>
                <c:pt idx="89">
                  <c:v>22406.655611041355</c:v>
                </c:pt>
                <c:pt idx="90">
                  <c:v>22946.411715643051</c:v>
                </c:pt>
                <c:pt idx="91">
                  <c:v>23486.743569089278</c:v>
                </c:pt>
                <c:pt idx="92">
                  <c:v>23914.858739579307</c:v>
                </c:pt>
                <c:pt idx="93">
                  <c:v>24431.026441741098</c:v>
                </c:pt>
                <c:pt idx="94">
                  <c:v>25007.235726044495</c:v>
                </c:pt>
                <c:pt idx="95">
                  <c:v>25627.15977705942</c:v>
                </c:pt>
                <c:pt idx="96">
                  <c:v>26280.507989250567</c:v>
                </c:pt>
                <c:pt idx="97">
                  <c:v>26960.328440343987</c:v>
                </c:pt>
                <c:pt idx="98">
                  <c:v>27661.63239490681</c:v>
                </c:pt>
                <c:pt idx="99">
                  <c:v>28380.651677859507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EB92-4398-90F9-0635F73C17C7}"/>
            </c:ext>
          </c:extLst>
        </c:ser>
        <c:ser>
          <c:idx val="77"/>
          <c:order val="77"/>
          <c:tx>
            <c:strRef>
              <c:f>RPlot!$EP$80</c:f>
              <c:strCache>
                <c:ptCount val="1"/>
                <c:pt idx="0">
                  <c:v>14y 215d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RPlot!$AT$80:$EO$80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29223.866014526513</c:v>
                </c:pt>
                <c:pt idx="61">
                  <c:v>28374.245264808356</c:v>
                </c:pt>
                <c:pt idx="62">
                  <c:v>27548.334572290489</c:v>
                </c:pt>
                <c:pt idx="63">
                  <c:v>26747.944717283841</c:v>
                </c:pt>
                <c:pt idx="64">
                  <c:v>25975.08530143437</c:v>
                </c:pt>
                <c:pt idx="65">
                  <c:v>25231.998312692063</c:v>
                </c:pt>
                <c:pt idx="66">
                  <c:v>24521.194789188656</c:v>
                </c:pt>
                <c:pt idx="67">
                  <c:v>23845.494846128429</c:v>
                </c:pt>
                <c:pt idx="68">
                  <c:v>23208.071326644709</c:v>
                </c:pt>
                <c:pt idx="69">
                  <c:v>22612.497747591362</c:v>
                </c:pt>
                <c:pt idx="70">
                  <c:v>22062.801241225843</c:v>
                </c:pt>
                <c:pt idx="71">
                  <c:v>21563.522770301279</c:v>
                </c:pt>
                <c:pt idx="72">
                  <c:v>21119.789529562433</c:v>
                </c:pt>
                <c:pt idx="73">
                  <c:v>20737.411752028835</c:v>
                </c:pt>
                <c:pt idx="74">
                  <c:v>20423.033184036431</c:v>
                </c:pt>
                <c:pt idx="75">
                  <c:v>20184.402891209676</c:v>
                </c:pt>
                <c:pt idx="76">
                  <c:v>20030.918695549051</c:v>
                </c:pt>
                <c:pt idx="77">
                  <c:v>19849.043334382863</c:v>
                </c:pt>
                <c:pt idx="78">
                  <c:v>19706.283428341998</c:v>
                </c:pt>
                <c:pt idx="79">
                  <c:v>19628.171671527947</c:v>
                </c:pt>
                <c:pt idx="80">
                  <c:v>19615.085978259805</c:v>
                </c:pt>
                <c:pt idx="81">
                  <c:v>19666.653311167927</c:v>
                </c:pt>
                <c:pt idx="82">
                  <c:v>19781.75593394064</c:v>
                </c:pt>
                <c:pt idx="83">
                  <c:v>19958.581771743047</c:v>
                </c:pt>
                <c:pt idx="84">
                  <c:v>20194.712193517862</c:v>
                </c:pt>
                <c:pt idx="85">
                  <c:v>20487.236135384002</c:v>
                </c:pt>
                <c:pt idx="86">
                  <c:v>20832.877567814547</c:v>
                </c:pt>
                <c:pt idx="87">
                  <c:v>21228.123743294535</c:v>
                </c:pt>
                <c:pt idx="88">
                  <c:v>21669.344046863465</c:v>
                </c:pt>
                <c:pt idx="89">
                  <c:v>22152.892548150037</c:v>
                </c:pt>
                <c:pt idx="90">
                  <c:v>22675.190777150001</c:v>
                </c:pt>
                <c:pt idx="91">
                  <c:v>23232.790106848446</c:v>
                </c:pt>
                <c:pt idx="92">
                  <c:v>23685.265568469233</c:v>
                </c:pt>
                <c:pt idx="93">
                  <c:v>24168.520004935232</c:v>
                </c:pt>
                <c:pt idx="94">
                  <c:v>24721.711515952058</c:v>
                </c:pt>
                <c:pt idx="95">
                  <c:v>25324.39999592919</c:v>
                </c:pt>
                <c:pt idx="96">
                  <c:v>25964.17481466589</c:v>
                </c:pt>
                <c:pt idx="97">
                  <c:v>26632.91321193309</c:v>
                </c:pt>
                <c:pt idx="98">
                  <c:v>27324.937783126836</c:v>
                </c:pt>
                <c:pt idx="99">
                  <c:v>28036.051100252556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EB92-4398-90F9-0635F73C17C7}"/>
            </c:ext>
          </c:extLst>
        </c:ser>
        <c:ser>
          <c:idx val="78"/>
          <c:order val="78"/>
          <c:tx>
            <c:strRef>
              <c:f>RPlot!$EP$81</c:f>
              <c:strCache>
                <c:ptCount val="1"/>
                <c:pt idx="0">
                  <c:v>14y 276d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RPlot!$AT$81:$EO$81</c:f>
              <c:numCache>
                <c:formatCode>0</c:formatCode>
                <c:ptCount val="10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29672.174569016763</c:v>
                </c:pt>
                <c:pt idx="61">
                  <c:v>28809.95406906871</c:v>
                </c:pt>
                <c:pt idx="62">
                  <c:v>27970.565252497807</c:v>
                </c:pt>
                <c:pt idx="63">
                  <c:v>27155.734846189858</c:v>
                </c:pt>
                <c:pt idx="64">
                  <c:v>26367.371178325866</c:v>
                </c:pt>
                <c:pt idx="65">
                  <c:v>25607.595593446247</c:v>
                </c:pt>
                <c:pt idx="66">
                  <c:v>24878.776590326594</c:v>
                </c:pt>
                <c:pt idx="67">
                  <c:v>24183.566830846896</c:v>
                </c:pt>
                <c:pt idx="68">
                  <c:v>23524.943119065065</c:v>
                </c:pt>
                <c:pt idx="69">
                  <c:v>22906.249740399158</c:v>
                </c:pt>
                <c:pt idx="70">
                  <c:v>22331.245416054709</c:v>
                </c:pt>
                <c:pt idx="71">
                  <c:v>21804.155183697942</c:v>
                </c:pt>
                <c:pt idx="72">
                  <c:v>21329.73001511793</c:v>
                </c:pt>
                <c:pt idx="73">
                  <c:v>20913.321507290915</c:v>
                </c:pt>
                <c:pt idx="74">
                  <c:v>20560.989721573489</c:v>
                </c:pt>
                <c:pt idx="75">
                  <c:v>20279.687015229581</c:v>
                </c:pt>
                <c:pt idx="76">
                  <c:v>20077.615043758495</c:v>
                </c:pt>
                <c:pt idx="77">
                  <c:v>19934.377788345617</c:v>
                </c:pt>
                <c:pt idx="78">
                  <c:v>19760.251264597915</c:v>
                </c:pt>
                <c:pt idx="79">
                  <c:v>19650.463462625994</c:v>
                </c:pt>
                <c:pt idx="80">
                  <c:v>19605.738603223836</c:v>
                </c:pt>
                <c:pt idx="81">
                  <c:v>19626.058646140118</c:v>
                </c:pt>
                <c:pt idx="82">
                  <c:v>19710.647905845064</c:v>
                </c:pt>
                <c:pt idx="83">
                  <c:v>19858.003279999008</c:v>
                </c:pt>
                <c:pt idx="84">
                  <c:v>20065.966047873979</c:v>
                </c:pt>
                <c:pt idx="85">
                  <c:v>20331.82587873685</c:v>
                </c:pt>
                <c:pt idx="86">
                  <c:v>20652.444545824499</c:v>
                </c:pt>
                <c:pt idx="87">
                  <c:v>21024.386172131181</c:v>
                </c:pt>
                <c:pt idx="88">
                  <c:v>21444.042433913499</c:v>
                </c:pt>
                <c:pt idx="89">
                  <c:v>21907.744144824068</c:v>
                </c:pt>
                <c:pt idx="90">
                  <c:v>22411.854138030409</c:v>
                </c:pt>
                <c:pt idx="91">
                  <c:v>22952.839566076549</c:v>
                </c:pt>
                <c:pt idx="92">
                  <c:v>23473.259625492901</c:v>
                </c:pt>
                <c:pt idx="93">
                  <c:v>23917.642780780076</c:v>
                </c:pt>
                <c:pt idx="94">
                  <c:v>24444.671621953035</c:v>
                </c:pt>
                <c:pt idx="95">
                  <c:v>25028.299899268182</c:v>
                </c:pt>
                <c:pt idx="96">
                  <c:v>25653.345947657719</c:v>
                </c:pt>
                <c:pt idx="97">
                  <c:v>26310.2112541924</c:v>
                </c:pt>
                <c:pt idx="98">
                  <c:v>26992.377658647383</c:v>
                </c:pt>
                <c:pt idx="99">
                  <c:v>27695.138129089413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EB92-4398-90F9-0635F73C17C7}"/>
            </c:ext>
          </c:extLst>
        </c:ser>
        <c:ser>
          <c:idx val="79"/>
          <c:order val="79"/>
          <c:tx>
            <c:strRef>
              <c:f>RPlot!$EP$82</c:f>
              <c:strCache>
                <c:ptCount val="1"/>
                <c:pt idx="0">
                  <c:v>14y 337d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RPlot!$AT$82:$EO$82</c:f>
              <c:numCache>
                <c:formatCode>0</c:formatCode>
                <c:ptCount val="100"/>
                <c:pt idx="0">
                  <c:v>29749.011716502322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29251.914494733111</c:v>
                </c:pt>
                <c:pt idx="62">
                  <c:v>28399.526352062454</c:v>
                </c:pt>
                <c:pt idx="63">
                  <c:v>27570.778231087967</c:v>
                </c:pt>
                <c:pt idx="64">
                  <c:v>26767.487005318257</c:v>
                </c:pt>
                <c:pt idx="65">
                  <c:v>25991.664678750756</c:v>
                </c:pt>
                <c:pt idx="66">
                  <c:v>25245.550346409247</c:v>
                </c:pt>
                <c:pt idx="67">
                  <c:v>24531.644573610305</c:v>
                </c:pt>
                <c:pt idx="68">
                  <c:v>23852.746428463066</c:v>
                </c:pt>
                <c:pt idx="69">
                  <c:v>23211.992929208522</c:v>
                </c:pt>
                <c:pt idx="70">
                  <c:v>22612.90127873699</c:v>
                </c:pt>
                <c:pt idx="71">
                  <c:v>22059.414297089163</c:v>
                </c:pt>
                <c:pt idx="72">
                  <c:v>21555.95059876384</c:v>
                </c:pt>
                <c:pt idx="73">
                  <c:v>21107.463736430196</c:v>
                </c:pt>
                <c:pt idx="74">
                  <c:v>20719.521225002598</c:v>
                </c:pt>
                <c:pt idx="75">
                  <c:v>20398.430148536365</c:v>
                </c:pt>
                <c:pt idx="76">
                  <c:v>20151.471438081149</c:v>
                </c:pt>
                <c:pt idx="77">
                  <c:v>19987.380853435559</c:v>
                </c:pt>
                <c:pt idx="78">
                  <c:v>19828.932786261652</c:v>
                </c:pt>
                <c:pt idx="79">
                  <c:v>19687.562683139484</c:v>
                </c:pt>
                <c:pt idx="80">
                  <c:v>19611.12454538971</c:v>
                </c:pt>
                <c:pt idx="81">
                  <c:v>19599.955284371608</c:v>
                </c:pt>
                <c:pt idx="82">
                  <c:v>19653.631472872003</c:v>
                </c:pt>
                <c:pt idx="83">
                  <c:v>19770.978238473621</c:v>
                </c:pt>
                <c:pt idx="84">
                  <c:v>19950.122724597612</c:v>
                </c:pt>
                <c:pt idx="85">
                  <c:v>20188.58499618615</c:v>
                </c:pt>
                <c:pt idx="86">
                  <c:v>20483.39497559737</c:v>
                </c:pt>
                <c:pt idx="87">
                  <c:v>20831.22210831727</c:v>
                </c:pt>
                <c:pt idx="88">
                  <c:v>21228.505123056235</c:v>
                </c:pt>
                <c:pt idx="89">
                  <c:v>21671.571616697522</c:v>
                </c:pt>
                <c:pt idx="90">
                  <c:v>22156.740821386629</c:v>
                </c:pt>
                <c:pt idx="91">
                  <c:v>22680.406062289727</c:v>
                </c:pt>
                <c:pt idx="92">
                  <c:v>23239.096619165441</c:v>
                </c:pt>
                <c:pt idx="93">
                  <c:v>23680.101638456581</c:v>
                </c:pt>
                <c:pt idx="94">
                  <c:v>24176.991161265243</c:v>
                </c:pt>
                <c:pt idx="95">
                  <c:v>24739.357659010682</c:v>
                </c:pt>
                <c:pt idx="96">
                  <c:v>25348.334759654146</c:v>
                </c:pt>
                <c:pt idx="97">
                  <c:v>25992.437807244867</c:v>
                </c:pt>
                <c:pt idx="98">
                  <c:v>26664.110603452089</c:v>
                </c:pt>
                <c:pt idx="99">
                  <c:v>27358.035704522823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EB92-4398-90F9-0635F73C17C7}"/>
            </c:ext>
          </c:extLst>
        </c:ser>
        <c:ser>
          <c:idx val="80"/>
          <c:order val="80"/>
          <c:tx>
            <c:strRef>
              <c:f>RPlot!$EP$83</c:f>
              <c:strCache>
                <c:ptCount val="1"/>
                <c:pt idx="0">
                  <c:v>15y 33d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RPlot!$AT$83:$EO$83</c:f>
              <c:numCache>
                <c:formatCode>0</c:formatCode>
                <c:ptCount val="100"/>
                <c:pt idx="0">
                  <c:v>29388.705247211292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29699.923102501907</c:v>
                </c:pt>
                <c:pt idx="62">
                  <c:v>28834.994572049753</c:v>
                </c:pt>
                <c:pt idx="63">
                  <c:v>27992.827029486598</c:v>
                </c:pt>
                <c:pt idx="64">
                  <c:v>27175.154946174524</c:v>
                </c:pt>
                <c:pt idx="65">
                  <c:v>26383.891339251168</c:v>
                </c:pt>
                <c:pt idx="66">
                  <c:v>25621.15781642553</c:v>
                </c:pt>
                <c:pt idx="67">
                  <c:v>24889.316757053566</c:v>
                </c:pt>
                <c:pt idx="68">
                  <c:v>24191.005754689875</c:v>
                </c:pt>
                <c:pt idx="69">
                  <c:v>23529.173975628248</c:v>
                </c:pt>
                <c:pt idx="70">
                  <c:v>22907.120554496425</c:v>
                </c:pt>
                <c:pt idx="71">
                  <c:v>22328.535023820485</c:v>
                </c:pt>
                <c:pt idx="72">
                  <c:v>21797.540442112804</c:v>
                </c:pt>
                <c:pt idx="73">
                  <c:v>21318.741466475421</c:v>
                </c:pt>
                <c:pt idx="74">
                  <c:v>20897.283723549001</c:v>
                </c:pt>
                <c:pt idx="75">
                  <c:v>20538.940773963895</c:v>
                </c:pt>
                <c:pt idx="76">
                  <c:v>20250.267758815346</c:v>
                </c:pt>
                <c:pt idx="77">
                  <c:v>20038.910612881908</c:v>
                </c:pt>
                <c:pt idx="78">
                  <c:v>19912.242966353591</c:v>
                </c:pt>
                <c:pt idx="79">
                  <c:v>19739.460925498879</c:v>
                </c:pt>
                <c:pt idx="80">
                  <c:v>19631.315225495393</c:v>
                </c:pt>
                <c:pt idx="81">
                  <c:v>19588.492777868054</c:v>
                </c:pt>
                <c:pt idx="82">
                  <c:v>19610.927836428968</c:v>
                </c:pt>
                <c:pt idx="83">
                  <c:v>19697.789011705499</c:v>
                </c:pt>
                <c:pt idx="84">
                  <c:v>19847.512524632115</c:v>
                </c:pt>
                <c:pt idx="85">
                  <c:v>20057.87723391828</c:v>
                </c:pt>
                <c:pt idx="86">
                  <c:v>20326.111697687531</c:v>
                </c:pt>
                <c:pt idx="87">
                  <c:v>20649.020413627244</c:v>
                </c:pt>
                <c:pt idx="88">
                  <c:v>21023.115905410446</c:v>
                </c:pt>
                <c:pt idx="89">
                  <c:v>21444.744968741292</c:v>
                </c:pt>
                <c:pt idx="90">
                  <c:v>21910.200686337892</c:v>
                </c:pt>
                <c:pt idx="91">
                  <c:v>22415.815146705885</c:v>
                </c:pt>
                <c:pt idx="92">
                  <c:v>22958.031277602277</c:v>
                </c:pt>
                <c:pt idx="93">
                  <c:v>23458.152568811623</c:v>
                </c:pt>
                <c:pt idx="94">
                  <c:v>23919.761593263411</c:v>
                </c:pt>
                <c:pt idx="95">
                  <c:v>24458.163627179973</c:v>
                </c:pt>
                <c:pt idx="96">
                  <c:v>25049.497461666066</c:v>
                </c:pt>
                <c:pt idx="97">
                  <c:v>25679.830283465672</c:v>
                </c:pt>
                <c:pt idx="98">
                  <c:v>26340.308271946124</c:v>
                </c:pt>
                <c:pt idx="99">
                  <c:v>27024.875592521326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EB92-4398-90F9-0635F73C17C7}"/>
            </c:ext>
          </c:extLst>
        </c:ser>
        <c:ser>
          <c:idx val="81"/>
          <c:order val="81"/>
          <c:tx>
            <c:strRef>
              <c:f>RPlot!$EP$84</c:f>
              <c:strCache>
                <c:ptCount val="1"/>
                <c:pt idx="0">
                  <c:v>15y 94d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RPlot!$AT$84:$EO$84</c:f>
              <c:numCache>
                <c:formatCode>0</c:formatCode>
                <c:ptCount val="100"/>
                <c:pt idx="0">
                  <c:v>29031.738247772271</c:v>
                </c:pt>
                <c:pt idx="1">
                  <c:v>29772.025751072968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29276.760341141515</c:v>
                </c:pt>
                <c:pt idx="63">
                  <c:v>28421.649535128716</c:v>
                </c:pt>
                <c:pt idx="64">
                  <c:v>27590.116149641999</c:v>
                </c:pt>
                <c:pt idx="65">
                  <c:v>26783.983736330018</c:v>
                </c:pt>
                <c:pt idx="66">
                  <c:v>26005.267309024799</c:v>
                </c:pt>
                <c:pt idx="67">
                  <c:v>25256.203621750326</c:v>
                </c:pt>
                <c:pt idx="68">
                  <c:v>24539.283416894548</c:v>
                </c:pt>
                <c:pt idx="69">
                  <c:v>23857.285231063848</c:v>
                </c:pt>
                <c:pt idx="70">
                  <c:v>23213.310700656122</c:v>
                </c:pt>
                <c:pt idx="71">
                  <c:v>22610.821086864096</c:v>
                </c:pt>
                <c:pt idx="72">
                  <c:v>22053.675105670052</c:v>
                </c:pt>
                <c:pt idx="73">
                  <c:v>21546.16904357692</c:v>
                </c:pt>
                <c:pt idx="74">
                  <c:v>21093.082614089075</c:v>
                </c:pt>
                <c:pt idx="75">
                  <c:v>20699.740187857657</c:v>
                </c:pt>
                <c:pt idx="76">
                  <c:v>20372.111540819533</c:v>
                </c:pt>
                <c:pt idx="77">
                  <c:v>20117.008617703628</c:v>
                </c:pt>
                <c:pt idx="78">
                  <c:v>19942.504008207059</c:v>
                </c:pt>
                <c:pt idx="79">
                  <c:v>19806.114511176795</c:v>
                </c:pt>
                <c:pt idx="80">
                  <c:v>19666.34578901056</c:v>
                </c:pt>
                <c:pt idx="81">
                  <c:v>19591.785756607907</c:v>
                </c:pt>
                <c:pt idx="82">
                  <c:v>19582.726829281033</c:v>
                </c:pt>
                <c:pt idx="83">
                  <c:v>19638.691893454059</c:v>
                </c:pt>
                <c:pt idx="84">
                  <c:v>19758.446069685015</c:v>
                </c:pt>
                <c:pt idx="85">
                  <c:v>19940.053434587142</c:v>
                </c:pt>
                <c:pt idx="86">
                  <c:v>20180.971172244073</c:v>
                </c:pt>
                <c:pt idx="87">
                  <c:v>20478.169344829825</c:v>
                </c:pt>
                <c:pt idx="88">
                  <c:v>20828.262737126795</c:v>
                </c:pt>
                <c:pt idx="89">
                  <c:v>21227.641996350798</c:v>
                </c:pt>
                <c:pt idx="90">
                  <c:v>21672.593921542659</c:v>
                </c:pt>
                <c:pt idx="91">
                  <c:v>22159.404228984051</c:v>
                </c:pt>
                <c:pt idx="92">
                  <c:v>22684.439671880351</c:v>
                </c:pt>
                <c:pt idx="93">
                  <c:v>23244.209156256889</c:v>
                </c:pt>
                <c:pt idx="94">
                  <c:v>23674.37567283793</c:v>
                </c:pt>
                <c:pt idx="95">
                  <c:v>24185.429457083268</c:v>
                </c:pt>
                <c:pt idx="96">
                  <c:v>24757.243463316001</c:v>
                </c:pt>
                <c:pt idx="97">
                  <c:v>25372.652059450116</c:v>
                </c:pt>
                <c:pt idx="98">
                  <c:v>26021.156848413335</c:v>
                </c:pt>
                <c:pt idx="99">
                  <c:v>26695.799024953769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EB92-4398-90F9-0635F73C17C7}"/>
            </c:ext>
          </c:extLst>
        </c:ser>
        <c:ser>
          <c:idx val="82"/>
          <c:order val="82"/>
          <c:tx>
            <c:strRef>
              <c:f>RPlot!$EP$85</c:f>
              <c:strCache>
                <c:ptCount val="1"/>
                <c:pt idx="0">
                  <c:v>15y 155d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RPlot!$AT$85:$EO$85</c:f>
              <c:numCache>
                <c:formatCode>0</c:formatCode>
                <c:ptCount val="100"/>
                <c:pt idx="0">
                  <c:v>28678.209938410506</c:v>
                </c:pt>
                <c:pt idx="1">
                  <c:v>29412.371207184246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29724.626759901763</c:v>
                </c:pt>
                <c:pt idx="63">
                  <c:v>28857.02894754248</c:v>
                </c:pt>
                <c:pt idx="64">
                  <c:v>28012.129294416114</c:v>
                </c:pt>
                <c:pt idx="65">
                  <c:v>27191.670686765581</c:v>
                </c:pt>
                <c:pt idx="66">
                  <c:v>26397.571498631547</c:v>
                </c:pt>
                <c:pt idx="67">
                  <c:v>25631.954324897644</c:v>
                </c:pt>
                <c:pt idx="68">
                  <c:v>24897.176232090402</c:v>
                </c:pt>
                <c:pt idx="69">
                  <c:v>24195.860499239563</c:v>
                </c:pt>
                <c:pt idx="70">
                  <c:v>23530.92941336221</c:v>
                </c:pt>
                <c:pt idx="71">
                  <c:v>22905.637740647366</c:v>
                </c:pt>
                <c:pt idx="72">
                  <c:v>22323.606565899179</c:v>
                </c:pt>
                <c:pt idx="73">
                  <c:v>21788.857665914205</c:v>
                </c:pt>
                <c:pt idx="74">
                  <c:v>21305.85002737277</c:v>
                </c:pt>
                <c:pt idx="75">
                  <c:v>20879.52389763797</c:v>
                </c:pt>
                <c:pt idx="76">
                  <c:v>20515.366882228605</c:v>
                </c:pt>
                <c:pt idx="77">
                  <c:v>20219.53740169368</c:v>
                </c:pt>
                <c:pt idx="78">
                  <c:v>19999.126031254109</c:v>
                </c:pt>
                <c:pt idx="79">
                  <c:v>19862.730595236288</c:v>
                </c:pt>
                <c:pt idx="80">
                  <c:v>19716.215537123258</c:v>
                </c:pt>
                <c:pt idx="81">
                  <c:v>19609.913250595637</c:v>
                </c:pt>
                <c:pt idx="82">
                  <c:v>19569.185244686523</c:v>
                </c:pt>
                <c:pt idx="83">
                  <c:v>19593.914690076857</c:v>
                </c:pt>
                <c:pt idx="84">
                  <c:v>19683.211461868577</c:v>
                </c:pt>
                <c:pt idx="85">
                  <c:v>19835.448604260051</c:v>
                </c:pt>
                <c:pt idx="86">
                  <c:v>20048.340733021192</c:v>
                </c:pt>
                <c:pt idx="87">
                  <c:v>20319.054204876182</c:v>
                </c:pt>
                <c:pt idx="88">
                  <c:v>20644.335880472972</c:v>
                </c:pt>
                <c:pt idx="89">
                  <c:v>21020.646950974042</c:v>
                </c:pt>
                <c:pt idx="90">
                  <c:v>21444.290180648681</c:v>
                </c:pt>
                <c:pt idx="91">
                  <c:v>21911.522159520318</c:v>
                </c:pt>
                <c:pt idx="92">
                  <c:v>22418.645804714022</c:v>
                </c:pt>
                <c:pt idx="93">
                  <c:v>22962.081532944772</c:v>
                </c:pt>
                <c:pt idx="94">
                  <c:v>23442.657255385537</c:v>
                </c:pt>
                <c:pt idx="95">
                  <c:v>23922.030228801836</c:v>
                </c:pt>
                <c:pt idx="96">
                  <c:v>24472.049588914342</c:v>
                </c:pt>
                <c:pt idx="97">
                  <c:v>25071.197377366429</c:v>
                </c:pt>
                <c:pt idx="98">
                  <c:v>25706.858783339747</c:v>
                </c:pt>
                <c:pt idx="99">
                  <c:v>26370.957381537566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EB92-4398-90F9-0635F73C17C7}"/>
            </c:ext>
          </c:extLst>
        </c:ser>
        <c:ser>
          <c:idx val="83"/>
          <c:order val="83"/>
          <c:tx>
            <c:strRef>
              <c:f>RPlot!$EP$86</c:f>
              <c:strCache>
                <c:ptCount val="1"/>
                <c:pt idx="0">
                  <c:v>15y 216d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RPlot!$AT$86:$EO$86</c:f>
              <c:numCache>
                <c:formatCode>0</c:formatCode>
                <c:ptCount val="100"/>
                <c:pt idx="0">
                  <c:v>28328.226454924599</c:v>
                </c:pt>
                <c:pt idx="1">
                  <c:v>29055.924464961674</c:v>
                </c:pt>
                <c:pt idx="2">
                  <c:v>29796.099858483878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29298.762215198021</c:v>
                </c:pt>
                <c:pt idx="64">
                  <c:v>28440.969233008418</c:v>
                </c:pt>
                <c:pt idx="65">
                  <c:v>27606.699999844568</c:v>
                </c:pt>
                <c:pt idx="66">
                  <c:v>26797.785489633126</c:v>
                </c:pt>
                <c:pt idx="67">
                  <c:v>26016.244548732277</c:v>
                </c:pt>
                <c:pt idx="68">
                  <c:v>25264.312536534431</c:v>
                </c:pt>
                <c:pt idx="69">
                  <c:v>24544.471272801216</c:v>
                </c:pt>
                <c:pt idx="70">
                  <c:v>23859.479802313464</c:v>
                </c:pt>
                <c:pt idx="71">
                  <c:v>23212.405473054532</c:v>
                </c:pt>
                <c:pt idx="72">
                  <c:v>22606.654773804206</c:v>
                </c:pt>
                <c:pt idx="73">
                  <c:v>22046.00357141779</c:v>
                </c:pt>
                <c:pt idx="74">
                  <c:v>21534.627182348384</c:v>
                </c:pt>
                <c:pt idx="75">
                  <c:v>21077.13296902414</c:v>
                </c:pt>
                <c:pt idx="76">
                  <c:v>20678.603810085799</c:v>
                </c:pt>
                <c:pt idx="77">
                  <c:v>20344.67401318482</c:v>
                </c:pt>
                <c:pt idx="78">
                  <c:v>20081.688522475932</c:v>
                </c:pt>
                <c:pt idx="79">
                  <c:v>19897.058637922131</c:v>
                </c:pt>
                <c:pt idx="80">
                  <c:v>19780.888921326416</c:v>
                </c:pt>
                <c:pt idx="81">
                  <c:v>19642.918582305982</c:v>
                </c:pt>
                <c:pt idx="82">
                  <c:v>19570.425669181805</c:v>
                </c:pt>
                <c:pt idx="83">
                  <c:v>19563.654684906571</c:v>
                </c:pt>
                <c:pt idx="84">
                  <c:v>19622.071675047038</c:v>
                </c:pt>
                <c:pt idx="85">
                  <c:v>19744.379065443623</c:v>
                </c:pt>
                <c:pt idx="86">
                  <c:v>19928.575813506402</c:v>
                </c:pt>
                <c:pt idx="87">
                  <c:v>20172.054890758598</c:v>
                </c:pt>
                <c:pt idx="88">
                  <c:v>20471.725904127139</c:v>
                </c:pt>
                <c:pt idx="89">
                  <c:v>20824.149064305966</c:v>
                </c:pt>
                <c:pt idx="90">
                  <c:v>21225.667627734401</c:v>
                </c:pt>
                <c:pt idx="91">
                  <c:v>21672.528727243105</c:v>
                </c:pt>
                <c:pt idx="92">
                  <c:v>22160.986074578173</c:v>
                </c:pt>
                <c:pt idx="93">
                  <c:v>22687.381531434756</c:v>
                </c:pt>
                <c:pt idx="94">
                  <c:v>23227.065777347947</c:v>
                </c:pt>
                <c:pt idx="95">
                  <c:v>23669.066955755941</c:v>
                </c:pt>
                <c:pt idx="96">
                  <c:v>24194.480036291283</c:v>
                </c:pt>
                <c:pt idx="97">
                  <c:v>24775.797821760138</c:v>
                </c:pt>
                <c:pt idx="98">
                  <c:v>25397.634903981751</c:v>
                </c:pt>
                <c:pt idx="99">
                  <c:v>26050.512918738765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EB92-4398-90F9-0635F73C17C7}"/>
            </c:ext>
          </c:extLst>
        </c:ser>
        <c:ser>
          <c:idx val="84"/>
          <c:order val="84"/>
          <c:tx>
            <c:strRef>
              <c:f>RPlot!$EP$87</c:f>
              <c:strCache>
                <c:ptCount val="1"/>
                <c:pt idx="0">
                  <c:v>15y 277d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RPlot!$AT$87:$EO$87</c:f>
              <c:numCache>
                <c:formatCode>0</c:formatCode>
                <c:ptCount val="100"/>
                <c:pt idx="0">
                  <c:v>27981.901390835428</c:v>
                </c:pt>
                <c:pt idx="1">
                  <c:v>28702.777296032924</c:v>
                </c:pt>
                <c:pt idx="2">
                  <c:v>29437.068178314454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29746.658945063951</c:v>
                </c:pt>
                <c:pt idx="64">
                  <c:v>28876.42572393845</c:v>
                </c:pt>
                <c:pt idx="65">
                  <c:v>28028.837059058926</c:v>
                </c:pt>
                <c:pt idx="66">
                  <c:v>27205.645027497423</c:v>
                </c:pt>
                <c:pt idx="67">
                  <c:v>26408.774326709539</c:v>
                </c:pt>
                <c:pt idx="68">
                  <c:v>25640.349503917816</c:v>
                </c:pt>
                <c:pt idx="69">
                  <c:v>24902.723376312359</c:v>
                </c:pt>
                <c:pt idx="70">
                  <c:v>24198.506128397916</c:v>
                </c:pt>
                <c:pt idx="71">
                  <c:v>23530.594508492366</c:v>
                </c:pt>
                <c:pt idx="72">
                  <c:v>22902.200415948428</c:v>
                </c:pt>
                <c:pt idx="73">
                  <c:v>22316.878184484467</c:v>
                </c:pt>
                <c:pt idx="74">
                  <c:v>21778.550246853883</c:v>
                </c:pt>
                <c:pt idx="75">
                  <c:v>21291.532158407674</c:v>
                </c:pt>
                <c:pt idx="76">
                  <c:v>20860.561401050938</c:v>
                </c:pt>
                <c:pt idx="77">
                  <c:v>20490.842687467994</c:v>
                </c:pt>
                <c:pt idx="78">
                  <c:v>20188.141263525249</c:v>
                </c:pt>
                <c:pt idx="79">
                  <c:v>19958.996268493509</c:v>
                </c:pt>
                <c:pt idx="80">
                  <c:v>19811.211489122456</c:v>
                </c:pt>
                <c:pt idx="81">
                  <c:v>19690.809731443522</c:v>
                </c:pt>
                <c:pt idx="82">
                  <c:v>19586.535749099759</c:v>
                </c:pt>
                <c:pt idx="83">
                  <c:v>19548.076931959436</c:v>
                </c:pt>
                <c:pt idx="84">
                  <c:v>19575.262129859264</c:v>
                </c:pt>
                <c:pt idx="85">
                  <c:v>19667.139638631616</c:v>
                </c:pt>
                <c:pt idx="86">
                  <c:v>19822.017064218766</c:v>
                </c:pt>
                <c:pt idx="87">
                  <c:v>20037.543215118119</c:v>
                </c:pt>
                <c:pt idx="88">
                  <c:v>20310.821422071775</c:v>
                </c:pt>
                <c:pt idx="89">
                  <c:v>20638.540790658029</c:v>
                </c:pt>
                <c:pt idx="90">
                  <c:v>21017.1117115577</c:v>
                </c:pt>
                <c:pt idx="91">
                  <c:v>21442.79392529749</c:v>
                </c:pt>
                <c:pt idx="92">
                  <c:v>21911.808960794111</c:v>
                </c:pt>
                <c:pt idx="93">
                  <c:v>22420.432213913147</c:v>
                </c:pt>
                <c:pt idx="94">
                  <c:v>22965.063435507145</c:v>
                </c:pt>
                <c:pt idx="95">
                  <c:v>23427.961973088073</c:v>
                </c:pt>
                <c:pt idx="96">
                  <c:v>23925.215091830822</c:v>
                </c:pt>
                <c:pt idx="97">
                  <c:v>24486.831081056702</c:v>
                </c:pt>
                <c:pt idx="98">
                  <c:v>25093.727038526602</c:v>
                </c:pt>
                <c:pt idx="99">
                  <c:v>25734.639552942564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EB92-4398-90F9-0635F73C17C7}"/>
            </c:ext>
          </c:extLst>
        </c:ser>
        <c:ser>
          <c:idx val="85"/>
          <c:order val="85"/>
          <c:tx>
            <c:strRef>
              <c:f>RPlot!$EP$88</c:f>
              <c:strCache>
                <c:ptCount val="1"/>
                <c:pt idx="0">
                  <c:v>15y 338d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RPlot!$AT$88:$EO$88</c:f>
              <c:numCache>
                <c:formatCode>0</c:formatCode>
                <c:ptCount val="100"/>
                <c:pt idx="0">
                  <c:v>27639.356365187261</c:v>
                </c:pt>
                <c:pt idx="1">
                  <c:v>28353.027605987358</c:v>
                </c:pt>
                <c:pt idx="2">
                  <c:v>29081.117089009273</c:v>
                </c:pt>
                <c:pt idx="3">
                  <c:v>29821.201910531483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29318.302254149043</c:v>
                </c:pt>
                <c:pt idx="65">
                  <c:v>28457.863379941722</c:v>
                </c:pt>
                <c:pt idx="66">
                  <c:v>27620.904850996358</c:v>
                </c:pt>
                <c:pt idx="67">
                  <c:v>26809.266060087444</c:v>
                </c:pt>
                <c:pt idx="68">
                  <c:v>26024.970721505975</c:v>
                </c:pt>
                <c:pt idx="69">
                  <c:v>25270.253960031197</c:v>
                </c:pt>
                <c:pt idx="70">
                  <c:v>24547.590021510227</c:v>
                </c:pt>
                <c:pt idx="71">
                  <c:v>23859.719979633788</c:v>
                </c:pt>
                <c:pt idx="72">
                  <c:v>23209.678642477076</c:v>
                </c:pt>
                <c:pt idx="73">
                  <c:v>22600.819758094935</c:v>
                </c:pt>
                <c:pt idx="74">
                  <c:v>22036.838731770746</c:v>
                </c:pt>
                <c:pt idx="75">
                  <c:v>21521.792747137726</c:v>
                </c:pt>
                <c:pt idx="76">
                  <c:v>21060.120218430198</c:v>
                </c:pt>
                <c:pt idx="77">
                  <c:v>20656.666632398734</c:v>
                </c:pt>
                <c:pt idx="78">
                  <c:v>20316.735748208484</c:v>
                </c:pt>
                <c:pt idx="79">
                  <c:v>20046.211296170222</c:v>
                </c:pt>
                <c:pt idx="80">
                  <c:v>19851.849744750078</c:v>
                </c:pt>
                <c:pt idx="81">
                  <c:v>19741.960960151351</c:v>
                </c:pt>
                <c:pt idx="82">
                  <c:v>19617.567951958677</c:v>
                </c:pt>
                <c:pt idx="83">
                  <c:v>19547.312970222614</c:v>
                </c:pt>
                <c:pt idx="84">
                  <c:v>19542.988560740392</c:v>
                </c:pt>
                <c:pt idx="85">
                  <c:v>19604.00096281584</c:v>
                </c:pt>
                <c:pt idx="86">
                  <c:v>19728.987462605088</c:v>
                </c:pt>
                <c:pt idx="87">
                  <c:v>19915.880115503482</c:v>
                </c:pt>
                <c:pt idx="88">
                  <c:v>20162.006629981799</c:v>
                </c:pt>
                <c:pt idx="89">
                  <c:v>20464.215837336484</c:v>
                </c:pt>
                <c:pt idx="90">
                  <c:v>20819.013711026964</c:v>
                </c:pt>
                <c:pt idx="91">
                  <c:v>21222.697013069381</c:v>
                </c:pt>
                <c:pt idx="92">
                  <c:v>21671.474542553555</c:v>
                </c:pt>
                <c:pt idx="93">
                  <c:v>22161.56961129083</c:v>
                </c:pt>
                <c:pt idx="94">
                  <c:v>22689.301014081673</c:v>
                </c:pt>
                <c:pt idx="95">
                  <c:v>23200.609142096393</c:v>
                </c:pt>
                <c:pt idx="96">
                  <c:v>23665.09355180939</c:v>
                </c:pt>
                <c:pt idx="97">
                  <c:v>24204.733097310716</c:v>
                </c:pt>
                <c:pt idx="98">
                  <c:v>24795.401361299762</c:v>
                </c:pt>
                <c:pt idx="99">
                  <c:v>25423.523708750035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EB92-4398-90F9-0635F73C17C7}"/>
            </c:ext>
          </c:extLst>
        </c:ser>
        <c:ser>
          <c:idx val="86"/>
          <c:order val="86"/>
          <c:tx>
            <c:strRef>
              <c:f>RPlot!$EP$89</c:f>
              <c:strCache>
                <c:ptCount val="1"/>
                <c:pt idx="0">
                  <c:v>16y 34d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RPlot!$AT$89:$EO$89</c:f>
              <c:numCache>
                <c:formatCode>0</c:formatCode>
                <c:ptCount val="100"/>
                <c:pt idx="0">
                  <c:v>27300.721629111526</c:v>
                </c:pt>
                <c:pt idx="1">
                  <c:v>28006.779821977019</c:v>
                </c:pt>
                <c:pt idx="2">
                  <c:v>28728.332421823554</c:v>
                </c:pt>
                <c:pt idx="3">
                  <c:v>29462.764549877837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29766.414874898215</c:v>
                </c:pt>
                <c:pt idx="65">
                  <c:v>28893.575327467686</c:v>
                </c:pt>
                <c:pt idx="66">
                  <c:v>28043.337168852573</c:v>
                </c:pt>
                <c:pt idx="67">
                  <c:v>27217.462701323435</c:v>
                </c:pt>
                <c:pt idx="68">
                  <c:v>26417.883991049341</c:v>
                </c:pt>
                <c:pt idx="69">
                  <c:v>25646.7287976097</c:v>
                </c:pt>
                <c:pt idx="70">
                  <c:v>24906.347111186478</c:v>
                </c:pt>
                <c:pt idx="71">
                  <c:v>24199.33766576698</c:v>
                </c:pt>
                <c:pt idx="72">
                  <c:v>23528.573592424269</c:v>
                </c:pt>
                <c:pt idx="73">
                  <c:v>22897.226195592142</c:v>
                </c:pt>
                <c:pt idx="74">
                  <c:v>22308.785775866785</c:v>
                </c:pt>
                <c:pt idx="75">
                  <c:v>21767.078709720423</c:v>
                </c:pt>
                <c:pt idx="76">
                  <c:v>21276.281134875004</c:v>
                </c:pt>
                <c:pt idx="77">
                  <c:v>20840.932695232696</c:v>
                </c:pt>
                <c:pt idx="78">
                  <c:v>20465.96125896553</c:v>
                </c:pt>
                <c:pt idx="79">
                  <c:v>20156.746255137616</c:v>
                </c:pt>
                <c:pt idx="80">
                  <c:v>19919.284128132102</c:v>
                </c:pt>
                <c:pt idx="81">
                  <c:v>19760.594447967189</c:v>
                </c:pt>
                <c:pt idx="82">
                  <c:v>19663.539824422045</c:v>
                </c:pt>
                <c:pt idx="83">
                  <c:v>19561.45999228799</c:v>
                </c:pt>
                <c:pt idx="84">
                  <c:v>19525.425230347999</c:v>
                </c:pt>
                <c:pt idx="85">
                  <c:v>19555.207017297726</c:v>
                </c:pt>
                <c:pt idx="86">
                  <c:v>19649.789471016418</c:v>
                </c:pt>
                <c:pt idx="87">
                  <c:v>19807.4127769675</c:v>
                </c:pt>
                <c:pt idx="88">
                  <c:v>20025.658668108335</c:v>
                </c:pt>
                <c:pt idx="89">
                  <c:v>20301.566918003027</c:v>
                </c:pt>
                <c:pt idx="90">
                  <c:v>20631.769038025461</c:v>
                </c:pt>
                <c:pt idx="91">
                  <c:v>21012.625352429859</c:v>
                </c:pt>
                <c:pt idx="92">
                  <c:v>21440.353826063609</c:v>
                </c:pt>
                <c:pt idx="93">
                  <c:v>21911.142465895515</c:v>
                </c:pt>
                <c:pt idx="94">
                  <c:v>22421.240942961482</c:v>
                </c:pt>
                <c:pt idx="95">
                  <c:v>22967.030237644773</c:v>
                </c:pt>
                <c:pt idx="96">
                  <c:v>23415.177238809792</c:v>
                </c:pt>
                <c:pt idx="97">
                  <c:v>23930.015364244689</c:v>
                </c:pt>
                <c:pt idx="98">
                  <c:v>24502.952774071582</c:v>
                </c:pt>
                <c:pt idx="99">
                  <c:v>25117.365248892052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EB92-4398-90F9-0635F73C17C7}"/>
            </c:ext>
          </c:extLst>
        </c:ser>
        <c:ser>
          <c:idx val="87"/>
          <c:order val="87"/>
          <c:tx>
            <c:strRef>
              <c:f>RPlot!$EP$90</c:f>
              <c:strCache>
                <c:ptCount val="1"/>
                <c:pt idx="0">
                  <c:v>16y 94d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RPlot!$AT$90:$EO$90</c:f>
              <c:numCache>
                <c:formatCode>0</c:formatCode>
                <c:ptCount val="100"/>
                <c:pt idx="0">
                  <c:v>26966.136710037485</c:v>
                </c:pt>
                <c:pt idx="1">
                  <c:v>27664.145261295576</c:v>
                </c:pt>
                <c:pt idx="2">
                  <c:v>28378.805619913477</c:v>
                </c:pt>
                <c:pt idx="3">
                  <c:v>29107.28616499859</c:v>
                </c:pt>
                <c:pt idx="4">
                  <c:v>29847.276824989403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29335.78290309486</c:v>
                </c:pt>
                <c:pt idx="66">
                  <c:v>28472.730246301126</c:v>
                </c:pt>
                <c:pt idx="67">
                  <c:v>27633.126083863011</c:v>
                </c:pt>
                <c:pt idx="68">
                  <c:v>26818.81932585522</c:v>
                </c:pt>
                <c:pt idx="69">
                  <c:v>26031.839847798652</c:v>
                </c:pt>
                <c:pt idx="70">
                  <c:v>25274.424013909447</c:v>
                </c:pt>
                <c:pt idx="71">
                  <c:v>24549.040216051391</c:v>
                </c:pt>
                <c:pt idx="72">
                  <c:v>23858.413588620373</c:v>
                </c:pt>
                <c:pt idx="73">
                  <c:v>23205.54883005275</c:v>
                </c:pt>
                <c:pt idx="74">
                  <c:v>22593.749890195995</c:v>
                </c:pt>
                <c:pt idx="75">
                  <c:v>22026.635315941268</c:v>
                </c:pt>
                <c:pt idx="76">
                  <c:v>21508.148612303281</c:v>
                </c:pt>
                <c:pt idx="77">
                  <c:v>21042.564787678857</c:v>
                </c:pt>
                <c:pt idx="78">
                  <c:v>20634.498849240059</c:v>
                </c:pt>
                <c:pt idx="79">
                  <c:v>20288.932600058033</c:v>
                </c:pt>
                <c:pt idx="80">
                  <c:v>20011.299120484065</c:v>
                </c:pt>
                <c:pt idx="81">
                  <c:v>19807.712723657685</c:v>
                </c:pt>
                <c:pt idx="82">
                  <c:v>19685.533467210334</c:v>
                </c:pt>
                <c:pt idx="83">
                  <c:v>19590.580493097554</c:v>
                </c:pt>
                <c:pt idx="84">
                  <c:v>19522.713544508653</c:v>
                </c:pt>
                <c:pt idx="85">
                  <c:v>19520.972912063935</c:v>
                </c:pt>
                <c:pt idx="86">
                  <c:v>19584.702309044966</c:v>
                </c:pt>
                <c:pt idx="87">
                  <c:v>19712.471723821349</c:v>
                </c:pt>
                <c:pt idx="88">
                  <c:v>19902.144836488991</c:v>
                </c:pt>
                <c:pt idx="89">
                  <c:v>20150.983353504595</c:v>
                </c:pt>
                <c:pt idx="90">
                  <c:v>20455.775299599889</c:v>
                </c:pt>
                <c:pt idx="91">
                  <c:v>20812.973005618191</c:v>
                </c:pt>
                <c:pt idx="92">
                  <c:v>21218.827861201782</c:v>
                </c:pt>
                <c:pt idx="93">
                  <c:v>21669.511803251695</c:v>
                </c:pt>
                <c:pt idx="94">
                  <c:v>22161.219504235436</c:v>
                </c:pt>
                <c:pt idx="95">
                  <c:v>22690.248578517738</c:v>
                </c:pt>
                <c:pt idx="96">
                  <c:v>23176.852339941615</c:v>
                </c:pt>
                <c:pt idx="97">
                  <c:v>23663.290258836809</c:v>
                </c:pt>
                <c:pt idx="98">
                  <c:v>24216.710812419806</c:v>
                </c:pt>
                <c:pt idx="99">
                  <c:v>24816.378511305666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EB92-4398-90F9-0635F73C17C7}"/>
            </c:ext>
          </c:extLst>
        </c:ser>
        <c:ser>
          <c:idx val="88"/>
          <c:order val="88"/>
          <c:tx>
            <c:strRef>
              <c:f>RPlot!$EP$91</c:f>
              <c:strCache>
                <c:ptCount val="1"/>
                <c:pt idx="0">
                  <c:v>16y 155d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RPlot!$AT$91:$EO$91</c:f>
              <c:numCache>
                <c:formatCode>0</c:formatCode>
                <c:ptCount val="100"/>
                <c:pt idx="0">
                  <c:v>26635.751082649134</c:v>
                </c:pt>
                <c:pt idx="1">
                  <c:v>27325.242517872386</c:v>
                </c:pt>
                <c:pt idx="2">
                  <c:v>28032.634030152538</c:v>
                </c:pt>
                <c:pt idx="3">
                  <c:v>28754.848199873009</c:v>
                </c:pt>
                <c:pt idx="4">
                  <c:v>29489.405362185633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29784.308605904473</c:v>
                </c:pt>
                <c:pt idx="66">
                  <c:v>28908.887088872591</c:v>
                </c:pt>
                <c:pt idx="67">
                  <c:v>28056.035380568363</c:v>
                </c:pt>
                <c:pt idx="68">
                  <c:v>27227.52711928379</c:v>
                </c:pt>
                <c:pt idx="69">
                  <c:v>26425.303045807639</c:v>
                </c:pt>
                <c:pt idx="70">
                  <c:v>25651.495629306104</c:v>
                </c:pt>
                <c:pt idx="71">
                  <c:v>24908.45379013913</c:v>
                </c:pt>
                <c:pt idx="72">
                  <c:v>24198.766902045791</c:v>
                </c:pt>
                <c:pt idx="73">
                  <c:v>23525.286998517538</c:v>
                </c:pt>
                <c:pt idx="74">
                  <c:v>22891.147865225121</c:v>
                </c:pt>
                <c:pt idx="75">
                  <c:v>22299.77956933594</c:v>
                </c:pt>
                <c:pt idx="76">
                  <c:v>21754.917171369663</c:v>
                </c:pt>
                <c:pt idx="77">
                  <c:v>21260.603349150952</c:v>
                </c:pt>
                <c:pt idx="78">
                  <c:v>20821.187426541728</c:v>
                </c:pt>
                <c:pt idx="79">
                  <c:v>20441.329913801423</c:v>
                </c:pt>
                <c:pt idx="80">
                  <c:v>20126.036338911777</c:v>
                </c:pt>
                <c:pt idx="81">
                  <c:v>19880.775260342227</c:v>
                </c:pt>
                <c:pt idx="82">
                  <c:v>19711.800092074693</c:v>
                </c:pt>
                <c:pt idx="83">
                  <c:v>19626.931411850866</c:v>
                </c:pt>
                <c:pt idx="84">
                  <c:v>19534.961118100997</c:v>
                </c:pt>
                <c:pt idx="85">
                  <c:v>19501.483018147275</c:v>
                </c:pt>
                <c:pt idx="86">
                  <c:v>19533.979418117378</c:v>
                </c:pt>
                <c:pt idx="87">
                  <c:v>19631.36794951676</c:v>
                </c:pt>
                <c:pt idx="88">
                  <c:v>19791.819720629344</c:v>
                </c:pt>
                <c:pt idx="89">
                  <c:v>20012.848445015657</c:v>
                </c:pt>
                <c:pt idx="90">
                  <c:v>20291.430119902747</c:v>
                </c:pt>
                <c:pt idx="91">
                  <c:v>20624.13909712137</c:v>
                </c:pt>
                <c:pt idx="92">
                  <c:v>21007.286642146926</c:v>
                </c:pt>
                <c:pt idx="93">
                  <c:v>21437.050323749132</c:v>
                </c:pt>
                <c:pt idx="94">
                  <c:v>21909.58634729878</c:v>
                </c:pt>
                <c:pt idx="95">
                  <c:v>22421.120528921692</c:v>
                </c:pt>
                <c:pt idx="96">
                  <c:v>22951.994488475153</c:v>
                </c:pt>
                <c:pt idx="97">
                  <c:v>23405.309286331867</c:v>
                </c:pt>
                <c:pt idx="98">
                  <c:v>23937.047857458827</c:v>
                </c:pt>
                <c:pt idx="99">
                  <c:v>24520.793493620706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EB92-4398-90F9-0635F73C17C7}"/>
            </c:ext>
          </c:extLst>
        </c:ser>
        <c:ser>
          <c:idx val="89"/>
          <c:order val="89"/>
          <c:tx>
            <c:strRef>
              <c:f>RPlot!$EP$92</c:f>
              <c:strCache>
                <c:ptCount val="1"/>
                <c:pt idx="0">
                  <c:v>16y 216d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RPlot!$AT$92:$EO$92</c:f>
              <c:numCache>
                <c:formatCode>0</c:formatCode>
                <c:ptCount val="100"/>
                <c:pt idx="0">
                  <c:v>26309.724916503121</c:v>
                </c:pt>
                <c:pt idx="1">
                  <c:v>26990.197798627421</c:v>
                </c:pt>
                <c:pt idx="2">
                  <c:v>27689.921173206021</c:v>
                </c:pt>
                <c:pt idx="3">
                  <c:v>28405.537463104036</c:v>
                </c:pt>
                <c:pt idx="4">
                  <c:v>29134.377782602009</c:v>
                </c:pt>
                <c:pt idx="5">
                  <c:v>29874.246750457765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29351.624212267689</c:v>
                </c:pt>
                <c:pt idx="67">
                  <c:v>28485.985675321343</c:v>
                </c:pt>
                <c:pt idx="68">
                  <c:v>27643.776463202077</c:v>
                </c:pt>
                <c:pt idx="69">
                  <c:v>26826.856294629495</c:v>
                </c:pt>
                <c:pt idx="70">
                  <c:v>26037.262704259476</c:v>
                </c:pt>
                <c:pt idx="71">
                  <c:v>25277.235059266735</c:v>
                </c:pt>
                <c:pt idx="72">
                  <c:v>24549.238004218649</c:v>
                </c:pt>
                <c:pt idx="73">
                  <c:v>23855.983286543109</c:v>
                </c:pt>
                <c:pt idx="74">
                  <c:v>23200.448628839691</c:v>
                </c:pt>
                <c:pt idx="75">
                  <c:v>22585.892077681099</c:v>
                </c:pt>
                <c:pt idx="76">
                  <c:v>22015.860213595392</c:v>
                </c:pt>
                <c:pt idx="77">
                  <c:v>21494.189057892956</c:v>
                </c:pt>
                <c:pt idx="78">
                  <c:v>21024.998099751814</c:v>
                </c:pt>
                <c:pt idx="79">
                  <c:v>20612.681928218153</c:v>
                </c:pt>
                <c:pt idx="80">
                  <c:v>20261.913212791711</c:v>
                </c:pt>
                <c:pt idx="81">
                  <c:v>19977.690659192318</c:v>
                </c:pt>
                <c:pt idx="82">
                  <c:v>19765.506974016876</c:v>
                </c:pt>
                <c:pt idx="83">
                  <c:v>19631.797873319076</c:v>
                </c:pt>
                <c:pt idx="84">
                  <c:v>19562.241285796739</c:v>
                </c:pt>
                <c:pt idx="85">
                  <c:v>19496.889456488392</c:v>
                </c:pt>
                <c:pt idx="86">
                  <c:v>19497.846147667384</c:v>
                </c:pt>
                <c:pt idx="87">
                  <c:v>19564.390119282481</c:v>
                </c:pt>
                <c:pt idx="88">
                  <c:v>19695.022237343463</c:v>
                </c:pt>
                <c:pt idx="89">
                  <c:v>19887.536674822943</c:v>
                </c:pt>
                <c:pt idx="90">
                  <c:v>20139.128730696419</c:v>
                </c:pt>
                <c:pt idx="91">
                  <c:v>20446.52589596072</c:v>
                </c:pt>
                <c:pt idx="92">
                  <c:v>20806.127731311073</c:v>
                </c:pt>
                <c:pt idx="93">
                  <c:v>21214.141548161071</c:v>
                </c:pt>
                <c:pt idx="94">
                  <c:v>21666.704088530587</c:v>
                </c:pt>
                <c:pt idx="95">
                  <c:v>22159.983231765018</c:v>
                </c:pt>
                <c:pt idx="96">
                  <c:v>22690.257350437576</c:v>
                </c:pt>
                <c:pt idx="97">
                  <c:v>23157.022789452923</c:v>
                </c:pt>
                <c:pt idx="98">
                  <c:v>23664.390904733933</c:v>
                </c:pt>
                <c:pt idx="99">
                  <c:v>24230.857249480319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EB92-4398-90F9-0635F73C17C7}"/>
            </c:ext>
          </c:extLst>
        </c:ser>
        <c:ser>
          <c:idx val="90"/>
          <c:order val="90"/>
          <c:tx>
            <c:strRef>
              <c:f>RPlot!$EP$93</c:f>
              <c:strCache>
                <c:ptCount val="1"/>
                <c:pt idx="0">
                  <c:v>16y 277d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RPlot!$AT$93:$EO$93</c:f>
              <c:numCache>
                <c:formatCode>0</c:formatCode>
                <c:ptCount val="100"/>
                <c:pt idx="0">
                  <c:v>25988.229835449092</c:v>
                </c:pt>
                <c:pt idx="1">
                  <c:v>26659.145236724005</c:v>
                </c:pt>
                <c:pt idx="2">
                  <c:v>27350.776980076062</c:v>
                </c:pt>
                <c:pt idx="3">
                  <c:v>28059.446376345451</c:v>
                </c:pt>
                <c:pt idx="4">
                  <c:v>28782.272729390188</c:v>
                </c:pt>
                <c:pt idx="5">
                  <c:v>29516.912361272793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29800.770488515573</c:v>
                </c:pt>
                <c:pt idx="67">
                  <c:v>28922.786634286058</c:v>
                </c:pt>
                <c:pt idx="68">
                  <c:v>28067.353597725767</c:v>
                </c:pt>
                <c:pt idx="69">
                  <c:v>27236.257630569256</c:v>
                </c:pt>
                <c:pt idx="70">
                  <c:v>26431.449629527284</c:v>
                </c:pt>
                <c:pt idx="71">
                  <c:v>25655.068519063963</c:v>
                </c:pt>
                <c:pt idx="72">
                  <c:v>24909.464239507866</c:v>
                </c:pt>
                <c:pt idx="73">
                  <c:v>24197.219343795688</c:v>
                </c:pt>
                <c:pt idx="74">
                  <c:v>23521.167897379284</c:v>
                </c:pt>
                <c:pt idx="75">
                  <c:v>22884.410073580035</c:v>
                </c:pt>
                <c:pt idx="76">
                  <c:v>22290.320636717086</c:v>
                </c:pt>
                <c:pt idx="77">
                  <c:v>21742.549610535381</c:v>
                </c:pt>
                <c:pt idx="78">
                  <c:v>21245.014260701973</c:v>
                </c:pt>
                <c:pt idx="79">
                  <c:v>20801.883942790439</c:v>
                </c:pt>
                <c:pt idx="80">
                  <c:v>20417.565139355313</c:v>
                </c:pt>
                <c:pt idx="81">
                  <c:v>20096.706631376725</c:v>
                </c:pt>
                <c:pt idx="82">
                  <c:v>19844.271179189076</c:v>
                </c:pt>
                <c:pt idx="83">
                  <c:v>19665.774374375695</c:v>
                </c:pt>
                <c:pt idx="84">
                  <c:v>19567.906400778138</c:v>
                </c:pt>
                <c:pt idx="85">
                  <c:v>19507.311063811972</c:v>
                </c:pt>
                <c:pt idx="86">
                  <c:v>19476.497804569233</c:v>
                </c:pt>
                <c:pt idx="87">
                  <c:v>19511.801971504065</c:v>
                </c:pt>
                <c:pt idx="88">
                  <c:v>19612.072744665275</c:v>
                </c:pt>
                <c:pt idx="89">
                  <c:v>19775.410841688656</c:v>
                </c:pt>
                <c:pt idx="90">
                  <c:v>19999.261379921565</c:v>
                </c:pt>
                <c:pt idx="91">
                  <c:v>20280.536688495435</c:v>
                </c:pt>
                <c:pt idx="92">
                  <c:v>20615.754689556561</c:v>
                </c:pt>
                <c:pt idx="93">
                  <c:v>21001.178792168193</c:v>
                </c:pt>
                <c:pt idx="94">
                  <c:v>21432.947777040394</c:v>
                </c:pt>
                <c:pt idx="95">
                  <c:v>21907.187863627118</c:v>
                </c:pt>
                <c:pt idx="96">
                  <c:v>22420.102948015752</c:v>
                </c:pt>
                <c:pt idx="97">
                  <c:v>22919.676729173159</c:v>
                </c:pt>
                <c:pt idx="98">
                  <c:v>23399.239072820259</c:v>
                </c:pt>
                <c:pt idx="99">
                  <c:v>23946.835601740506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EB92-4398-90F9-0635F73C17C7}"/>
            </c:ext>
          </c:extLst>
        </c:ser>
        <c:ser>
          <c:idx val="91"/>
          <c:order val="91"/>
          <c:tx>
            <c:strRef>
              <c:f>RPlot!$EP$94</c:f>
              <c:strCache>
                <c:ptCount val="1"/>
                <c:pt idx="0">
                  <c:v>16y 338d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RPlot!$AT$94:$EO$94</c:f>
              <c:numCache>
                <c:formatCode>0</c:formatCode>
                <c:ptCount val="100"/>
                <c:pt idx="0">
                  <c:v>25671.44976314775</c:v>
                </c:pt>
                <c:pt idx="1">
                  <c:v>26332.227146092984</c:v>
                </c:pt>
                <c:pt idx="2">
                  <c:v>27015.317979577638</c:v>
                </c:pt>
                <c:pt idx="3">
                  <c:v>27716.673222461777</c:v>
                </c:pt>
                <c:pt idx="4">
                  <c:v>28433.174217186901</c:v>
                </c:pt>
                <c:pt idx="5">
                  <c:v>29162.31401650919</c:v>
                </c:pt>
                <c:pt idx="6">
                  <c:v>29902.011395932393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29366.261265005091</c:v>
                </c:pt>
                <c:pt idx="68">
                  <c:v>28498.060475991362</c:v>
                </c:pt>
                <c:pt idx="69">
                  <c:v>27653.283540643879</c:v>
                </c:pt>
                <c:pt idx="70">
                  <c:v>26833.80243820318</c:v>
                </c:pt>
                <c:pt idx="71">
                  <c:v>26041.664072063701</c:v>
                </c:pt>
                <c:pt idx="72">
                  <c:v>25279.112859578468</c:v>
                </c:pt>
                <c:pt idx="73">
                  <c:v>24548.612188964129</c:v>
                </c:pt>
                <c:pt idx="74">
                  <c:v>23852.863496908307</c:v>
                </c:pt>
                <c:pt idx="75">
                  <c:v>23194.821380748203</c:v>
                </c:pt>
                <c:pt idx="76">
                  <c:v>22577.70286065033</c:v>
                </c:pt>
                <c:pt idx="77">
                  <c:v>22004.988787512815</c:v>
                </c:pt>
                <c:pt idx="78">
                  <c:v>21480.415733014204</c:v>
                </c:pt>
                <c:pt idx="79">
                  <c:v>21007.958065976476</c:v>
                </c:pt>
                <c:pt idx="80">
                  <c:v>20591.803442551842</c:v>
                </c:pt>
                <c:pt idx="81">
                  <c:v>20236.332957689359</c:v>
                </c:pt>
                <c:pt idx="82">
                  <c:v>19946.133763438287</c:v>
                </c:pt>
                <c:pt idx="83">
                  <c:v>19726.106810461439</c:v>
                </c:pt>
                <c:pt idx="84">
                  <c:v>19581.802912261061</c:v>
                </c:pt>
                <c:pt idx="85">
                  <c:v>19520.275678241851</c:v>
                </c:pt>
                <c:pt idx="86">
                  <c:v>19470.098036928819</c:v>
                </c:pt>
                <c:pt idx="87">
                  <c:v>19473.839929506659</c:v>
                </c:pt>
                <c:pt idx="88">
                  <c:v>19543.270187073453</c:v>
                </c:pt>
                <c:pt idx="89">
                  <c:v>19676.819087593922</c:v>
                </c:pt>
                <c:pt idx="90">
                  <c:v>19872.210547555442</c:v>
                </c:pt>
                <c:pt idx="91">
                  <c:v>20126.573404874351</c:v>
                </c:pt>
                <c:pt idx="92">
                  <c:v>20436.575205015401</c:v>
                </c:pt>
                <c:pt idx="93">
                  <c:v>20798.56385072902</c:v>
                </c:pt>
                <c:pt idx="94">
                  <c:v>21208.704104294815</c:v>
                </c:pt>
                <c:pt idx="95">
                  <c:v>21663.099297853823</c:v>
                </c:pt>
                <c:pt idx="96">
                  <c:v>22157.892444394369</c:v>
                </c:pt>
                <c:pt idx="97">
                  <c:v>22689.344674698066</c:v>
                </c:pt>
                <c:pt idx="98">
                  <c:v>23142.190514456299</c:v>
                </c:pt>
                <c:pt idx="99">
                  <c:v>23669.015346826036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EB92-4398-90F9-0635F73C17C7}"/>
            </c:ext>
          </c:extLst>
        </c:ser>
        <c:ser>
          <c:idx val="92"/>
          <c:order val="92"/>
          <c:tx>
            <c:strRef>
              <c:f>RPlot!$EP$95</c:f>
              <c:strCache>
                <c:ptCount val="1"/>
                <c:pt idx="0">
                  <c:v>17y 34d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RPlot!$AT$95:$EO$95</c:f>
              <c:numCache>
                <c:formatCode>0</c:formatCode>
                <c:ptCount val="100"/>
                <c:pt idx="0">
                  <c:v>25359.581835389326</c:v>
                </c:pt>
                <c:pt idx="1">
                  <c:v>26009.594192926088</c:v>
                </c:pt>
                <c:pt idx="2">
                  <c:v>26683.667416278873</c:v>
                </c:pt>
                <c:pt idx="3">
                  <c:v>27377.322352298565</c:v>
                </c:pt>
                <c:pt idx="4">
                  <c:v>28087.171927576841</c:v>
                </c:pt>
                <c:pt idx="5">
                  <c:v>28810.529137914469</c:v>
                </c:pt>
                <c:pt idx="6">
                  <c:v>29545.184239832131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29816.244752914543</c:v>
                </c:pt>
                <c:pt idx="68">
                  <c:v>28935.713429786851</c:v>
                </c:pt>
                <c:pt idx="69">
                  <c:v>28077.727412424996</c:v>
                </c:pt>
                <c:pt idx="70">
                  <c:v>27244.08697941589</c:v>
                </c:pt>
                <c:pt idx="71">
                  <c:v>26436.754843564857</c:v>
                </c:pt>
                <c:pt idx="72">
                  <c:v>25657.878370173741</c:v>
                </c:pt>
                <c:pt idx="73">
                  <c:v>24909.810935022258</c:v>
                </c:pt>
                <c:pt idx="74">
                  <c:v>24195.131255458422</c:v>
                </c:pt>
                <c:pt idx="75">
                  <c:v>23516.659171203377</c:v>
                </c:pt>
                <c:pt idx="76">
                  <c:v>22877.465993526021</c:v>
                </c:pt>
                <c:pt idx="77">
                  <c:v>22280.877276745901</c:v>
                </c:pt>
                <c:pt idx="78">
                  <c:v>21730.465886261994</c:v>
                </c:pt>
                <c:pt idx="79">
                  <c:v>21230.033921424991</c:v>
                </c:pt>
                <c:pt idx="80">
                  <c:v>20783.584134734396</c:v>
                </c:pt>
                <c:pt idx="81">
                  <c:v>20395.286500108461</c:v>
                </c:pt>
                <c:pt idx="82">
                  <c:v>20069.456009487476</c:v>
                </c:pt>
                <c:pt idx="83">
                  <c:v>19810.579950871637</c:v>
                </c:pt>
                <c:pt idx="84">
                  <c:v>19623.476740964339</c:v>
                </c:pt>
                <c:pt idx="85">
                  <c:v>19513.761525196533</c:v>
                </c:pt>
                <c:pt idx="86">
                  <c:v>19478.777655978516</c:v>
                </c:pt>
                <c:pt idx="87">
                  <c:v>19450.711022071333</c:v>
                </c:pt>
                <c:pt idx="88">
                  <c:v>19488.889406058875</c:v>
                </c:pt>
                <c:pt idx="89">
                  <c:v>19592.091937729179</c:v>
                </c:pt>
                <c:pt idx="90">
                  <c:v>19758.348040049703</c:v>
                </c:pt>
                <c:pt idx="91">
                  <c:v>19985.034019708881</c:v>
                </c:pt>
                <c:pt idx="92">
                  <c:v>20268.998987868643</c:v>
                </c:pt>
                <c:pt idx="93">
                  <c:v>20606.70544796596</c:v>
                </c:pt>
                <c:pt idx="94">
                  <c:v>20994.370404202371</c:v>
                </c:pt>
                <c:pt idx="95">
                  <c:v>21428.095597657808</c:v>
                </c:pt>
                <c:pt idx="96">
                  <c:v>21903.979176356181</c:v>
                </c:pt>
                <c:pt idx="97">
                  <c:v>22418.205125078646</c:v>
                </c:pt>
                <c:pt idx="98">
                  <c:v>22893.985537516506</c:v>
                </c:pt>
                <c:pt idx="99">
                  <c:v>23397.707246615464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EB92-4398-90F9-0635F73C17C7}"/>
            </c:ext>
          </c:extLst>
        </c:ser>
        <c:ser>
          <c:idx val="93"/>
          <c:order val="93"/>
          <c:tx>
            <c:strRef>
              <c:f>RPlot!$EP$96</c:f>
              <c:strCache>
                <c:ptCount val="1"/>
                <c:pt idx="0">
                  <c:v>17y 95d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RPlot!$AT$96:$EO$96</c:f>
              <c:numCache>
                <c:formatCode>0</c:formatCode>
                <c:ptCount val="100"/>
                <c:pt idx="0">
                  <c:v>25052.837409357409</c:v>
                </c:pt>
                <c:pt idx="1">
                  <c:v>25691.405447131245</c:v>
                </c:pt>
                <c:pt idx="2">
                  <c:v>26355.955271896826</c:v>
                </c:pt>
                <c:pt idx="3">
                  <c:v>27041.504349483177</c:v>
                </c:pt>
                <c:pt idx="4">
                  <c:v>27744.361500251602</c:v>
                </c:pt>
                <c:pt idx="5">
                  <c:v>28461.640800694426</c:v>
                </c:pt>
                <c:pt idx="6">
                  <c:v>29190.993089768388</c:v>
                </c:pt>
                <c:pt idx="7">
                  <c:v>29930.448530113677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29380.141923635787</c:v>
                </c:pt>
                <c:pt idx="69">
                  <c:v>28509.398099434511</c:v>
                </c:pt>
                <c:pt idx="70">
                  <c:v>27662.087244208997</c:v>
                </c:pt>
                <c:pt idx="71">
                  <c:v>26840.095199336392</c:v>
                </c:pt>
                <c:pt idx="72">
                  <c:v>26045.480147277201</c:v>
                </c:pt>
                <c:pt idx="73">
                  <c:v>25280.493876008142</c:v>
                </c:pt>
                <c:pt idx="74">
                  <c:v>24547.601383744088</c:v>
                </c:pt>
                <c:pt idx="75">
                  <c:v>23849.497391126184</c:v>
                </c:pt>
                <c:pt idx="76">
                  <c:v>23189.117938505751</c:v>
                </c:pt>
                <c:pt idx="77">
                  <c:v>22569.644890315511</c:v>
                </c:pt>
                <c:pt idx="78">
                  <c:v>21994.500979557532</c:v>
                </c:pt>
                <c:pt idx="79">
                  <c:v>21467.333262481712</c:v>
                </c:pt>
                <c:pt idx="80">
                  <c:v>20991.98400439183</c:v>
                </c:pt>
                <c:pt idx="81">
                  <c:v>20572.451093865064</c:v>
                </c:pt>
                <c:pt idx="82">
                  <c:v>20212.846597786796</c:v>
                </c:pt>
                <c:pt idx="83">
                  <c:v>19917.376194367469</c:v>
                </c:pt>
                <c:pt idx="84">
                  <c:v>19690.389555763715</c:v>
                </c:pt>
                <c:pt idx="85">
                  <c:v>19536.608351285038</c:v>
                </c:pt>
                <c:pt idx="86">
                  <c:v>19461.760831625004</c:v>
                </c:pt>
                <c:pt idx="87">
                  <c:v>19442.591162889632</c:v>
                </c:pt>
                <c:pt idx="88">
                  <c:v>19449.178664309115</c:v>
                </c:pt>
                <c:pt idx="89">
                  <c:v>19521.539396284323</c:v>
                </c:pt>
                <c:pt idx="90">
                  <c:v>19658.032000841009</c:v>
                </c:pt>
                <c:pt idx="91">
                  <c:v>19856.30977640492</c:v>
                </c:pt>
                <c:pt idx="92">
                  <c:v>20113.435414092055</c:v>
                </c:pt>
                <c:pt idx="93">
                  <c:v>20426.017419427837</c:v>
                </c:pt>
                <c:pt idx="94">
                  <c:v>20790.353403356599</c:v>
                </c:pt>
                <c:pt idx="95">
                  <c:v>21202.567295388228</c:v>
                </c:pt>
                <c:pt idx="96">
                  <c:v>21658.730913685551</c:v>
                </c:pt>
                <c:pt idx="97">
                  <c:v>22154.96442077159</c:v>
                </c:pt>
                <c:pt idx="98">
                  <c:v>22655.578770449807</c:v>
                </c:pt>
                <c:pt idx="99">
                  <c:v>23133.250325345623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EB92-4398-90F9-0635F73C17C7}"/>
            </c:ext>
          </c:extLst>
        </c:ser>
        <c:ser>
          <c:idx val="94"/>
          <c:order val="94"/>
          <c:tx>
            <c:strRef>
              <c:f>RPlot!$EP$97</c:f>
              <c:strCache>
                <c:ptCount val="1"/>
                <c:pt idx="0">
                  <c:v>17y 156d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RPlot!$AT$97:$EO$97</c:f>
              <c:numCache>
                <c:formatCode>0</c:formatCode>
                <c:ptCount val="100"/>
                <c:pt idx="0">
                  <c:v>24751.443204093746</c:v>
                </c:pt>
                <c:pt idx="1">
                  <c:v>25377.828262177925</c:v>
                </c:pt>
                <c:pt idx="2">
                  <c:v>26032.318154437591</c:v>
                </c:pt>
                <c:pt idx="3">
                  <c:v>26709.336136865131</c:v>
                </c:pt>
                <c:pt idx="4">
                  <c:v>27404.844818162223</c:v>
                </c:pt>
                <c:pt idx="5">
                  <c:v>28115.738124461976</c:v>
                </c:pt>
                <c:pt idx="6">
                  <c:v>28839.515712511067</c:v>
                </c:pt>
                <c:pt idx="7">
                  <c:v>29574.097098326045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29831.187386461319</c:v>
                </c:pt>
                <c:pt idx="69">
                  <c:v>28948.118587392499</c:v>
                </c:pt>
                <c:pt idx="70">
                  <c:v>28087.603823582427</c:v>
                </c:pt>
                <c:pt idx="71">
                  <c:v>27251.458937891832</c:v>
                </c:pt>
                <c:pt idx="72">
                  <c:v>26441.660285463593</c:v>
                </c:pt>
                <c:pt idx="73">
                  <c:v>25660.365884524497</c:v>
                </c:pt>
                <c:pt idx="74">
                  <c:v>24909.935274293173</c:v>
                </c:pt>
                <c:pt idx="75">
                  <c:v>24192.946755500358</c:v>
                </c:pt>
                <c:pt idx="76">
                  <c:v>23512.210288093374</c:v>
                </c:pt>
                <c:pt idx="77">
                  <c:v>22870.773912005679</c:v>
                </c:pt>
                <c:pt idx="78">
                  <c:v>22271.92123339132</c:v>
                </c:pt>
                <c:pt idx="79">
                  <c:v>21719.157461365616</c:v>
                </c:pt>
                <c:pt idx="80">
                  <c:v>21216.182021787456</c:v>
                </c:pt>
                <c:pt idx="81">
                  <c:v>20766.847598591972</c:v>
                </c:pt>
                <c:pt idx="82">
                  <c:v>20375.109473936136</c:v>
                </c:pt>
                <c:pt idx="83">
                  <c:v>20044.978048907731</c:v>
                </c:pt>
                <c:pt idx="84">
                  <c:v>19780.504528916237</c:v>
                </c:pt>
                <c:pt idx="85">
                  <c:v>19585.864535056186</c:v>
                </c:pt>
                <c:pt idx="86">
                  <c:v>19465.675862384876</c:v>
                </c:pt>
                <c:pt idx="87">
                  <c:v>19425.850433914835</c:v>
                </c:pt>
                <c:pt idx="88">
                  <c:v>19424.357454513742</c:v>
                </c:pt>
                <c:pt idx="89">
                  <c:v>19465.448170878561</c:v>
                </c:pt>
                <c:pt idx="90">
                  <c:v>19571.603896463377</c:v>
                </c:pt>
                <c:pt idx="91">
                  <c:v>19740.782261573237</c:v>
                </c:pt>
                <c:pt idx="92">
                  <c:v>19970.290945314508</c:v>
                </c:pt>
                <c:pt idx="93">
                  <c:v>20256.91663819578</c:v>
                </c:pt>
                <c:pt idx="94">
                  <c:v>20597.067711804742</c:v>
                </c:pt>
                <c:pt idx="95">
                  <c:v>20986.91644103967</c:v>
                </c:pt>
                <c:pt idx="96">
                  <c:v>21422.529402825247</c:v>
                </c:pt>
                <c:pt idx="97">
                  <c:v>21899.978696968388</c:v>
                </c:pt>
                <c:pt idx="98">
                  <c:v>22415.430415006947</c:v>
                </c:pt>
                <c:pt idx="99">
                  <c:v>22876.018406096453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B92-4398-90F9-0635F73C17C7}"/>
            </c:ext>
          </c:extLst>
        </c:ser>
        <c:ser>
          <c:idx val="95"/>
          <c:order val="95"/>
          <c:tx>
            <c:strRef>
              <c:f>RPlot!$EP$98</c:f>
              <c:strCache>
                <c:ptCount val="1"/>
                <c:pt idx="0">
                  <c:v>17y 217d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RPlot!$AT$98:$EO$98</c:f>
              <c:numCache>
                <c:formatCode>0</c:formatCode>
                <c:ptCount val="100"/>
                <c:pt idx="0">
                  <c:v>24455.642627467107</c:v>
                </c:pt>
                <c:pt idx="1">
                  <c:v>25069.037911279513</c:v>
                </c:pt>
                <c:pt idx="2">
                  <c:v>25712.899007745382</c:v>
                </c:pt>
                <c:pt idx="3">
                  <c:v>26380.94100725088</c:v>
                </c:pt>
                <c:pt idx="4">
                  <c:v>27068.7302864921</c:v>
                </c:pt>
                <c:pt idx="5">
                  <c:v>27772.916695073836</c:v>
                </c:pt>
                <c:pt idx="6">
                  <c:v>28490.836073165498</c:v>
                </c:pt>
                <c:pt idx="7">
                  <c:v>29220.289816478966</c:v>
                </c:pt>
                <c:pt idx="8">
                  <c:v>29959.414663991225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29393.724748487333</c:v>
                </c:pt>
                <c:pt idx="70">
                  <c:v>28520.452481321681</c:v>
                </c:pt>
                <c:pt idx="71">
                  <c:v>27670.637633695656</c:v>
                </c:pt>
                <c:pt idx="72">
                  <c:v>26846.181646265999</c:v>
                </c:pt>
                <c:pt idx="73">
                  <c:v>26049.156076146759</c:v>
                </c:pt>
                <c:pt idx="74">
                  <c:v>25281.822659076526</c:v>
                </c:pt>
                <c:pt idx="75">
                  <c:v>24546.65122787996</c:v>
                </c:pt>
                <c:pt idx="76">
                  <c:v>23846.333883382707</c:v>
                </c:pt>
                <c:pt idx="77">
                  <c:v>23183.79337956864</c:v>
                </c:pt>
                <c:pt idx="78">
                  <c:v>22562.183278160104</c:v>
                </c:pt>
                <c:pt idx="79">
                  <c:v>21984.877177322422</c:v>
                </c:pt>
                <c:pt idx="80">
                  <c:v>21455.444458076257</c:v>
                </c:pt>
                <c:pt idx="81">
                  <c:v>20977.61099608209</c:v>
                </c:pt>
                <c:pt idx="82">
                  <c:v>20555.205709320893</c:v>
                </c:pt>
                <c:pt idx="83">
                  <c:v>20192.099565274562</c:v>
                </c:pt>
                <c:pt idx="84">
                  <c:v>19892.154406408357</c:v>
                </c:pt>
                <c:pt idx="85">
                  <c:v>19659.220543342377</c:v>
                </c:pt>
                <c:pt idx="86">
                  <c:v>19497.26447728572</c:v>
                </c:pt>
                <c:pt idx="87">
                  <c:v>19410.79932456528</c:v>
                </c:pt>
                <c:pt idx="88">
                  <c:v>19406.014132140255</c:v>
                </c:pt>
                <c:pt idx="89">
                  <c:v>19424.079096405552</c:v>
                </c:pt>
                <c:pt idx="90">
                  <c:v>19499.385543863536</c:v>
                </c:pt>
                <c:pt idx="91">
                  <c:v>19638.820380387668</c:v>
                </c:pt>
                <c:pt idx="92">
                  <c:v>19839.966346125206</c:v>
                </c:pt>
                <c:pt idx="93">
                  <c:v>20099.820676447151</c:v>
                </c:pt>
                <c:pt idx="94">
                  <c:v>20414.934047624163</c:v>
                </c:pt>
                <c:pt idx="95">
                  <c:v>20781.555402332393</c:v>
                </c:pt>
                <c:pt idx="96">
                  <c:v>21195.769700759523</c:v>
                </c:pt>
                <c:pt idx="97">
                  <c:v>21653.619274759192</c:v>
                </c:pt>
                <c:pt idx="98">
                  <c:v>22151.203474867776</c:v>
                </c:pt>
                <c:pt idx="99">
                  <c:v>22626.430644813863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EB92-4398-90F9-0635F73C17C7}"/>
            </c:ext>
          </c:extLst>
        </c:ser>
        <c:ser>
          <c:idx val="96"/>
          <c:order val="96"/>
          <c:tx>
            <c:strRef>
              <c:f>RPlot!$EP$99</c:f>
              <c:strCache>
                <c:ptCount val="1"/>
                <c:pt idx="0">
                  <c:v>17y 278d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RPlot!$AT$99:$EO$99</c:f>
              <c:numCache>
                <c:formatCode>0</c:formatCode>
                <c:ptCount val="100"/>
                <c:pt idx="0">
                  <c:v>24165.697377887751</c:v>
                </c:pt>
                <c:pt idx="1">
                  <c:v>24765.216874817546</c:v>
                </c:pt>
                <c:pt idx="2">
                  <c:v>25397.84657854541</c:v>
                </c:pt>
                <c:pt idx="3">
                  <c:v>26056.448558663717</c:v>
                </c:pt>
                <c:pt idx="4">
                  <c:v>26736.133108499496</c:v>
                </c:pt>
                <c:pt idx="5">
                  <c:v>27433.279029596317</c:v>
                </c:pt>
                <c:pt idx="6">
                  <c:v>28145.044882365906</c:v>
                </c:pt>
                <c:pt idx="7">
                  <c:v>28869.106331293879</c:v>
                </c:pt>
                <c:pt idx="8">
                  <c:v>29603.505117316919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29846.064172440212</c:v>
                </c:pt>
                <c:pt idx="70">
                  <c:v>28960.462826536048</c:v>
                </c:pt>
                <c:pt idx="71">
                  <c:v>28097.439110857304</c:v>
                </c:pt>
                <c:pt idx="72">
                  <c:v>27258.826078734968</c:v>
                </c:pt>
                <c:pt idx="73">
                  <c:v>26446.615702853498</c:v>
                </c:pt>
                <c:pt idx="74">
                  <c:v>25662.979073918606</c:v>
                </c:pt>
                <c:pt idx="75">
                  <c:v>24910.2849140533</c:v>
                </c:pt>
                <c:pt idx="76">
                  <c:v>24191.114937216553</c:v>
                </c:pt>
                <c:pt idx="77">
                  <c:v>23508.27414878269</c:v>
                </c:pt>
                <c:pt idx="78">
                  <c:v>22864.793723248855</c:v>
                </c:pt>
                <c:pt idx="79">
                  <c:v>22263.923713515342</c:v>
                </c:pt>
                <c:pt idx="80">
                  <c:v>21709.112805316483</c:v>
                </c:pt>
                <c:pt idx="81">
                  <c:v>21203.972478729054</c:v>
                </c:pt>
                <c:pt idx="82">
                  <c:v>20752.224949564108</c:v>
                </c:pt>
                <c:pt idx="83">
                  <c:v>20357.637148769063</c:v>
                </c:pt>
                <c:pt idx="84">
                  <c:v>20023.950384461739</c:v>
                </c:pt>
                <c:pt idx="85">
                  <c:v>19754.828580676858</c:v>
                </c:pt>
                <c:pt idx="86">
                  <c:v>19553.873642155981</c:v>
                </c:pt>
                <c:pt idx="87">
                  <c:v>19424.808231551186</c:v>
                </c:pt>
                <c:pt idx="88">
                  <c:v>19372.043567131921</c:v>
                </c:pt>
                <c:pt idx="89">
                  <c:v>19397.66481140933</c:v>
                </c:pt>
                <c:pt idx="90">
                  <c:v>19441.676225376577</c:v>
                </c:pt>
                <c:pt idx="91">
                  <c:v>19550.777265186629</c:v>
                </c:pt>
                <c:pt idx="92">
                  <c:v>19722.853712820528</c:v>
                </c:pt>
                <c:pt idx="93">
                  <c:v>19955.145208662336</c:v>
                </c:pt>
                <c:pt idx="94">
                  <c:v>20244.377156096471</c:v>
                </c:pt>
                <c:pt idx="95">
                  <c:v>20586.905373092184</c:v>
                </c:pt>
                <c:pt idx="96">
                  <c:v>20978.859249092515</c:v>
                </c:pt>
                <c:pt idx="97">
                  <c:v>21416.272233560831</c:v>
                </c:pt>
                <c:pt idx="98">
                  <c:v>21895.192438222028</c:v>
                </c:pt>
                <c:pt idx="99">
                  <c:v>22384.969538018006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EB92-4398-90F9-0635F73C17C7}"/>
            </c:ext>
          </c:extLst>
        </c:ser>
        <c:ser>
          <c:idx val="97"/>
          <c:order val="97"/>
          <c:tx>
            <c:strRef>
              <c:f>RPlot!$EP$100</c:f>
              <c:strCache>
                <c:ptCount val="1"/>
                <c:pt idx="0">
                  <c:v>17y 339d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RPlot!$AT$100:$EO$100</c:f>
              <c:numCache>
                <c:formatCode>0</c:formatCode>
                <c:ptCount val="100"/>
                <c:pt idx="0">
                  <c:v>23881.889484684656</c:v>
                </c:pt>
                <c:pt idx="1">
                  <c:v>24466.553630374328</c:v>
                </c:pt>
                <c:pt idx="2">
                  <c:v>25087.314557196492</c:v>
                </c:pt>
                <c:pt idx="3">
                  <c:v>25735.994513115103</c:v>
                </c:pt>
                <c:pt idx="4">
                  <c:v>26407.175567580121</c:v>
                </c:pt>
                <c:pt idx="5">
                  <c:v>27096.935104334807</c:v>
                </c:pt>
                <c:pt idx="6">
                  <c:v>27802.240226644564</c:v>
                </c:pt>
                <c:pt idx="7">
                  <c:v>28520.633288289664</c:v>
                </c:pt>
                <c:pt idx="8">
                  <c:v>29250.056286754843</c:v>
                </c:pt>
                <c:pt idx="9">
                  <c:v>29988.74586968459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30000</c:v>
                </c:pt>
                <c:pt idx="70">
                  <c:v>29407.47707275928</c:v>
                </c:pt>
                <c:pt idx="71">
                  <c:v>28531.686029618297</c:v>
                </c:pt>
                <c:pt idx="72">
                  <c:v>27679.392788188205</c:v>
                </c:pt>
                <c:pt idx="73">
                  <c:v>26852.516242801667</c:v>
                </c:pt>
                <c:pt idx="74">
                  <c:v>26053.143585141337</c:v>
                </c:pt>
                <c:pt idx="75">
                  <c:v>25283.54930862812</c:v>
                </c:pt>
                <c:pt idx="76">
                  <c:v>24546.21163628489</c:v>
                </c:pt>
                <c:pt idx="77">
                  <c:v>23843.824615777085</c:v>
                </c:pt>
                <c:pt idx="78">
                  <c:v>23179.303652241088</c:v>
                </c:pt>
                <c:pt idx="79">
                  <c:v>22555.781790351306</c:v>
                </c:pt>
                <c:pt idx="80">
                  <c:v>21976.593826521541</c:v>
                </c:pt>
                <c:pt idx="81">
                  <c:v>21445.245163050262</c:v>
                </c:pt>
                <c:pt idx="82">
                  <c:v>20965.36354840891</c:v>
                </c:pt>
                <c:pt idx="83">
                  <c:v>20540.633496250812</c:v>
                </c:pt>
                <c:pt idx="84">
                  <c:v>20174.717972933999</c:v>
                </c:pt>
                <c:pt idx="85">
                  <c:v>19871.180321050502</c:v>
                </c:pt>
                <c:pt idx="86">
                  <c:v>19633.435152404632</c:v>
                </c:pt>
                <c:pt idx="87">
                  <c:v>19464.786911716212</c:v>
                </c:pt>
                <c:pt idx="88">
                  <c:v>19368.677488237623</c:v>
                </c:pt>
                <c:pt idx="89">
                  <c:v>19349.417082641754</c:v>
                </c:pt>
                <c:pt idx="90">
                  <c:v>19398.750054153406</c:v>
                </c:pt>
                <c:pt idx="91">
                  <c:v>19476.987277504071</c:v>
                </c:pt>
                <c:pt idx="92">
                  <c:v>19619.333459852758</c:v>
                </c:pt>
                <c:pt idx="93">
                  <c:v>19823.301273717501</c:v>
                </c:pt>
                <c:pt idx="94">
                  <c:v>20085.823557607084</c:v>
                </c:pt>
                <c:pt idx="95">
                  <c:v>20403.394687675438</c:v>
                </c:pt>
                <c:pt idx="96">
                  <c:v>20772.216778086353</c:v>
                </c:pt>
                <c:pt idx="97">
                  <c:v>21188.337853295681</c:v>
                </c:pt>
                <c:pt idx="98">
                  <c:v>21647.772847969205</c:v>
                </c:pt>
                <c:pt idx="99">
                  <c:v>22146.602377249743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EB92-4398-90F9-0635F73C17C7}"/>
            </c:ext>
          </c:extLst>
        </c:ser>
        <c:ser>
          <c:idx val="98"/>
          <c:order val="98"/>
          <c:tx>
            <c:strRef>
              <c:f>RPlot!$EP$101</c:f>
              <c:strCache>
                <c:ptCount val="1"/>
                <c:pt idx="0">
                  <c:v>18y 35d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RPlot!$AT$101:$EO$101</c:f>
              <c:numCache>
                <c:formatCode>0</c:formatCode>
                <c:ptCount val="100"/>
                <c:pt idx="0">
                  <c:v>23604.524004629537</c:v>
                </c:pt>
                <c:pt idx="1">
                  <c:v>24173.240723514442</c:v>
                </c:pt>
                <c:pt idx="2">
                  <c:v>24781.460280593157</c:v>
                </c:pt>
                <c:pt idx="3">
                  <c:v>25419.720399751852</c:v>
                </c:pt>
                <c:pt idx="4">
                  <c:v>26081.987336367034</c:v>
                </c:pt>
                <c:pt idx="5">
                  <c:v>26764.002978326844</c:v>
                </c:pt>
                <c:pt idx="6">
                  <c:v>27462.528307849992</c:v>
                </c:pt>
                <c:pt idx="7">
                  <c:v>28174.965094040454</c:v>
                </c:pt>
                <c:pt idx="8">
                  <c:v>28899.151190007633</c:v>
                </c:pt>
                <c:pt idx="9">
                  <c:v>29633.241413679803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30000</c:v>
                </c:pt>
                <c:pt idx="70">
                  <c:v>29861.348872165188</c:v>
                </c:pt>
                <c:pt idx="71">
                  <c:v>28973.214570278615</c:v>
                </c:pt>
                <c:pt idx="72">
                  <c:v>28107.696832415146</c:v>
                </c:pt>
                <c:pt idx="73">
                  <c:v>27266.647658273141</c:v>
                </c:pt>
                <c:pt idx="74">
                  <c:v>26452.076740050801</c:v>
                </c:pt>
                <c:pt idx="75">
                  <c:v>25666.170842023243</c:v>
                </c:pt>
                <c:pt idx="76">
                  <c:v>24911.311149739377</c:v>
                </c:pt>
                <c:pt idx="77">
                  <c:v>24190.086995190377</c:v>
                </c:pt>
                <c:pt idx="78">
                  <c:v>23505.303890872397</c:v>
                </c:pt>
                <c:pt idx="79">
                  <c:v>22859.983307664173</c:v>
                </c:pt>
                <c:pt idx="80">
                  <c:v>22257.351275347548</c:v>
                </c:pt>
                <c:pt idx="81">
                  <c:v>21700.812510534728</c:v>
                </c:pt>
                <c:pt idx="82">
                  <c:v>21193.907467136778</c:v>
                </c:pt>
                <c:pt idx="83">
                  <c:v>20740.250557518641</c:v>
                </c:pt>
                <c:pt idx="84">
                  <c:v>20343.45091980719</c:v>
                </c:pt>
                <c:pt idx="85">
                  <c:v>20007.022484331079</c:v>
                </c:pt>
                <c:pt idx="86">
                  <c:v>19734.300007916296</c:v>
                </c:pt>
                <c:pt idx="87">
                  <c:v>19528.395560005316</c:v>
                </c:pt>
                <c:pt idx="88">
                  <c:v>19392.26419570603</c:v>
                </c:pt>
                <c:pt idx="89">
                  <c:v>19329.023359432391</c:v>
                </c:pt>
                <c:pt idx="90">
                  <c:v>19342.871499369776</c:v>
                </c:pt>
                <c:pt idx="91">
                  <c:v>19417.762989219122</c:v>
                </c:pt>
                <c:pt idx="92">
                  <c:v>19529.771126348955</c:v>
                </c:pt>
                <c:pt idx="93">
                  <c:v>19704.692233806105</c:v>
                </c:pt>
                <c:pt idx="94">
                  <c:v>19939.698901100077</c:v>
                </c:pt>
                <c:pt idx="95">
                  <c:v>20231.456730890863</c:v>
                </c:pt>
                <c:pt idx="96">
                  <c:v>20576.270812840812</c:v>
                </c:pt>
                <c:pt idx="97">
                  <c:v>20970.22969620474</c:v>
                </c:pt>
                <c:pt idx="98">
                  <c:v>21409.335821189321</c:v>
                </c:pt>
                <c:pt idx="99">
                  <c:v>21889.615427865549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EB92-4398-90F9-0635F73C17C7}"/>
            </c:ext>
          </c:extLst>
        </c:ser>
        <c:ser>
          <c:idx val="99"/>
          <c:order val="99"/>
          <c:tx>
            <c:strRef>
              <c:f>RPlot!$EP$102</c:f>
              <c:strCache>
                <c:ptCount val="1"/>
                <c:pt idx="0">
                  <c:v>18y 95d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y1 d1</c:v>
                </c:pt>
                <c:pt idx="1">
                  <c:v>y1 d5</c:v>
                </c:pt>
                <c:pt idx="2">
                  <c:v>y1 d8</c:v>
                </c:pt>
                <c:pt idx="3">
                  <c:v>y1 d12</c:v>
                </c:pt>
                <c:pt idx="4">
                  <c:v>y1 d16</c:v>
                </c:pt>
                <c:pt idx="5">
                  <c:v>y1 d19</c:v>
                </c:pt>
                <c:pt idx="6">
                  <c:v>y1 d23</c:v>
                </c:pt>
                <c:pt idx="7">
                  <c:v>y1 d27</c:v>
                </c:pt>
                <c:pt idx="8">
                  <c:v>y1 d31</c:v>
                </c:pt>
                <c:pt idx="9">
                  <c:v>y1 d34</c:v>
                </c:pt>
                <c:pt idx="10">
                  <c:v>y1 d38</c:v>
                </c:pt>
                <c:pt idx="11">
                  <c:v>y1 d42</c:v>
                </c:pt>
                <c:pt idx="12">
                  <c:v>y1 d45</c:v>
                </c:pt>
                <c:pt idx="13">
                  <c:v>y1 d49</c:v>
                </c:pt>
                <c:pt idx="14">
                  <c:v>y1 d53</c:v>
                </c:pt>
                <c:pt idx="15">
                  <c:v>y1 d56</c:v>
                </c:pt>
                <c:pt idx="16">
                  <c:v>y1 d60</c:v>
                </c:pt>
                <c:pt idx="17">
                  <c:v>y1 d64</c:v>
                </c:pt>
                <c:pt idx="18">
                  <c:v>y1 d67</c:v>
                </c:pt>
                <c:pt idx="19">
                  <c:v>y1 d71</c:v>
                </c:pt>
                <c:pt idx="20">
                  <c:v>y1 d75</c:v>
                </c:pt>
                <c:pt idx="21">
                  <c:v>y1 d78</c:v>
                </c:pt>
                <c:pt idx="22">
                  <c:v>y1 d82</c:v>
                </c:pt>
                <c:pt idx="23">
                  <c:v>y1 d86</c:v>
                </c:pt>
                <c:pt idx="24">
                  <c:v>y1 d90</c:v>
                </c:pt>
                <c:pt idx="25">
                  <c:v>y1 d93</c:v>
                </c:pt>
                <c:pt idx="26">
                  <c:v>y1 d97</c:v>
                </c:pt>
                <c:pt idx="27">
                  <c:v>y1 d101</c:v>
                </c:pt>
                <c:pt idx="28">
                  <c:v>y1 d104</c:v>
                </c:pt>
                <c:pt idx="29">
                  <c:v>y1 d108</c:v>
                </c:pt>
                <c:pt idx="30">
                  <c:v>y1 d112</c:v>
                </c:pt>
                <c:pt idx="31">
                  <c:v>y1 d115</c:v>
                </c:pt>
                <c:pt idx="32">
                  <c:v>y1 d119</c:v>
                </c:pt>
                <c:pt idx="33">
                  <c:v>y1 d123</c:v>
                </c:pt>
                <c:pt idx="34">
                  <c:v>y1 d126</c:v>
                </c:pt>
                <c:pt idx="35">
                  <c:v>y1 d130</c:v>
                </c:pt>
                <c:pt idx="36">
                  <c:v>y1 d134</c:v>
                </c:pt>
                <c:pt idx="37">
                  <c:v>y1 d138</c:v>
                </c:pt>
                <c:pt idx="38">
                  <c:v>y1 d141</c:v>
                </c:pt>
                <c:pt idx="39">
                  <c:v>y1 d145</c:v>
                </c:pt>
                <c:pt idx="40">
                  <c:v>y1 d149</c:v>
                </c:pt>
                <c:pt idx="41">
                  <c:v>y1 d152</c:v>
                </c:pt>
                <c:pt idx="42">
                  <c:v>y1 d156</c:v>
                </c:pt>
                <c:pt idx="43">
                  <c:v>y1 d160</c:v>
                </c:pt>
                <c:pt idx="44">
                  <c:v>y1 d163</c:v>
                </c:pt>
                <c:pt idx="45">
                  <c:v>y1 d167</c:v>
                </c:pt>
                <c:pt idx="46">
                  <c:v>y1 d171</c:v>
                </c:pt>
                <c:pt idx="47">
                  <c:v>y1 d174</c:v>
                </c:pt>
                <c:pt idx="48">
                  <c:v>y1 d178</c:v>
                </c:pt>
                <c:pt idx="49">
                  <c:v>y1 d182</c:v>
                </c:pt>
                <c:pt idx="50">
                  <c:v>y1 d185</c:v>
                </c:pt>
                <c:pt idx="51">
                  <c:v>y1 d189</c:v>
                </c:pt>
                <c:pt idx="52">
                  <c:v>y1 d193</c:v>
                </c:pt>
                <c:pt idx="53">
                  <c:v>y1 d197</c:v>
                </c:pt>
                <c:pt idx="54">
                  <c:v>y1 d200</c:v>
                </c:pt>
                <c:pt idx="55">
                  <c:v>y1 d204</c:v>
                </c:pt>
                <c:pt idx="56">
                  <c:v>y1 d208</c:v>
                </c:pt>
                <c:pt idx="57">
                  <c:v>y1 d211</c:v>
                </c:pt>
                <c:pt idx="58">
                  <c:v>y1 d215</c:v>
                </c:pt>
                <c:pt idx="59">
                  <c:v>y1 d219</c:v>
                </c:pt>
                <c:pt idx="60">
                  <c:v>y1 d222</c:v>
                </c:pt>
                <c:pt idx="61">
                  <c:v>y1 d226</c:v>
                </c:pt>
                <c:pt idx="62">
                  <c:v>y1 d230</c:v>
                </c:pt>
                <c:pt idx="63">
                  <c:v>y1 d233</c:v>
                </c:pt>
                <c:pt idx="64">
                  <c:v>y1 d237</c:v>
                </c:pt>
                <c:pt idx="65">
                  <c:v>y1 d241</c:v>
                </c:pt>
                <c:pt idx="66">
                  <c:v>y1 d245</c:v>
                </c:pt>
                <c:pt idx="67">
                  <c:v>y1 d248</c:v>
                </c:pt>
                <c:pt idx="68">
                  <c:v>y1 d252</c:v>
                </c:pt>
                <c:pt idx="69">
                  <c:v>y1 d256</c:v>
                </c:pt>
                <c:pt idx="70">
                  <c:v>y1 d259</c:v>
                </c:pt>
                <c:pt idx="71">
                  <c:v>y1 d263</c:v>
                </c:pt>
                <c:pt idx="72">
                  <c:v>y1 d267</c:v>
                </c:pt>
                <c:pt idx="73">
                  <c:v>y1 d270</c:v>
                </c:pt>
                <c:pt idx="74">
                  <c:v>y1 d274</c:v>
                </c:pt>
                <c:pt idx="75">
                  <c:v>y1 d278</c:v>
                </c:pt>
                <c:pt idx="76">
                  <c:v>y1 d281</c:v>
                </c:pt>
                <c:pt idx="77">
                  <c:v>y1 d285</c:v>
                </c:pt>
                <c:pt idx="78">
                  <c:v>y1 d289</c:v>
                </c:pt>
                <c:pt idx="79">
                  <c:v>y1 d292</c:v>
                </c:pt>
                <c:pt idx="80">
                  <c:v>y1 d296</c:v>
                </c:pt>
                <c:pt idx="81">
                  <c:v>y1 d300</c:v>
                </c:pt>
                <c:pt idx="82">
                  <c:v>y1 d304</c:v>
                </c:pt>
                <c:pt idx="83">
                  <c:v>y1 d307</c:v>
                </c:pt>
                <c:pt idx="84">
                  <c:v>y1 d311</c:v>
                </c:pt>
                <c:pt idx="85">
                  <c:v>y1 d315</c:v>
                </c:pt>
                <c:pt idx="86">
                  <c:v>y1 d318</c:v>
                </c:pt>
                <c:pt idx="87">
                  <c:v>y1 d322</c:v>
                </c:pt>
                <c:pt idx="88">
                  <c:v>y1 d326</c:v>
                </c:pt>
                <c:pt idx="89">
                  <c:v>y1 d329</c:v>
                </c:pt>
                <c:pt idx="90">
                  <c:v>y1 d333</c:v>
                </c:pt>
                <c:pt idx="91">
                  <c:v>y1 d337</c:v>
                </c:pt>
                <c:pt idx="92">
                  <c:v>y1 d340</c:v>
                </c:pt>
                <c:pt idx="93">
                  <c:v>y1 d344</c:v>
                </c:pt>
                <c:pt idx="94">
                  <c:v>y1 d348</c:v>
                </c:pt>
                <c:pt idx="95">
                  <c:v>y1 d351</c:v>
                </c:pt>
                <c:pt idx="96">
                  <c:v>y1 d355</c:v>
                </c:pt>
                <c:pt idx="97">
                  <c:v>y1 d359</c:v>
                </c:pt>
                <c:pt idx="98">
                  <c:v>y1 d363</c:v>
                </c:pt>
                <c:pt idx="99">
                  <c:v>y1 d1</c:v>
                </c:pt>
              </c:strCache>
            </c:strRef>
          </c:cat>
          <c:val>
            <c:numRef>
              <c:f>RPlot!$AT$102:$EO$102</c:f>
              <c:numCache>
                <c:formatCode>0</c:formatCode>
                <c:ptCount val="100"/>
                <c:pt idx="0">
                  <c:v>23333.932877723702</c:v>
                </c:pt>
                <c:pt idx="1">
                  <c:v>23885.471752039328</c:v>
                </c:pt>
                <c:pt idx="2">
                  <c:v>24480.442854293979</c:v>
                </c:pt>
                <c:pt idx="3">
                  <c:v>25107.77309208511</c:v>
                </c:pt>
                <c:pt idx="4">
                  <c:v>25760.705854727108</c:v>
                </c:pt>
                <c:pt idx="5">
                  <c:v>26434.609564970935</c:v>
                </c:pt>
                <c:pt idx="6">
                  <c:v>27126.024371806256</c:v>
                </c:pt>
                <c:pt idx="7">
                  <c:v>27832.204830430193</c:v>
                </c:pt>
                <c:pt idx="8">
                  <c:v>28550.880891183857</c:v>
                </c:pt>
                <c:pt idx="9">
                  <c:v>29280.122775443182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  <c:pt idx="33">
                  <c:v>30000</c:v>
                </c:pt>
                <c:pt idx="34">
                  <c:v>30000</c:v>
                </c:pt>
                <c:pt idx="35">
                  <c:v>30000</c:v>
                </c:pt>
                <c:pt idx="36">
                  <c:v>30000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30000</c:v>
                </c:pt>
                <c:pt idx="45">
                  <c:v>30000</c:v>
                </c:pt>
                <c:pt idx="46">
                  <c:v>30000</c:v>
                </c:pt>
                <c:pt idx="47">
                  <c:v>30000</c:v>
                </c:pt>
                <c:pt idx="48">
                  <c:v>30000</c:v>
                </c:pt>
                <c:pt idx="49">
                  <c:v>30000</c:v>
                </c:pt>
                <c:pt idx="50">
                  <c:v>30000</c:v>
                </c:pt>
                <c:pt idx="51">
                  <c:v>30000</c:v>
                </c:pt>
                <c:pt idx="52">
                  <c:v>30000</c:v>
                </c:pt>
                <c:pt idx="53">
                  <c:v>30000</c:v>
                </c:pt>
                <c:pt idx="54">
                  <c:v>30000</c:v>
                </c:pt>
                <c:pt idx="55">
                  <c:v>30000</c:v>
                </c:pt>
                <c:pt idx="56">
                  <c:v>30000</c:v>
                </c:pt>
                <c:pt idx="57">
                  <c:v>30000</c:v>
                </c:pt>
                <c:pt idx="58">
                  <c:v>30000</c:v>
                </c:pt>
                <c:pt idx="59">
                  <c:v>30000</c:v>
                </c:pt>
                <c:pt idx="60">
                  <c:v>30000</c:v>
                </c:pt>
                <c:pt idx="61">
                  <c:v>30000</c:v>
                </c:pt>
                <c:pt idx="62">
                  <c:v>30000</c:v>
                </c:pt>
                <c:pt idx="63">
                  <c:v>30000</c:v>
                </c:pt>
                <c:pt idx="64">
                  <c:v>30000</c:v>
                </c:pt>
                <c:pt idx="65">
                  <c:v>30000</c:v>
                </c:pt>
                <c:pt idx="66">
                  <c:v>30000</c:v>
                </c:pt>
                <c:pt idx="67">
                  <c:v>30000</c:v>
                </c:pt>
                <c:pt idx="68">
                  <c:v>30000</c:v>
                </c:pt>
                <c:pt idx="69">
                  <c:v>30000</c:v>
                </c:pt>
                <c:pt idx="70">
                  <c:v>30000</c:v>
                </c:pt>
                <c:pt idx="71">
                  <c:v>29421.873201268791</c:v>
                </c:pt>
                <c:pt idx="72">
                  <c:v>28543.567727456521</c:v>
                </c:pt>
                <c:pt idx="73">
                  <c:v>27688.816797563675</c:v>
                </c:pt>
                <c:pt idx="74">
                  <c:v>26859.558708248922</c:v>
                </c:pt>
                <c:pt idx="75">
                  <c:v>26057.898682771702</c:v>
                </c:pt>
                <c:pt idx="76">
                  <c:v>25286.126982427646</c:v>
                </c:pt>
                <c:pt idx="77">
                  <c:v>24546.734067843419</c:v>
                </c:pt>
                <c:pt idx="78">
                  <c:v>23842.420922873054</c:v>
                </c:pt>
                <c:pt idx="79">
                  <c:v>23176.102142752974</c:v>
                </c:pt>
                <c:pt idx="80">
                  <c:v>22550.898953478172</c:v>
                </c:pt>
                <c:pt idx="81">
                  <c:v>21970.118826616854</c:v>
                </c:pt>
                <c:pt idx="82">
                  <c:v>21437.218659340477</c:v>
                </c:pt>
                <c:pt idx="83">
                  <c:v>20955.74882071506</c:v>
                </c:pt>
                <c:pt idx="84">
                  <c:v>20529.277387735678</c:v>
                </c:pt>
                <c:pt idx="85">
                  <c:v>20161.297395122921</c:v>
                </c:pt>
                <c:pt idx="86">
                  <c:v>19855.126340952986</c:v>
                </c:pt>
                <c:pt idx="87">
                  <c:v>19613.81815743108</c:v>
                </c:pt>
                <c:pt idx="88">
                  <c:v>19440.127194537905</c:v>
                </c:pt>
                <c:pt idx="89">
                  <c:v>19336.602060614616</c:v>
                </c:pt>
                <c:pt idx="90">
                  <c:v>19305.978315060151</c:v>
                </c:pt>
                <c:pt idx="91">
                  <c:v>19352.304428834661</c:v>
                </c:pt>
                <c:pt idx="92">
                  <c:v>19454.514276799437</c:v>
                </c:pt>
                <c:pt idx="93">
                  <c:v>19599.710692734938</c:v>
                </c:pt>
                <c:pt idx="94">
                  <c:v>19806.425191482584</c:v>
                </c:pt>
                <c:pt idx="95">
                  <c:v>20071.527661099153</c:v>
                </c:pt>
                <c:pt idx="96">
                  <c:v>20391.457992192318</c:v>
                </c:pt>
                <c:pt idx="97">
                  <c:v>20762.373530260924</c:v>
                </c:pt>
                <c:pt idx="98">
                  <c:v>21180.287516743469</c:v>
                </c:pt>
                <c:pt idx="99">
                  <c:v>21641.189651599467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B7-48DC-A4D6-FF338C432FE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765226544"/>
        <c:axId val="1767989376"/>
        <c:axId val="1726672432"/>
      </c:surfaceChart>
      <c:catAx>
        <c:axId val="176522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Launch 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  <c:auto val="1"/>
        <c:lblAlgn val="ctr"/>
        <c:lblOffset val="100"/>
        <c:noMultiLvlLbl val="0"/>
      </c:catAx>
      <c:valAx>
        <c:axId val="176798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En Route</a:t>
                </a:r>
              </a:p>
            </c:rich>
          </c:tx>
          <c:layout>
            <c:manualLayout>
              <c:xMode val="edge"/>
              <c:yMode val="edge"/>
              <c:x val="0.89619528902170809"/>
              <c:y val="0.33860897690818953"/>
            </c:manualLayout>
          </c:layout>
          <c:overlay val="0"/>
        </c:title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226544"/>
        <c:crosses val="autoZero"/>
        <c:crossBetween val="midCat"/>
      </c:valAx>
      <c:serAx>
        <c:axId val="1726672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701184739967209E-2"/>
          <c:y val="7.3737055595323314E-2"/>
          <c:w val="0.90043371444241127"/>
          <c:h val="9.12461093878416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Top-down orbital plot (x-y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KPlot!$E$2</c:f>
              <c:strCache>
                <c:ptCount val="1"/>
                <c:pt idx="0">
                  <c:v>Origin Orbit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KPlot!$E$4:$E$104</c:f>
              <c:numCache>
                <c:formatCode>0.00E+00</c:formatCode>
                <c:ptCount val="101"/>
                <c:pt idx="0">
                  <c:v>-13599823007.697136</c:v>
                </c:pt>
                <c:pt idx="1">
                  <c:v>-13574346895.255716</c:v>
                </c:pt>
                <c:pt idx="2">
                  <c:v>-13495299037.147917</c:v>
                </c:pt>
                <c:pt idx="3">
                  <c:v>-13362991399.156162</c:v>
                </c:pt>
                <c:pt idx="4">
                  <c:v>-13177946139.081997</c:v>
                </c:pt>
                <c:pt idx="5">
                  <c:v>-12940893546.027786</c:v>
                </c:pt>
                <c:pt idx="6">
                  <c:v>-12652769158.279301</c:v>
                </c:pt>
                <c:pt idx="7">
                  <c:v>-12314710071.163467</c:v>
                </c:pt>
                <c:pt idx="8">
                  <c:v>-11928050449.452618</c:v>
                </c:pt>
                <c:pt idx="9">
                  <c:v>-11494316262.025671</c:v>
                </c:pt>
                <c:pt idx="10">
                  <c:v>-11015219259.566111</c:v>
                </c:pt>
                <c:pt idx="11">
                  <c:v>-10492650219.064034</c:v>
                </c:pt>
                <c:pt idx="12">
                  <c:v>-9928671481.7832127</c:v>
                </c:pt>
                <c:pt idx="13">
                  <c:v>-9325508814.1423225</c:v>
                </c:pt>
                <c:pt idx="14">
                  <c:v>-8685542623.6317406</c:v>
                </c:pt>
                <c:pt idx="15">
                  <c:v>-8011298564.4326744</c:v>
                </c:pt>
                <c:pt idx="16">
                  <c:v>-7305437569.8139505</c:v>
                </c:pt>
                <c:pt idx="17">
                  <c:v>-6570745350.6441259</c:v>
                </c:pt>
                <c:pt idx="18">
                  <c:v>-5810121401.463315</c:v>
                </c:pt>
                <c:pt idx="19">
                  <c:v>-5026567557.5028963</c:v>
                </c:pt>
                <c:pt idx="20">
                  <c:v>-4223176147.8133025</c:v>
                </c:pt>
                <c:pt idx="21">
                  <c:v>-3403117791.2539582</c:v>
                </c:pt>
                <c:pt idx="22">
                  <c:v>-2569628883.509141</c:v>
                </c:pt>
                <c:pt idx="23">
                  <c:v>-1725998824.5129058</c:v>
                </c:pt>
                <c:pt idx="24">
                  <c:v>-875557036.69015062</c:v>
                </c:pt>
                <c:pt idx="25">
                  <c:v>-21659825.247552719</c:v>
                </c:pt>
                <c:pt idx="26">
                  <c:v>832322867.62986445</c:v>
                </c:pt>
                <c:pt idx="27">
                  <c:v>1683020762.4008946</c:v>
                </c:pt>
                <c:pt idx="28">
                  <c:v>2527076543.1217761</c:v>
                </c:pt>
                <c:pt idx="29">
                  <c:v>3361159107.2384095</c:v>
                </c:pt>
                <c:pt idx="30">
                  <c:v>4181976711.9263043</c:v>
                </c:pt>
                <c:pt idx="31">
                  <c:v>4986289965.0956497</c:v>
                </c:pt>
                <c:pt idx="32">
                  <c:v>5770924609.7919588</c:v>
                </c:pt>
                <c:pt idx="33">
                  <c:v>6532784051.5380888</c:v>
                </c:pt>
                <c:pt idx="34">
                  <c:v>7268861579.1779346</c:v>
                </c:pt>
                <c:pt idx="35">
                  <c:v>7976252230.9917412</c:v>
                </c:pt>
                <c:pt idx="36">
                  <c:v>8652164259.2528458</c:v>
                </c:pt>
                <c:pt idx="37">
                  <c:v>9293930147.9805298</c:v>
                </c:pt>
                <c:pt idx="38">
                  <c:v>9899017140.4069386</c:v>
                </c:pt>
                <c:pt idx="39">
                  <c:v>10465037234.61091</c:v>
                </c:pt>
                <c:pt idx="40">
                  <c:v>10989756607.870607</c:v>
                </c:pt>
                <c:pt idx="41">
                  <c:v>11471104432.541256</c:v>
                </c:pt>
                <c:pt idx="42">
                  <c:v>11907181048.665781</c:v>
                </c:pt>
                <c:pt idx="43">
                  <c:v>12296265461.064793</c:v>
                </c:pt>
                <c:pt idx="44">
                  <c:v>12636822131.318316</c:v>
                </c:pt>
                <c:pt idx="45">
                  <c:v>12927507037.8344</c:v>
                </c:pt>
                <c:pt idx="46">
                  <c:v>13167172980.088331</c:v>
                </c:pt>
                <c:pt idx="47">
                  <c:v>13354874106.098984</c:v>
                </c:pt>
                <c:pt idx="48">
                  <c:v>13489869645.274481</c:v>
                </c:pt>
                <c:pt idx="49">
                  <c:v>13571626831.895294</c:v>
                </c:pt>
                <c:pt idx="50">
                  <c:v>13599823007.697136</c:v>
                </c:pt>
                <c:pt idx="51">
                  <c:v>13574346895.255716</c:v>
                </c:pt>
                <c:pt idx="52">
                  <c:v>13495299037.147923</c:v>
                </c:pt>
                <c:pt idx="53">
                  <c:v>13362991399.156172</c:v>
                </c:pt>
                <c:pt idx="54">
                  <c:v>13177946139.082008</c:v>
                </c:pt>
                <c:pt idx="55" formatCode="General">
                  <c:v>12940893546.027809</c:v>
                </c:pt>
                <c:pt idx="56">
                  <c:v>12652769158.279327</c:v>
                </c:pt>
                <c:pt idx="57">
                  <c:v>12314710071.163496</c:v>
                </c:pt>
                <c:pt idx="58">
                  <c:v>11928050449.452656</c:v>
                </c:pt>
                <c:pt idx="59">
                  <c:v>11494316262.025721</c:v>
                </c:pt>
                <c:pt idx="60">
                  <c:v>11015219259.566166</c:v>
                </c:pt>
                <c:pt idx="61">
                  <c:v>10492650219.064095</c:v>
                </c:pt>
                <c:pt idx="62">
                  <c:v>9928671481.7832851</c:v>
                </c:pt>
                <c:pt idx="63">
                  <c:v>9325508814.1424084</c:v>
                </c:pt>
                <c:pt idx="64">
                  <c:v>8685542623.631834</c:v>
                </c:pt>
                <c:pt idx="65">
                  <c:v>8011298564.4327602</c:v>
                </c:pt>
                <c:pt idx="66">
                  <c:v>7305437569.8140516</c:v>
                </c:pt>
                <c:pt idx="67">
                  <c:v>6570745350.6442299</c:v>
                </c:pt>
                <c:pt idx="68">
                  <c:v>5810121401.4634228</c:v>
                </c:pt>
                <c:pt idx="69">
                  <c:v>5026567557.5030155</c:v>
                </c:pt>
                <c:pt idx="70">
                  <c:v>4223176147.8134274</c:v>
                </c:pt>
                <c:pt idx="71">
                  <c:v>3403117791.2540736</c:v>
                </c:pt>
                <c:pt idx="72">
                  <c:v>2569628883.5092697</c:v>
                </c:pt>
                <c:pt idx="73">
                  <c:v>1725998824.5130119</c:v>
                </c:pt>
                <c:pt idx="74">
                  <c:v>875557036.69026947</c:v>
                </c:pt>
                <c:pt idx="75">
                  <c:v>21659825.247671843</c:v>
                </c:pt>
                <c:pt idx="76">
                  <c:v>-832322867.6297456</c:v>
                </c:pt>
                <c:pt idx="77">
                  <c:v>-1683020762.4007764</c:v>
                </c:pt>
                <c:pt idx="78">
                  <c:v>-2527076543.1216593</c:v>
                </c:pt>
                <c:pt idx="79">
                  <c:v>-3361159107.2382946</c:v>
                </c:pt>
                <c:pt idx="80">
                  <c:v>-4181976711.9261909</c:v>
                </c:pt>
                <c:pt idx="81">
                  <c:v>-4986289965.0955391</c:v>
                </c:pt>
                <c:pt idx="82">
                  <c:v>-5770924609.791852</c:v>
                </c:pt>
                <c:pt idx="83">
                  <c:v>-6532784051.5379839</c:v>
                </c:pt>
                <c:pt idx="84">
                  <c:v>-7268861579.1778355</c:v>
                </c:pt>
                <c:pt idx="85">
                  <c:v>-7976252230.9916449</c:v>
                </c:pt>
                <c:pt idx="86">
                  <c:v>-8652164259.2527523</c:v>
                </c:pt>
                <c:pt idx="87">
                  <c:v>-9293930147.980444</c:v>
                </c:pt>
                <c:pt idx="88">
                  <c:v>-9899017140.4068565</c:v>
                </c:pt>
                <c:pt idx="89">
                  <c:v>-10465037234.610834</c:v>
                </c:pt>
                <c:pt idx="90">
                  <c:v>-10989756607.870537</c:v>
                </c:pt>
                <c:pt idx="91">
                  <c:v>-11471104432.541191</c:v>
                </c:pt>
                <c:pt idx="92">
                  <c:v>-11907181048.66571</c:v>
                </c:pt>
                <c:pt idx="93">
                  <c:v>-12296265461.064732</c:v>
                </c:pt>
                <c:pt idx="94">
                  <c:v>-12636822131.318272</c:v>
                </c:pt>
                <c:pt idx="95">
                  <c:v>-12927507037.834364</c:v>
                </c:pt>
                <c:pt idx="96">
                  <c:v>-13167172980.088301</c:v>
                </c:pt>
                <c:pt idx="97">
                  <c:v>-13354874106.098961</c:v>
                </c:pt>
                <c:pt idx="98">
                  <c:v>-13489869645.274466</c:v>
                </c:pt>
                <c:pt idx="99">
                  <c:v>-13571626831.895287</c:v>
                </c:pt>
                <c:pt idx="100" formatCode="General">
                  <c:v>-13599823007.697136</c:v>
                </c:pt>
              </c:numCache>
            </c:numRef>
          </c:xVal>
          <c:yVal>
            <c:numRef>
              <c:f>KPlot!$F$4:$F$104</c:f>
              <c:numCache>
                <c:formatCode>0.00E+00</c:formatCode>
                <c:ptCount val="101"/>
                <c:pt idx="0">
                  <c:v>21659825.247473374</c:v>
                </c:pt>
                <c:pt idx="1">
                  <c:v>-832322867.62990141</c:v>
                </c:pt>
                <c:pt idx="2">
                  <c:v>-1683020762.4009373</c:v>
                </c:pt>
                <c:pt idx="3">
                  <c:v>-2527076543.12183</c:v>
                </c:pt>
                <c:pt idx="4">
                  <c:v>-3361159107.2384634</c:v>
                </c:pt>
                <c:pt idx="5">
                  <c:v>-4181976711.926374</c:v>
                </c:pt>
                <c:pt idx="6">
                  <c:v>-4986289965.0957174</c:v>
                </c:pt>
                <c:pt idx="7">
                  <c:v>-5770924609.7920256</c:v>
                </c:pt>
                <c:pt idx="8">
                  <c:v>-6532784051.5381632</c:v>
                </c:pt>
                <c:pt idx="9">
                  <c:v>-7268861579.1780176</c:v>
                </c:pt>
                <c:pt idx="10">
                  <c:v>-7976252230.9918194</c:v>
                </c:pt>
                <c:pt idx="11">
                  <c:v>-8652164259.2529182</c:v>
                </c:pt>
                <c:pt idx="12">
                  <c:v>-9293930147.9806099</c:v>
                </c:pt>
                <c:pt idx="13">
                  <c:v>-9899017140.4070206</c:v>
                </c:pt>
                <c:pt idx="14">
                  <c:v>-10465037234.610989</c:v>
                </c:pt>
                <c:pt idx="15">
                  <c:v>-10989756607.870674</c:v>
                </c:pt>
                <c:pt idx="16">
                  <c:v>-11471104432.541315</c:v>
                </c:pt>
                <c:pt idx="17">
                  <c:v>-11907181048.665833</c:v>
                </c:pt>
                <c:pt idx="18">
                  <c:v>-12296265461.06484</c:v>
                </c:pt>
                <c:pt idx="19">
                  <c:v>-12636822131.318359</c:v>
                </c:pt>
                <c:pt idx="20">
                  <c:v>-12927507037.834438</c:v>
                </c:pt>
                <c:pt idx="21">
                  <c:v>-13167172980.088358</c:v>
                </c:pt>
                <c:pt idx="22">
                  <c:v>-13354874106.099005</c:v>
                </c:pt>
                <c:pt idx="23">
                  <c:v>-13489869645.274494</c:v>
                </c:pt>
                <c:pt idx="24">
                  <c:v>-13571626831.895302</c:v>
                </c:pt>
                <c:pt idx="25">
                  <c:v>-13599823007.697136</c:v>
                </c:pt>
                <c:pt idx="26">
                  <c:v>-13574346895.255716</c:v>
                </c:pt>
                <c:pt idx="27">
                  <c:v>-13495299037.147924</c:v>
                </c:pt>
                <c:pt idx="28">
                  <c:v>-13362991399.156172</c:v>
                </c:pt>
                <c:pt idx="29">
                  <c:v>-13177946139.08201</c:v>
                </c:pt>
                <c:pt idx="30">
                  <c:v>-12940893546.027809</c:v>
                </c:pt>
                <c:pt idx="31">
                  <c:v>-12652769158.279327</c:v>
                </c:pt>
                <c:pt idx="32">
                  <c:v>-12314710071.163496</c:v>
                </c:pt>
                <c:pt idx="33">
                  <c:v>-11928050449.452658</c:v>
                </c:pt>
                <c:pt idx="34">
                  <c:v>-11494316262.025723</c:v>
                </c:pt>
                <c:pt idx="35">
                  <c:v>-11015219259.566168</c:v>
                </c:pt>
                <c:pt idx="36">
                  <c:v>-10492650219.064096</c:v>
                </c:pt>
                <c:pt idx="37">
                  <c:v>-9928671481.783287</c:v>
                </c:pt>
                <c:pt idx="38">
                  <c:v>-9325508814.1424103</c:v>
                </c:pt>
                <c:pt idx="39">
                  <c:v>-8685542623.631834</c:v>
                </c:pt>
                <c:pt idx="40">
                  <c:v>-8011298564.4327631</c:v>
                </c:pt>
                <c:pt idx="41">
                  <c:v>-7305437569.8140421</c:v>
                </c:pt>
                <c:pt idx="42">
                  <c:v>-6570745350.6442213</c:v>
                </c:pt>
                <c:pt idx="43">
                  <c:v>-5810121401.4634132</c:v>
                </c:pt>
                <c:pt idx="44">
                  <c:v>-5026567557.5030088</c:v>
                </c:pt>
                <c:pt idx="45">
                  <c:v>-4223176147.8134184</c:v>
                </c:pt>
                <c:pt idx="46">
                  <c:v>-3403117791.2540641</c:v>
                </c:pt>
                <c:pt idx="47">
                  <c:v>-2569628883.5092602</c:v>
                </c:pt>
                <c:pt idx="48">
                  <c:v>-1725998824.5130143</c:v>
                </c:pt>
                <c:pt idx="49">
                  <c:v>-875557036.69027209</c:v>
                </c:pt>
                <c:pt idx="50">
                  <c:v>-21659825.247674342</c:v>
                </c:pt>
                <c:pt idx="51">
                  <c:v>832322867.62986696</c:v>
                </c:pt>
                <c:pt idx="52">
                  <c:v>1683020762.4008973</c:v>
                </c:pt>
                <c:pt idx="53">
                  <c:v>2527076543.121778</c:v>
                </c:pt>
                <c:pt idx="54">
                  <c:v>3361159107.2384124</c:v>
                </c:pt>
                <c:pt idx="55" formatCode="General">
                  <c:v>4181976711.9263067</c:v>
                </c:pt>
                <c:pt idx="56">
                  <c:v>4986289965.0956526</c:v>
                </c:pt>
                <c:pt idx="57">
                  <c:v>5770924609.7919617</c:v>
                </c:pt>
                <c:pt idx="58">
                  <c:v>6532784051.5380907</c:v>
                </c:pt>
                <c:pt idx="59">
                  <c:v>7268861579.1779394</c:v>
                </c:pt>
                <c:pt idx="60">
                  <c:v>7976252230.9917431</c:v>
                </c:pt>
                <c:pt idx="61">
                  <c:v>8652164259.2528458</c:v>
                </c:pt>
                <c:pt idx="62">
                  <c:v>9293930147.9805317</c:v>
                </c:pt>
                <c:pt idx="63">
                  <c:v>9899017140.4069386</c:v>
                </c:pt>
                <c:pt idx="64">
                  <c:v>10465037234.610912</c:v>
                </c:pt>
                <c:pt idx="65">
                  <c:v>10989756607.870609</c:v>
                </c:pt>
                <c:pt idx="66">
                  <c:v>11471104432.54125</c:v>
                </c:pt>
                <c:pt idx="67">
                  <c:v>11907181048.665775</c:v>
                </c:pt>
                <c:pt idx="68">
                  <c:v>12296265461.064789</c:v>
                </c:pt>
                <c:pt idx="69">
                  <c:v>12636822131.318314</c:v>
                </c:pt>
                <c:pt idx="70">
                  <c:v>12927507037.834396</c:v>
                </c:pt>
                <c:pt idx="71">
                  <c:v>13167172980.088327</c:v>
                </c:pt>
                <c:pt idx="72">
                  <c:v>13354874106.09898</c:v>
                </c:pt>
                <c:pt idx="73">
                  <c:v>13489869645.274481</c:v>
                </c:pt>
                <c:pt idx="74">
                  <c:v>13571626831.895294</c:v>
                </c:pt>
                <c:pt idx="75">
                  <c:v>13599823007.697136</c:v>
                </c:pt>
                <c:pt idx="76">
                  <c:v>13574346895.255724</c:v>
                </c:pt>
                <c:pt idx="77">
                  <c:v>13495299037.147938</c:v>
                </c:pt>
                <c:pt idx="78">
                  <c:v>13362991399.156195</c:v>
                </c:pt>
                <c:pt idx="79">
                  <c:v>13177946139.082039</c:v>
                </c:pt>
                <c:pt idx="80">
                  <c:v>12940893546.027845</c:v>
                </c:pt>
                <c:pt idx="81">
                  <c:v>12652769158.279371</c:v>
                </c:pt>
                <c:pt idx="82">
                  <c:v>12314710071.163548</c:v>
                </c:pt>
                <c:pt idx="83">
                  <c:v>11928050449.452715</c:v>
                </c:pt>
                <c:pt idx="84">
                  <c:v>11494316262.025787</c:v>
                </c:pt>
                <c:pt idx="85">
                  <c:v>11015219259.566236</c:v>
                </c:pt>
                <c:pt idx="86">
                  <c:v>10492650219.064171</c:v>
                </c:pt>
                <c:pt idx="87">
                  <c:v>9928671481.7833691</c:v>
                </c:pt>
                <c:pt idx="88">
                  <c:v>9325508814.142498</c:v>
                </c:pt>
                <c:pt idx="89">
                  <c:v>8685542623.6319275</c:v>
                </c:pt>
                <c:pt idx="90">
                  <c:v>8011298564.4328594</c:v>
                </c:pt>
                <c:pt idx="91">
                  <c:v>7305437569.8141432</c:v>
                </c:pt>
                <c:pt idx="92">
                  <c:v>6570745350.6443472</c:v>
                </c:pt>
                <c:pt idx="93">
                  <c:v>5810121401.4635439</c:v>
                </c:pt>
                <c:pt idx="94">
                  <c:v>5026567557.5031204</c:v>
                </c:pt>
                <c:pt idx="95">
                  <c:v>4223176147.8135314</c:v>
                </c:pt>
                <c:pt idx="96">
                  <c:v>3403117791.2541795</c:v>
                </c:pt>
                <c:pt idx="97">
                  <c:v>2569628883.5093775</c:v>
                </c:pt>
                <c:pt idx="98">
                  <c:v>1725998824.5131323</c:v>
                </c:pt>
                <c:pt idx="99">
                  <c:v>875557036.69039083</c:v>
                </c:pt>
                <c:pt idx="100" formatCode="General">
                  <c:v>21659825.24779347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95-4E09-BC8F-F2537A3F2E08}"/>
            </c:ext>
          </c:extLst>
        </c:ser>
        <c:ser>
          <c:idx val="1"/>
          <c:order val="1"/>
          <c:tx>
            <c:strRef>
              <c:f>KPlot!$I$2</c:f>
              <c:strCache>
                <c:ptCount val="1"/>
                <c:pt idx="0">
                  <c:v>Destination Orbit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KPlot!$I$4:$I$104</c:f>
              <c:numCache>
                <c:formatCode>0.00E+00</c:formatCode>
                <c:ptCount val="101"/>
                <c:pt idx="0">
                  <c:v>15514867153.114368</c:v>
                </c:pt>
                <c:pt idx="1">
                  <c:v>16442679650.331343</c:v>
                </c:pt>
                <c:pt idx="2">
                  <c:v>17301757361.658581</c:v>
                </c:pt>
                <c:pt idx="3">
                  <c:v>18088233097.935776</c:v>
                </c:pt>
                <c:pt idx="4">
                  <c:v>18798626426.658154</c:v>
                </c:pt>
                <c:pt idx="5">
                  <c:v>19429863860.077866</c:v>
                </c:pt>
                <c:pt idx="6">
                  <c:v>19979295399.289898</c:v>
                </c:pt>
                <c:pt idx="7">
                  <c:v>20444707294.927418</c:v>
                </c:pt>
                <c:pt idx="8">
                  <c:v>20824330948.100452</c:v>
                </c:pt>
                <c:pt idx="9">
                  <c:v>21116847938.329491</c:v>
                </c:pt>
                <c:pt idx="10">
                  <c:v>21321391226.824043</c:v>
                </c:pt>
                <c:pt idx="11">
                  <c:v>21437542642.006588</c:v>
                </c:pt>
                <c:pt idx="12">
                  <c:v>21465326808.313007</c:v>
                </c:pt>
                <c:pt idx="13">
                  <c:v>21405201727.836693</c:v>
                </c:pt>
                <c:pt idx="14">
                  <c:v>21258046266.381985</c:v>
                </c:pt>
                <c:pt idx="15">
                  <c:v>21025144830.261505</c:v>
                </c:pt>
                <c:pt idx="16">
                  <c:v>20708169547.279129</c:v>
                </c:pt>
                <c:pt idx="17">
                  <c:v>20309160284.610287</c:v>
                </c:pt>
                <c:pt idx="18">
                  <c:v>19830502847.792122</c:v>
                </c:pt>
                <c:pt idx="19">
                  <c:v>19274905709.055374</c:v>
                </c:pt>
                <c:pt idx="20">
                  <c:v>18645375610.247646</c:v>
                </c:pt>
                <c:pt idx="21">
                  <c:v>17945192376.250698</c:v>
                </c:pt>
                <c:pt idx="22">
                  <c:v>17177883259.836905</c:v>
                </c:pt>
                <c:pt idx="23">
                  <c:v>16347197119.183153</c:v>
                </c:pt>
                <c:pt idx="24">
                  <c:v>15457078705.643864</c:v>
                </c:pt>
                <c:pt idx="25">
                  <c:v>14511643312.778542</c:v>
                </c:pt>
                <c:pt idx="26">
                  <c:v>13515152008.903227</c:v>
                </c:pt>
                <c:pt idx="27">
                  <c:v>12471987645.427891</c:v>
                </c:pt>
                <c:pt idx="28">
                  <c:v>11386631802.715376</c:v>
                </c:pt>
                <c:pt idx="29">
                  <c:v>10263642804.83984</c:v>
                </c:pt>
                <c:pt idx="30">
                  <c:v>9107634905.0339127</c:v>
                </c:pt>
                <c:pt idx="31">
                  <c:v>7923258715.2884645</c:v>
                </c:pt>
                <c:pt idx="32">
                  <c:v>6715182926.9187508</c:v>
                </c:pt>
                <c:pt idx="33">
                  <c:v>5488077344.239871</c:v>
                </c:pt>
                <c:pt idx="34">
                  <c:v>4246597231.0276246</c:v>
                </c:pt>
                <c:pt idx="35">
                  <c:v>2995368949.3147035</c:v>
                </c:pt>
                <c:pt idx="36">
                  <c:v>1738976852.358906</c:v>
                </c:pt>
                <c:pt idx="37">
                  <c:v>481951378.31774145</c:v>
                </c:pt>
                <c:pt idx="38">
                  <c:v>-771241721.76590824</c:v>
                </c:pt>
                <c:pt idx="39">
                  <c:v>-2016211098.7133827</c:v>
                </c:pt>
                <c:pt idx="40">
                  <c:v>-3248648548.2306156</c:v>
                </c:pt>
                <c:pt idx="41">
                  <c:v>-4464336874.1997585</c:v>
                </c:pt>
                <c:pt idx="42">
                  <c:v>-5659156968.8458471</c:v>
                </c:pt>
                <c:pt idx="43">
                  <c:v>-6829094209.2732048</c:v>
                </c:pt>
                <c:pt idx="44">
                  <c:v>-7970244271.2162924</c:v>
                </c:pt>
                <c:pt idx="45">
                  <c:v>-9078818460.804306</c:v>
                </c:pt>
                <c:pt idx="46">
                  <c:v>-10151148663.849613</c:v>
                </c:pt>
                <c:pt idx="47">
                  <c:v>-11183692009.763231</c:v>
                </c:pt>
                <c:pt idx="48">
                  <c:v>-12173035343.798763</c:v>
                </c:pt>
                <c:pt idx="49">
                  <c:v>-13115899597.023386</c:v>
                </c:pt>
                <c:pt idx="50">
                  <c:v>-14009144138.299789</c:v>
                </c:pt>
                <c:pt idx="51">
                  <c:v>-14849771186.695179</c:v>
                </c:pt>
                <c:pt idx="52">
                  <c:v>-15634930356.167444</c:v>
                </c:pt>
                <c:pt idx="53">
                  <c:v>-16361923397.150747</c:v>
                </c:pt>
                <c:pt idx="54">
                  <c:v>-17028209191.774885</c:v>
                </c:pt>
                <c:pt idx="55" formatCode="General">
                  <c:v>-17631409050.947777</c:v>
                </c:pt>
                <c:pt idx="56">
                  <c:v>-18169312352.371212</c:v>
                </c:pt>
                <c:pt idx="57">
                  <c:v>-18639882548.769592</c:v>
                </c:pt>
                <c:pt idx="58">
                  <c:v>-19041263565.167103</c:v>
                </c:pt>
                <c:pt idx="59">
                  <c:v>-19371786592.948757</c:v>
                </c:pt>
                <c:pt idx="60">
                  <c:v>-19629977276.684589</c:v>
                </c:pt>
                <c:pt idx="61">
                  <c:v>-19814563277.289944</c:v>
                </c:pt>
                <c:pt idx="62">
                  <c:v>-19924482182.062538</c:v>
                </c:pt>
                <c:pt idx="63">
                  <c:v>-19958889718.518131</c:v>
                </c:pt>
                <c:pt idx="64">
                  <c:v>-19917168214.805519</c:v>
                </c:pt>
                <c:pt idx="65">
                  <c:v>-19798935234.909176</c:v>
                </c:pt>
                <c:pt idx="66">
                  <c:v>-19604052301.966671</c:v>
                </c:pt>
                <c:pt idx="67">
                  <c:v>-19332633607.99651</c:v>
                </c:pt>
                <c:pt idx="68">
                  <c:v>-18985054593.34753</c:v>
                </c:pt>
                <c:pt idx="69">
                  <c:v>-18561960264.479992</c:v>
                </c:pt>
                <c:pt idx="70">
                  <c:v>-18064273104.552654</c:v>
                </c:pt>
                <c:pt idx="71">
                  <c:v>-17493200418.038353</c:v>
                </c:pt>
                <c:pt idx="72">
                  <c:v>-16850240938.585722</c:v>
                </c:pt>
                <c:pt idx="73">
                  <c:v>-16137190518.982206</c:v>
                </c:pt>
                <c:pt idx="74">
                  <c:v>-15356146713.776785</c:v>
                </c:pt>
                <c:pt idx="75">
                  <c:v>-14509512059.337996</c:v>
                </c:pt>
                <c:pt idx="76">
                  <c:v>-13599995853.305334</c:v>
                </c:pt>
                <c:pt idx="77">
                  <c:v>-12630614235.987307</c:v>
                </c:pt>
                <c:pt idx="78">
                  <c:v>-11604688380.697662</c:v>
                </c:pt>
                <c:pt idx="79">
                  <c:v>-10525840608.681004</c:v>
                </c:pt>
                <c:pt idx="80">
                  <c:v>-9397988257.4928093</c:v>
                </c:pt>
                <c:pt idx="81">
                  <c:v>-8225335149.7002907</c:v>
                </c:pt>
                <c:pt idx="82">
                  <c:v>-7012360531.7027569</c:v>
                </c:pt>
                <c:pt idx="83">
                  <c:v>-5763805380.3428049</c:v>
                </c:pt>
                <c:pt idx="84">
                  <c:v>-4484656007.6600409</c:v>
                </c:pt>
                <c:pt idx="85">
                  <c:v>-3180124931.3391738</c:v>
                </c:pt>
                <c:pt idx="86">
                  <c:v>-1855629019.6600506</c:v>
                </c:pt>
                <c:pt idx="87">
                  <c:v>-516764964.43103904</c:v>
                </c:pt>
                <c:pt idx="88">
                  <c:v>830717817.3268919</c:v>
                </c:pt>
                <c:pt idx="89">
                  <c:v>2180946703.2573595</c:v>
                </c:pt>
                <c:pt idx="90">
                  <c:v>3527957607.9800596</c:v>
                </c:pt>
                <c:pt idx="91">
                  <c:v>4865728699.9859829</c:v>
                </c:pt>
                <c:pt idx="92">
                  <c:v>6188215798.5765905</c:v>
                </c:pt>
                <c:pt idx="93">
                  <c:v>7489389113.0106964</c:v>
                </c:pt>
                <c:pt idx="94">
                  <c:v>8763270947.4603348</c:v>
                </c:pt>
                <c:pt idx="95">
                  <c:v>10003973962.843672</c:v>
                </c:pt>
                <c:pt idx="96">
                  <c:v>11205739561.259283</c:v>
                </c:pt>
                <c:pt idx="97">
                  <c:v>12362975941.602037</c:v>
                </c:pt>
                <c:pt idx="98">
                  <c:v>13470295366.780109</c:v>
                </c:pt>
                <c:pt idx="99">
                  <c:v>14522550184.303152</c:v>
                </c:pt>
                <c:pt idx="100" formatCode="General">
                  <c:v>15514867153.113949</c:v>
                </c:pt>
              </c:numCache>
            </c:numRef>
          </c:xVal>
          <c:yVal>
            <c:numRef>
              <c:f>KPlot!$J$4:$J$104</c:f>
              <c:numCache>
                <c:formatCode>0.00E+00</c:formatCode>
                <c:ptCount val="101"/>
                <c:pt idx="0">
                  <c:v>-15290394870.784014</c:v>
                </c:pt>
                <c:pt idx="1">
                  <c:v>-14284591334.989309</c:v>
                </c:pt>
                <c:pt idx="2">
                  <c:v>-13219824303.568651</c:v>
                </c:pt>
                <c:pt idx="3">
                  <c:v>-12101021892.475262</c:v>
                </c:pt>
                <c:pt idx="4">
                  <c:v>-10933381445.980043</c:v>
                </c:pt>
                <c:pt idx="5">
                  <c:v>-9722334940.2874546</c:v>
                </c:pt>
                <c:pt idx="6">
                  <c:v>-8473512736.6720743</c:v>
                </c:pt>
                <c:pt idx="7">
                  <c:v>-7192706133.0209589</c:v>
                </c:pt>
                <c:pt idx="8">
                  <c:v>-5885829173.11901</c:v>
                </c:pt>
                <c:pt idx="9">
                  <c:v>-4558880173.7092543</c:v>
                </c:pt>
                <c:pt idx="10">
                  <c:v>-3217903420.5475593</c:v>
                </c:pt>
                <c:pt idx="11">
                  <c:v>-1868951466.8995538</c:v>
                </c:pt>
                <c:pt idx="12">
                  <c:v>-518048441.99144024</c:v>
                </c:pt>
                <c:pt idx="13">
                  <c:v>828845256.15559649</c:v>
                </c:pt>
                <c:pt idx="14">
                  <c:v>2165866548.1285849</c:v>
                </c:pt>
                <c:pt idx="15">
                  <c:v>3487281249.1075225</c:v>
                </c:pt>
                <c:pt idx="16">
                  <c:v>4787513388.8200598</c:v>
                </c:pt>
                <c:pt idx="17">
                  <c:v>6061172079.8567152</c:v>
                </c:pt>
                <c:pt idx="18">
                  <c:v>7303075788.3796959</c:v>
                </c:pt>
                <c:pt idx="19">
                  <c:v>8508273910.3070478</c:v>
                </c:pt>
                <c:pt idx="20">
                  <c:v>9672065603.3908138</c:v>
                </c:pt>
                <c:pt idx="21">
                  <c:v>10790015870.264505</c:v>
                </c:pt>
                <c:pt idx="22">
                  <c:v>11857968928.709629</c:v>
                </c:pt>
                <c:pt idx="23">
                  <c:v>12872058942.446911</c:v>
                </c:pt>
                <c:pt idx="24">
                  <c:v>13828718218.248867</c:v>
                </c:pt>
                <c:pt idx="25">
                  <c:v>14724683002.804916</c:v>
                </c:pt>
                <c:pt idx="26">
                  <c:v>15556997035.433195</c:v>
                </c:pt>
                <c:pt idx="27">
                  <c:v>16323013030.437532</c:v>
                </c:pt>
                <c:pt idx="28">
                  <c:v>17020392275.804256</c:v>
                </c:pt>
                <c:pt idx="29">
                  <c:v>17647102543.269672</c:v>
                </c:pt>
                <c:pt idx="30">
                  <c:v>18201414508.89386</c:v>
                </c:pt>
                <c:pt idx="31">
                  <c:v>18681896883.547062</c:v>
                </c:pt>
                <c:pt idx="32">
                  <c:v>19087410449.577103</c:v>
                </c:pt>
                <c:pt idx="33">
                  <c:v>19417101193.837933</c:v>
                </c:pt>
                <c:pt idx="34">
                  <c:v>19670392718.675335</c:v>
                </c:pt>
                <c:pt idx="35">
                  <c:v>19846978101.835365</c:v>
                </c:pt>
                <c:pt idx="36">
                  <c:v>19946811364.01115</c:v>
                </c:pt>
                <c:pt idx="37">
                  <c:v>19970098689.272614</c:v>
                </c:pt>
                <c:pt idx="38">
                  <c:v>19917289529.292271</c:v>
                </c:pt>
                <c:pt idx="39">
                  <c:v>19789067707.411362</c:v>
                </c:pt>
                <c:pt idx="40">
                  <c:v>19586342623.462559</c:v>
                </c:pt>
                <c:pt idx="41">
                  <c:v>19310240645.116611</c:v>
                </c:pt>
                <c:pt idx="42">
                  <c:v>18962096756.545849</c:v>
                </c:pt>
                <c:pt idx="43">
                  <c:v>18543446520.555298</c:v>
                </c:pt>
                <c:pt idx="44">
                  <c:v>18056018396.143223</c:v>
                </c:pt>
                <c:pt idx="45">
                  <c:v>17501726439.807507</c:v>
                </c:pt>
                <c:pt idx="46">
                  <c:v>16882663405.874043</c:v>
                </c:pt>
                <c:pt idx="47">
                  <c:v>16201094248.728819</c:v>
                </c:pt>
                <c:pt idx="48">
                  <c:v>15459450018.105423</c:v>
                </c:pt>
                <c:pt idx="49">
                  <c:v>14660322127.524059</c:v>
                </c:pt>
                <c:pt idx="50">
                  <c:v>13806456965.591459</c:v>
                </c:pt>
                <c:pt idx="51">
                  <c:v>12900750810.14953</c:v>
                </c:pt>
                <c:pt idx="52">
                  <c:v>11946244996.193602</c:v>
                </c:pt>
                <c:pt idx="53">
                  <c:v>10946121280.055868</c:v>
                </c:pt>
                <c:pt idx="54">
                  <c:v>9903697334.5885296</c:v>
                </c:pt>
                <c:pt idx="55">
                  <c:v>8822422302.9550915</c:v>
                </c:pt>
                <c:pt idx="56">
                  <c:v>7705872332.2077093</c:v>
                </c:pt>
                <c:pt idx="57">
                  <c:v>6557746002.0957289</c:v>
                </c:pt>
                <c:pt idx="58">
                  <c:v>5381859559.5809231</c:v>
                </c:pt>
                <c:pt idx="59">
                  <c:v>4182141865.388166</c:v>
                </c:pt>
                <c:pt idx="60">
                  <c:v>2962628955.6774778</c:v>
                </c:pt>
                <c:pt idx="61">
                  <c:v>1727458119.6868727</c:v>
                </c:pt>
                <c:pt idx="62">
                  <c:v>480861393.07741129</c:v>
                </c:pt>
                <c:pt idx="63">
                  <c:v>-772841633.15359521</c:v>
                </c:pt>
                <c:pt idx="64">
                  <c:v>-2029251786.7981761</c:v>
                </c:pt>
                <c:pt idx="65">
                  <c:v>-3283899167.1350532</c:v>
                </c:pt>
                <c:pt idx="66">
                  <c:v>-4532252966.9515123</c:v>
                </c:pt>
                <c:pt idx="67">
                  <c:v>-5769732348.0025845</c:v>
                </c:pt>
                <c:pt idx="68">
                  <c:v>-6991718445.3633842</c:v>
                </c:pt>
                <c:pt idx="69">
                  <c:v>-8193567565.3257494</c:v>
                </c:pt>
                <c:pt idx="70">
                  <c:v>-9370625628.4143581</c:v>
                </c:pt>
                <c:pt idx="71">
                  <c:v>-10518243893.676439</c:v>
                </c:pt>
                <c:pt idx="72">
                  <c:v>-11631795982.581018</c:v>
                </c:pt>
                <c:pt idx="73">
                  <c:v>-12706696200.66412</c:v>
                </c:pt>
                <c:pt idx="74">
                  <c:v>-13738419132.547121</c:v>
                </c:pt>
                <c:pt idx="75">
                  <c:v>-14722520461.276192</c:v>
                </c:pt>
                <c:pt idx="76">
                  <c:v>-15654658936.310453</c:v>
                </c:pt>
                <c:pt idx="77">
                  <c:v>-16530619386.239292</c:v>
                </c:pt>
                <c:pt idx="78">
                  <c:v>-17346336642.837414</c:v>
                </c:pt>
                <c:pt idx="79">
                  <c:v>-18097920212.88118</c:v>
                </c:pt>
                <c:pt idx="80">
                  <c:v>-18781679503.84087</c:v>
                </c:pt>
                <c:pt idx="81">
                  <c:v>-19394149379.825981</c:v>
                </c:pt>
                <c:pt idx="82">
                  <c:v>-19932115795.755142</c:v>
                </c:pt>
                <c:pt idx="83">
                  <c:v>-20392641231.480667</c:v>
                </c:pt>
                <c:pt idx="84">
                  <c:v>-20773089624.393147</c:v>
                </c:pt>
                <c:pt idx="85">
                  <c:v>-21071150479.751778</c:v>
                </c:pt>
                <c:pt idx="86">
                  <c:v>-21284861823.509514</c:v>
                </c:pt>
                <c:pt idx="87">
                  <c:v>-21412631653.559288</c:v>
                </c:pt>
                <c:pt idx="88">
                  <c:v>-21453257542.862801</c:v>
                </c:pt>
                <c:pt idx="89">
                  <c:v>-21405944052.46513</c:v>
                </c:pt>
                <c:pt idx="90">
                  <c:v>-21270317624.412712</c:v>
                </c:pt>
                <c:pt idx="91">
                  <c:v>-21046438644.356331</c:v>
                </c:pt>
                <c:pt idx="92">
                  <c:v>-20734810391.189671</c:v>
                </c:pt>
                <c:pt idx="93">
                  <c:v>-20336384626.260082</c:v>
                </c:pt>
                <c:pt idx="94">
                  <c:v>-19852563617.048054</c:v>
                </c:pt>
                <c:pt idx="95">
                  <c:v>-19285198439.042198</c:v>
                </c:pt>
                <c:pt idx="96">
                  <c:v>-18636583453.885395</c:v>
                </c:pt>
                <c:pt idx="97">
                  <c:v>-17909446920.5527</c:v>
                </c:pt>
                <c:pt idx="98">
                  <c:v>-17106937757.963875</c:v>
                </c:pt>
                <c:pt idx="99">
                  <c:v>-16232608540.502998</c:v>
                </c:pt>
                <c:pt idx="100" formatCode="General">
                  <c:v>-15290394870.784441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95-4E09-BC8F-F2537A3F2E08}"/>
            </c:ext>
          </c:extLst>
        </c:ser>
        <c:ser>
          <c:idx val="2"/>
          <c:order val="2"/>
          <c:tx>
            <c:strRef>
              <c:f>KPlot!$AG$2</c:f>
              <c:strCache>
                <c:ptCount val="1"/>
                <c:pt idx="0">
                  <c:v>Origin Vector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KPlot!$AG$4:$AG$5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-12959530821.61533</c:v>
                </c:pt>
              </c:numCache>
            </c:numRef>
          </c:xVal>
          <c:yVal>
            <c:numRef>
              <c:f>KPlot!$AH$4:$AH$5</c:f>
              <c:numCache>
                <c:formatCode>0.00E+00</c:formatCode>
                <c:ptCount val="2"/>
                <c:pt idx="0">
                  <c:v>0</c:v>
                </c:pt>
                <c:pt idx="1">
                  <c:v>-4123859341.9660225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95-4E09-BC8F-F2537A3F2E08}"/>
            </c:ext>
          </c:extLst>
        </c:ser>
        <c:ser>
          <c:idx val="3"/>
          <c:order val="3"/>
          <c:tx>
            <c:strRef>
              <c:f>KPlot!$AG$7</c:f>
              <c:strCache>
                <c:ptCount val="1"/>
                <c:pt idx="0">
                  <c:v>Destination Vector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KPlot!$AG$9:$AG$10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17042470100.718088</c:v>
                </c:pt>
              </c:numCache>
            </c:numRef>
          </c:xVal>
          <c:yVal>
            <c:numRef>
              <c:f>KPlot!$AH$9:$AH$10</c:f>
              <c:numCache>
                <c:formatCode>0.00E+00</c:formatCode>
                <c:ptCount val="2"/>
                <c:pt idx="0">
                  <c:v>0</c:v>
                </c:pt>
                <c:pt idx="1">
                  <c:v>12032433380.456007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95-4E09-BC8F-F2537A3F2E08}"/>
            </c:ext>
          </c:extLst>
        </c:ser>
        <c:ser>
          <c:idx val="4"/>
          <c:order val="4"/>
          <c:tx>
            <c:strRef>
              <c:f>KPlot!$AG$12</c:f>
              <c:strCache>
                <c:ptCount val="1"/>
                <c:pt idx="0">
                  <c:v>Ascending Node Vector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KPlot!$AG$14:$AG$16</c:f>
              <c:numCache>
                <c:formatCode>0.00E+00</c:formatCode>
                <c:ptCount val="3"/>
                <c:pt idx="0">
                  <c:v>0</c:v>
                </c:pt>
              </c:numCache>
            </c:numRef>
          </c:xVal>
          <c:yVal>
            <c:numRef>
              <c:f>KPlot!$AH$14:$AH$16</c:f>
              <c:numCache>
                <c:formatCode>0.00E+00</c:formatCode>
                <c:ptCount val="3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95-4E09-BC8F-F2537A3F2E08}"/>
            </c:ext>
          </c:extLst>
        </c:ser>
        <c:ser>
          <c:idx val="5"/>
          <c:order val="5"/>
          <c:tx>
            <c:strRef>
              <c:f>KPlot!$AG$17</c:f>
              <c:strCache>
                <c:ptCount val="1"/>
                <c:pt idx="0">
                  <c:v>Descending Node Vector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KPlot!$AG$19:$AG$21</c:f>
              <c:numCache>
                <c:formatCode>0.00E+00</c:formatCode>
                <c:ptCount val="3"/>
                <c:pt idx="0">
                  <c:v>0</c:v>
                </c:pt>
              </c:numCache>
            </c:numRef>
          </c:xVal>
          <c:yVal>
            <c:numRef>
              <c:f>KPlot!$AH$19:$AH$21</c:f>
              <c:numCache>
                <c:formatCode>0.00E+00</c:formatCode>
                <c:ptCount val="3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5A-4ADC-A8F9-7C290596E318}"/>
            </c:ext>
          </c:extLst>
        </c:ser>
        <c:ser>
          <c:idx val="6"/>
          <c:order val="6"/>
          <c:tx>
            <c:strRef>
              <c:f>KPlot!$M$2</c:f>
              <c:strCache>
                <c:ptCount val="1"/>
                <c:pt idx="0">
                  <c:v>Direct Transfer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KPlot!$M$4:$M$104</c:f>
              <c:numCache>
                <c:formatCode>0.00E+00</c:formatCode>
                <c:ptCount val="101"/>
                <c:pt idx="0">
                  <c:v>-12959530821.615719</c:v>
                </c:pt>
                <c:pt idx="1">
                  <c:v>-12804239627.016361</c:v>
                </c:pt>
                <c:pt idx="2">
                  <c:v>-12636508631.812675</c:v>
                </c:pt>
                <c:pt idx="3">
                  <c:v>-12456439734.519018</c:v>
                </c:pt>
                <c:pt idx="4">
                  <c:v>-12264133895.098013</c:v>
                </c:pt>
                <c:pt idx="5">
                  <c:v>-12059691316.099094</c:v>
                </c:pt>
                <c:pt idx="6">
                  <c:v>-11843211649.661331</c:v>
                </c:pt>
                <c:pt idx="7">
                  <c:v>-11614794230.309982</c:v>
                </c:pt>
                <c:pt idx="8">
                  <c:v>-11374538333.552723</c:v>
                </c:pt>
                <c:pt idx="9">
                  <c:v>-11122543460.359238</c:v>
                </c:pt>
                <c:pt idx="10">
                  <c:v>-10858909647.671347</c:v>
                </c:pt>
                <c:pt idx="11">
                  <c:v>-10583737805.157703</c:v>
                </c:pt>
                <c:pt idx="12">
                  <c:v>-10297130078.479305</c:v>
                </c:pt>
                <c:pt idx="13">
                  <c:v>-9999190239.3821335</c:v>
                </c:pt>
                <c:pt idx="14">
                  <c:v>-9690024102.9718418</c:v>
                </c:pt>
                <c:pt idx="15">
                  <c:v>-9369739972.5579567</c:v>
                </c:pt>
                <c:pt idx="16">
                  <c:v>-9038449112.476799</c:v>
                </c:pt>
                <c:pt idx="17">
                  <c:v>-8696266249.3095398</c:v>
                </c:pt>
                <c:pt idx="18">
                  <c:v>-8343310101.9156055</c:v>
                </c:pt>
                <c:pt idx="19">
                  <c:v>-7979703940.6839933</c:v>
                </c:pt>
                <c:pt idx="20">
                  <c:v>-7605576176.3775778</c:v>
                </c:pt>
                <c:pt idx="21">
                  <c:v>-7221060978.9019661</c:v>
                </c:pt>
                <c:pt idx="22">
                  <c:v>-6826298926.266696</c:v>
                </c:pt>
                <c:pt idx="23">
                  <c:v>-6421437683.9315042</c:v>
                </c:pt>
                <c:pt idx="24">
                  <c:v>-6006632714.6225538</c:v>
                </c:pt>
                <c:pt idx="25">
                  <c:v>-5582048018.5887566</c:v>
                </c:pt>
                <c:pt idx="26">
                  <c:v>-5147856904.1138372</c:v>
                </c:pt>
                <c:pt idx="27">
                  <c:v>-4704242787.9316216</c:v>
                </c:pt>
                <c:pt idx="28">
                  <c:v>-4251400024.9895468</c:v>
                </c:pt>
                <c:pt idx="29">
                  <c:v>-3789534766.7704291</c:v>
                </c:pt>
                <c:pt idx="30">
                  <c:v>-3318865847.1249337</c:v>
                </c:pt>
                <c:pt idx="31">
                  <c:v>-2839625694.2613764</c:v>
                </c:pt>
                <c:pt idx="32">
                  <c:v>-2352061267.2100182</c:v>
                </c:pt>
                <c:pt idx="33">
                  <c:v>-1856435014.705193</c:v>
                </c:pt>
                <c:pt idx="34">
                  <c:v>-1353025854.0098326</c:v>
                </c:pt>
                <c:pt idx="35">
                  <c:v>-842130166.76202738</c:v>
                </c:pt>
                <c:pt idx="36">
                  <c:v>-324062808.41506296</c:v>
                </c:pt>
                <c:pt idx="37">
                  <c:v>200841872.68988645</c:v>
                </c:pt>
                <c:pt idx="38">
                  <c:v>732229011.17095923</c:v>
                </c:pt>
                <c:pt idx="39">
                  <c:v>1269722200.548208</c:v>
                </c:pt>
                <c:pt idx="40">
                  <c:v>1812922475.1329319</c:v>
                </c:pt>
                <c:pt idx="41">
                  <c:v>2361407304.4214854</c:v>
                </c:pt>
                <c:pt idx="42">
                  <c:v>2914729607.3068562</c:v>
                </c:pt>
                <c:pt idx="43">
                  <c:v>3472416794.199883</c:v>
                </c:pt>
                <c:pt idx="44">
                  <c:v>4033969845.9649887</c:v>
                </c:pt>
                <c:pt idx="45">
                  <c:v>4598862439.4119005</c:v>
                </c:pt>
                <c:pt idx="46">
                  <c:v>5166540129.9295177</c:v>
                </c:pt>
                <c:pt idx="47">
                  <c:v>5736419602.7008734</c:v>
                </c:pt>
                <c:pt idx="48">
                  <c:v>6307888004.7830906</c:v>
                </c:pt>
                <c:pt idx="49">
                  <c:v>6880302371.155611</c:v>
                </c:pt>
                <c:pt idx="50">
                  <c:v>7452989158.627079</c:v>
                </c:pt>
                <c:pt idx="51">
                  <c:v>8025243902.217001</c:v>
                </c:pt>
                <c:pt idx="52">
                  <c:v>8596331009.2871265</c:v>
                </c:pt>
                <c:pt idx="53">
                  <c:v>9165483707.2459202</c:v>
                </c:pt>
                <c:pt idx="54">
                  <c:v>9731904161.0925159</c:v>
                </c:pt>
                <c:pt idx="55">
                  <c:v>10294763777.345406</c:v>
                </c:pt>
                <c:pt idx="56">
                  <c:v>10853203711.0208</c:v>
                </c:pt>
                <c:pt idx="57">
                  <c:v>11406335592.230513</c:v>
                </c:pt>
                <c:pt idx="58">
                  <c:v>11953242488.648117</c:v>
                </c:pt>
                <c:pt idx="59">
                  <c:v>12492980119.511276</c:v>
                </c:pt>
                <c:pt idx="60">
                  <c:v>13024578335.952188</c:v>
                </c:pt>
                <c:pt idx="61">
                  <c:v>13547042881.264156</c:v>
                </c:pt>
                <c:pt idx="62">
                  <c:v>14059357443.180925</c:v>
                </c:pt>
                <c:pt idx="63">
                  <c:v>14560486008.360334</c:v>
                </c:pt>
                <c:pt idx="64">
                  <c:v>15049375526.996744</c:v>
                </c:pt>
                <c:pt idx="65">
                  <c:v>15524958892.837393</c:v>
                </c:pt>
                <c:pt idx="66">
                  <c:v>15986158240.837063</c:v>
                </c:pt>
                <c:pt idx="67">
                  <c:v>16431888561.262512</c:v>
                </c:pt>
                <c:pt idx="68">
                  <c:v>16861061625.266356</c:v>
                </c:pt>
                <c:pt idx="69">
                  <c:v>17272590212.816227</c:v>
                </c:pt>
                <c:pt idx="70">
                  <c:v>17665392629.427166</c:v>
                </c:pt>
                <c:pt idx="71">
                  <c:v>18038397493.448662</c:v>
                </c:pt>
                <c:pt idx="72">
                  <c:v>18390548770.773746</c:v>
                </c:pt>
                <c:pt idx="73">
                  <c:v>18720811028.825836</c:v>
                </c:pt>
                <c:pt idx="74">
                  <c:v>19028174876.644951</c:v>
                </c:pt>
                <c:pt idx="75">
                  <c:v>19311662552.91468</c:v>
                </c:pt>
                <c:pt idx="76">
                  <c:v>19570333618.972248</c:v>
                </c:pt>
                <c:pt idx="77">
                  <c:v>19803290709.32288</c:v>
                </c:pt>
                <c:pt idx="78">
                  <c:v>20009685288.069164</c:v>
                </c:pt>
                <c:pt idx="79">
                  <c:v>20188723356.078335</c:v>
                </c:pt>
                <c:pt idx="80">
                  <c:v>20339671050.769814</c:v>
                </c:pt>
                <c:pt idx="81">
                  <c:v>20461860078.224369</c:v>
                </c:pt>
                <c:pt idx="82">
                  <c:v>20554692915.999027</c:v>
                </c:pt>
                <c:pt idx="83">
                  <c:v>20617647724.671551</c:v>
                </c:pt>
                <c:pt idx="84">
                  <c:v>20650282906.805569</c:v>
                </c:pt>
                <c:pt idx="85">
                  <c:v>20652241253.776672</c:v>
                </c:pt>
                <c:pt idx="86">
                  <c:v>20623253623.75737</c:v>
                </c:pt>
                <c:pt idx="87">
                  <c:v>20563142098.124809</c:v>
                </c:pt>
                <c:pt idx="88">
                  <c:v>20471822568.601154</c:v>
                </c:pt>
                <c:pt idx="89">
                  <c:v>20349306713.503014</c:v>
                </c:pt>
                <c:pt idx="90">
                  <c:v>20195703328.474239</c:v>
                </c:pt>
                <c:pt idx="91">
                  <c:v>20011218984.890038</c:v>
                </c:pt>
                <c:pt idx="92">
                  <c:v>19796157997.604321</c:v>
                </c:pt>
                <c:pt idx="93">
                  <c:v>19550921692.702271</c:v>
                </c:pt>
                <c:pt idx="94">
                  <c:v>19276006975.233063</c:v>
                </c:pt>
                <c:pt idx="95">
                  <c:v>18972004206.335987</c:v>
                </c:pt>
                <c:pt idx="96">
                  <c:v>18639594408.535793</c:v>
                </c:pt>
                <c:pt idx="97">
                  <c:v>18279545827.065701</c:v>
                </c:pt>
                <c:pt idx="98">
                  <c:v>17892709883.684116</c:v>
                </c:pt>
                <c:pt idx="99">
                  <c:v>17480016567.397057</c:v>
                </c:pt>
                <c:pt idx="100" formatCode="General">
                  <c:v>17042469313.619226</c:v>
                </c:pt>
              </c:numCache>
            </c:numRef>
          </c:xVal>
          <c:yVal>
            <c:numRef>
              <c:f>KPlot!$N$4:$N$104</c:f>
              <c:numCache>
                <c:formatCode>0.00E+00</c:formatCode>
                <c:ptCount val="101"/>
                <c:pt idx="0">
                  <c:v>-4123859341.9662218</c:v>
                </c:pt>
                <c:pt idx="1">
                  <c:v>-4566266078.6577959</c:v>
                </c:pt>
                <c:pt idx="2">
                  <c:v>-5003920072.3569078</c:v>
                </c:pt>
                <c:pt idx="3">
                  <c:v>-5436579226.3220205</c:v>
                </c:pt>
                <c:pt idx="4">
                  <c:v>-5864001316.7296753</c:v>
                </c:pt>
                <c:pt idx="5">
                  <c:v>-6285943556.8193922</c:v>
                </c:pt>
                <c:pt idx="6">
                  <c:v>-6702162172.0267305</c:v>
                </c:pt>
                <c:pt idx="7">
                  <c:v>-7112411986.5108585</c:v>
                </c:pt>
                <c:pt idx="8">
                  <c:v>-7516446021.5380173</c:v>
                </c:pt>
                <c:pt idx="9">
                  <c:v>-7914015106.2346449</c:v>
                </c:pt>
                <c:pt idx="10">
                  <c:v>-8304867501.3021488</c:v>
                </c:pt>
                <c:pt idx="11">
                  <c:v>-8688748536.3559723</c:v>
                </c:pt>
                <c:pt idx="12">
                  <c:v>-9065400261.6455269</c:v>
                </c:pt>
                <c:pt idx="13">
                  <c:v>-9434561115.0060463</c:v>
                </c:pt>
                <c:pt idx="14">
                  <c:v>-9795965605.0024567</c:v>
                </c:pt>
                <c:pt idx="15">
                  <c:v>-10149344011.339611</c:v>
                </c:pt>
                <c:pt idx="16">
                  <c:v>-10494422103.738581</c:v>
                </c:pt>
                <c:pt idx="17">
                  <c:v>-10830920880.616833</c:v>
                </c:pt>
                <c:pt idx="18">
                  <c:v>-11158556329.047562</c:v>
                </c:pt>
                <c:pt idx="19">
                  <c:v>-11477039207.629869</c:v>
                </c:pt>
                <c:pt idx="20">
                  <c:v>-11786074854.060192</c:v>
                </c:pt>
                <c:pt idx="21">
                  <c:v>-12085363019.363598</c:v>
                </c:pt>
                <c:pt idx="22">
                  <c:v>-12374597730.921143</c:v>
                </c:pt>
                <c:pt idx="23">
                  <c:v>-12653467186.608164</c:v>
                </c:pt>
                <c:pt idx="24">
                  <c:v>-12921653682.552752</c:v>
                </c:pt>
                <c:pt idx="25">
                  <c:v>-13178833577.210939</c:v>
                </c:pt>
                <c:pt idx="26">
                  <c:v>-13424677294.658028</c:v>
                </c:pt>
                <c:pt idx="27">
                  <c:v>-13658849370.191229</c:v>
                </c:pt>
                <c:pt idx="28">
                  <c:v>-13881008541.54003</c:v>
                </c:pt>
                <c:pt idx="29">
                  <c:v>-14090807889.180649</c:v>
                </c:pt>
                <c:pt idx="30">
                  <c:v>-14287895029.442034</c:v>
                </c:pt>
                <c:pt idx="31">
                  <c:v>-14471912364.282322</c:v>
                </c:pt>
                <c:pt idx="32">
                  <c:v>-14642497391.789356</c:v>
                </c:pt>
                <c:pt idx="33">
                  <c:v>-14799283081.623528</c:v>
                </c:pt>
                <c:pt idx="34">
                  <c:v>-14941898319.769049</c:v>
                </c:pt>
                <c:pt idx="35">
                  <c:v>-15069968427.079874</c:v>
                </c:pt>
                <c:pt idx="36">
                  <c:v>-15183115756.206181</c:v>
                </c:pt>
                <c:pt idx="37">
                  <c:v>-15280960371.547009</c:v>
                </c:pt>
                <c:pt idx="38">
                  <c:v>-15363120816.899721</c:v>
                </c:pt>
                <c:pt idx="39">
                  <c:v>-15429214975.452118</c:v>
                </c:pt>
                <c:pt idx="40">
                  <c:v>-15478861026.686989</c:v>
                </c:pt>
                <c:pt idx="41">
                  <c:v>-15511678504.629305</c:v>
                </c:pt>
                <c:pt idx="42">
                  <c:v>-15527289461.658501</c:v>
                </c:pt>
                <c:pt idx="43">
                  <c:v>-15525319741.82052</c:v>
                </c:pt>
                <c:pt idx="44">
                  <c:v>-15505400367.200031</c:v>
                </c:pt>
                <c:pt idx="45">
                  <c:v>-15467169040.441975</c:v>
                </c:pt>
                <c:pt idx="46">
                  <c:v>-15410271765.934574</c:v>
                </c:pt>
                <c:pt idx="47">
                  <c:v>-15334364591.474499</c:v>
                </c:pt>
                <c:pt idx="48">
                  <c:v>-15239115471.419764</c:v>
                </c:pt>
                <c:pt idx="49">
                  <c:v>-15124206251.390472</c:v>
                </c:pt>
                <c:pt idx="50">
                  <c:v>-14989334773.493214</c:v>
                </c:pt>
                <c:pt idx="51">
                  <c:v>-14834217099.818335</c:v>
                </c:pt>
                <c:pt idx="52">
                  <c:v>-14658589850.583225</c:v>
                </c:pt>
                <c:pt idx="53">
                  <c:v>-14462212651.772821</c:v>
                </c:pt>
                <c:pt idx="54">
                  <c:v>-14244870685.453915</c:v>
                </c:pt>
                <c:pt idx="55">
                  <c:v>-14006377334.125557</c:v>
                </c:pt>
                <c:pt idx="56">
                  <c:v>-13746576908.51158</c:v>
                </c:pt>
                <c:pt idx="57">
                  <c:v>-13465347446.122683</c:v>
                </c:pt>
                <c:pt idx="58">
                  <c:v>-13162603565.725521</c:v>
                </c:pt>
                <c:pt idx="59">
                  <c:v>-12838299360.575045</c:v>
                </c:pt>
                <c:pt idx="60">
                  <c:v>-12492431310.924887</c:v>
                </c:pt>
                <c:pt idx="61">
                  <c:v>-12125041193.952587</c:v>
                </c:pt>
                <c:pt idx="62">
                  <c:v>-11736218966.866695</c:v>
                </c:pt>
                <c:pt idx="63">
                  <c:v>-11326105596.6366</c:v>
                </c:pt>
                <c:pt idx="64">
                  <c:v>-10894895807.55793</c:v>
                </c:pt>
                <c:pt idx="65">
                  <c:v>-10442840715.784557</c:v>
                </c:pt>
                <c:pt idx="66">
                  <c:v>-9970250318.0840664</c:v>
                </c:pt>
                <c:pt idx="67">
                  <c:v>-9477495800.4664726</c:v>
                </c:pt>
                <c:pt idx="68">
                  <c:v>-8965011631.0615597</c:v>
                </c:pt>
                <c:pt idx="69">
                  <c:v>-8433297400.7432318</c:v>
                </c:pt>
                <c:pt idx="70">
                  <c:v>-7882919374.5833769</c:v>
                </c:pt>
                <c:pt idx="71">
                  <c:v>-7314511717.3320427</c:v>
                </c:pt>
                <c:pt idx="72">
                  <c:v>-6728777356.8103619</c:v>
                </c:pt>
                <c:pt idx="73">
                  <c:v>-6126488450.4403152</c:v>
                </c:pt>
                <c:pt idx="74">
                  <c:v>-5508486422.1358843</c:v>
                </c:pt>
                <c:pt idx="75">
                  <c:v>-4875681539.5068626</c:v>
                </c:pt>
                <c:pt idx="76">
                  <c:v>-4229052004.7634678</c:v>
                </c:pt>
                <c:pt idx="77">
                  <c:v>-3569642536.8879023</c:v>
                </c:pt>
                <c:pt idx="78">
                  <c:v>-2898562427.5174384</c:v>
                </c:pt>
                <c:pt idx="79">
                  <c:v>-2216983058.5409293</c:v>
                </c:pt>
                <c:pt idx="80">
                  <c:v>-1526134875.5830295</c:v>
                </c:pt>
                <c:pt idx="81">
                  <c:v>-827303818.25798118</c:v>
                </c:pt>
                <c:pt idx="82">
                  <c:v>-121827215.22661178</c:v>
                </c:pt>
                <c:pt idx="83">
                  <c:v>588910840.44524133</c:v>
                </c:pt>
                <c:pt idx="84">
                  <c:v>1303484612.4741707</c:v>
                </c:pt>
                <c:pt idx="85">
                  <c:v>2020432308.2559149</c:v>
                </c:pt>
                <c:pt idx="86">
                  <c:v>2738262093.0777512</c:v>
                </c:pt>
                <c:pt idx="87">
                  <c:v>3455458486.0008702</c:v>
                </c:pt>
                <c:pt idx="88">
                  <c:v>4170489084.9726005</c:v>
                </c:pt>
                <c:pt idx="89">
                  <c:v>4881811562.5855045</c:v>
                </c:pt>
                <c:pt idx="90">
                  <c:v>5587880868.5465746</c:v>
                </c:pt>
                <c:pt idx="91">
                  <c:v>6287156570.5057116</c:v>
                </c:pt>
                <c:pt idx="92">
                  <c:v>6978110261.5542374</c:v>
                </c:pt>
                <c:pt idx="93">
                  <c:v>7659232960.5275412</c:v>
                </c:pt>
                <c:pt idx="94">
                  <c:v>8329042430.3132458</c:v>
                </c:pt>
                <c:pt idx="95">
                  <c:v>8986090339.7177334</c:v>
                </c:pt>
                <c:pt idx="96">
                  <c:v>9628969196.087244</c:v>
                </c:pt>
                <c:pt idx="97">
                  <c:v>10256318978.789991</c:v>
                </c:pt>
                <c:pt idx="98">
                  <c:v>10866833407.782858</c:v>
                </c:pt>
                <c:pt idx="99">
                  <c:v>11459265786.72237</c:v>
                </c:pt>
                <c:pt idx="100" formatCode="General">
                  <c:v>12032434366.310421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D5A-4ADC-A8F9-7C290596E318}"/>
            </c:ext>
          </c:extLst>
        </c:ser>
        <c:ser>
          <c:idx val="7"/>
          <c:order val="7"/>
          <c:tx>
            <c:strRef>
              <c:f>KPlot!$U$2</c:f>
              <c:strCache>
                <c:ptCount val="1"/>
                <c:pt idx="0">
                  <c:v>90° Transfer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KPlot!$U$4:$U$104</c:f>
              <c:numCache>
                <c:formatCode>0.00E+00</c:formatCode>
                <c:ptCount val="101"/>
              </c:numCache>
            </c:numRef>
          </c:xVal>
          <c:yVal>
            <c:numRef>
              <c:f>KPlot!$V$4:$V$104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63-4361-A2A6-1E27460DE5BE}"/>
            </c:ext>
          </c:extLst>
        </c:ser>
        <c:ser>
          <c:idx val="8"/>
          <c:order val="8"/>
          <c:tx>
            <c:strRef>
              <c:f>KPlot!$Q$2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KPlot!$Q$4:$Q$104</c:f>
              <c:numCache>
                <c:formatCode>0.00E+00</c:formatCode>
                <c:ptCount val="101"/>
              </c:numCache>
            </c:numRef>
          </c:xVal>
          <c:yVal>
            <c:numRef>
              <c:f>KPlot!$R$4:$R$104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63-4361-A2A6-1E27460DE5BE}"/>
            </c:ext>
          </c:extLst>
        </c:ser>
        <c:ser>
          <c:idx val="9"/>
          <c:order val="9"/>
          <c:tx>
            <c:strRef>
              <c:f>KPlot!$AG$52</c:f>
              <c:strCache>
                <c:ptCount val="1"/>
                <c:pt idx="0">
                  <c:v>90 Transfer (IP)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KPlot!$AG$54:$AG$55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KPlot!$AH$54:$AH$55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20-4B45-AF88-5FDB9D7CF75B}"/>
            </c:ext>
          </c:extLst>
        </c:ser>
        <c:ser>
          <c:idx val="10"/>
          <c:order val="10"/>
          <c:tx>
            <c:strRef>
              <c:f>KPlot!$AG$56</c:f>
              <c:strCache>
                <c:ptCount val="1"/>
                <c:pt idx="0">
                  <c:v>90 Transfer (OP)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KPlot!$AG$58:$AG$59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KPlot!$AH$58:$AH$59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20-4B45-AF88-5FDB9D7CF75B}"/>
            </c:ext>
          </c:extLst>
        </c:ser>
        <c:ser>
          <c:idx val="11"/>
          <c:order val="11"/>
          <c:tx>
            <c:strRef>
              <c:f>KPlot!$AJ$36</c:f>
              <c:strCache>
                <c:ptCount val="1"/>
                <c:pt idx="0">
                  <c:v>Destination At Injection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KPlot!$AJ$38:$AJ$39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-6438921825.771245</c:v>
                </c:pt>
              </c:numCache>
            </c:numRef>
          </c:xVal>
          <c:yVal>
            <c:numRef>
              <c:f>KPlot!$AK$38:$AK$39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-20154941597.703873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6B0-418D-930D-28C9D55FB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Side view orbital plot (x-z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Orig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KPlot!$E$4:$E$104</c:f>
              <c:numCache>
                <c:formatCode>0.00E+00</c:formatCode>
                <c:ptCount val="101"/>
                <c:pt idx="0">
                  <c:v>-13599823007.697136</c:v>
                </c:pt>
                <c:pt idx="1">
                  <c:v>-13574346895.255716</c:v>
                </c:pt>
                <c:pt idx="2">
                  <c:v>-13495299037.147917</c:v>
                </c:pt>
                <c:pt idx="3">
                  <c:v>-13362991399.156162</c:v>
                </c:pt>
                <c:pt idx="4">
                  <c:v>-13177946139.081997</c:v>
                </c:pt>
                <c:pt idx="5">
                  <c:v>-12940893546.027786</c:v>
                </c:pt>
                <c:pt idx="6">
                  <c:v>-12652769158.279301</c:v>
                </c:pt>
                <c:pt idx="7">
                  <c:v>-12314710071.163467</c:v>
                </c:pt>
                <c:pt idx="8">
                  <c:v>-11928050449.452618</c:v>
                </c:pt>
                <c:pt idx="9">
                  <c:v>-11494316262.025671</c:v>
                </c:pt>
                <c:pt idx="10">
                  <c:v>-11015219259.566111</c:v>
                </c:pt>
                <c:pt idx="11">
                  <c:v>-10492650219.064034</c:v>
                </c:pt>
                <c:pt idx="12">
                  <c:v>-9928671481.7832127</c:v>
                </c:pt>
                <c:pt idx="13">
                  <c:v>-9325508814.1423225</c:v>
                </c:pt>
                <c:pt idx="14">
                  <c:v>-8685542623.6317406</c:v>
                </c:pt>
                <c:pt idx="15">
                  <c:v>-8011298564.4326744</c:v>
                </c:pt>
                <c:pt idx="16">
                  <c:v>-7305437569.8139505</c:v>
                </c:pt>
                <c:pt idx="17">
                  <c:v>-6570745350.6441259</c:v>
                </c:pt>
                <c:pt idx="18">
                  <c:v>-5810121401.463315</c:v>
                </c:pt>
                <c:pt idx="19">
                  <c:v>-5026567557.5028963</c:v>
                </c:pt>
                <c:pt idx="20">
                  <c:v>-4223176147.8133025</c:v>
                </c:pt>
                <c:pt idx="21">
                  <c:v>-3403117791.2539582</c:v>
                </c:pt>
                <c:pt idx="22">
                  <c:v>-2569628883.509141</c:v>
                </c:pt>
                <c:pt idx="23">
                  <c:v>-1725998824.5129058</c:v>
                </c:pt>
                <c:pt idx="24">
                  <c:v>-875557036.69015062</c:v>
                </c:pt>
                <c:pt idx="25">
                  <c:v>-21659825.247552719</c:v>
                </c:pt>
                <c:pt idx="26">
                  <c:v>832322867.62986445</c:v>
                </c:pt>
                <c:pt idx="27">
                  <c:v>1683020762.4008946</c:v>
                </c:pt>
                <c:pt idx="28">
                  <c:v>2527076543.1217761</c:v>
                </c:pt>
                <c:pt idx="29">
                  <c:v>3361159107.2384095</c:v>
                </c:pt>
                <c:pt idx="30">
                  <c:v>4181976711.9263043</c:v>
                </c:pt>
                <c:pt idx="31">
                  <c:v>4986289965.0956497</c:v>
                </c:pt>
                <c:pt idx="32">
                  <c:v>5770924609.7919588</c:v>
                </c:pt>
                <c:pt idx="33">
                  <c:v>6532784051.5380888</c:v>
                </c:pt>
                <c:pt idx="34">
                  <c:v>7268861579.1779346</c:v>
                </c:pt>
                <c:pt idx="35">
                  <c:v>7976252230.9917412</c:v>
                </c:pt>
                <c:pt idx="36">
                  <c:v>8652164259.2528458</c:v>
                </c:pt>
                <c:pt idx="37">
                  <c:v>9293930147.9805298</c:v>
                </c:pt>
                <c:pt idx="38">
                  <c:v>9899017140.4069386</c:v>
                </c:pt>
                <c:pt idx="39">
                  <c:v>10465037234.61091</c:v>
                </c:pt>
                <c:pt idx="40">
                  <c:v>10989756607.870607</c:v>
                </c:pt>
                <c:pt idx="41">
                  <c:v>11471104432.541256</c:v>
                </c:pt>
                <c:pt idx="42">
                  <c:v>11907181048.665781</c:v>
                </c:pt>
                <c:pt idx="43">
                  <c:v>12296265461.064793</c:v>
                </c:pt>
                <c:pt idx="44">
                  <c:v>12636822131.318316</c:v>
                </c:pt>
                <c:pt idx="45">
                  <c:v>12927507037.8344</c:v>
                </c:pt>
                <c:pt idx="46">
                  <c:v>13167172980.088331</c:v>
                </c:pt>
                <c:pt idx="47">
                  <c:v>13354874106.098984</c:v>
                </c:pt>
                <c:pt idx="48">
                  <c:v>13489869645.274481</c:v>
                </c:pt>
                <c:pt idx="49">
                  <c:v>13571626831.895294</c:v>
                </c:pt>
                <c:pt idx="50">
                  <c:v>13599823007.697136</c:v>
                </c:pt>
                <c:pt idx="51">
                  <c:v>13574346895.255716</c:v>
                </c:pt>
                <c:pt idx="52">
                  <c:v>13495299037.147923</c:v>
                </c:pt>
                <c:pt idx="53">
                  <c:v>13362991399.156172</c:v>
                </c:pt>
                <c:pt idx="54">
                  <c:v>13177946139.082008</c:v>
                </c:pt>
                <c:pt idx="55" formatCode="General">
                  <c:v>12940893546.027809</c:v>
                </c:pt>
                <c:pt idx="56">
                  <c:v>12652769158.279327</c:v>
                </c:pt>
                <c:pt idx="57">
                  <c:v>12314710071.163496</c:v>
                </c:pt>
                <c:pt idx="58">
                  <c:v>11928050449.452656</c:v>
                </c:pt>
                <c:pt idx="59">
                  <c:v>11494316262.025721</c:v>
                </c:pt>
                <c:pt idx="60">
                  <c:v>11015219259.566166</c:v>
                </c:pt>
                <c:pt idx="61">
                  <c:v>10492650219.064095</c:v>
                </c:pt>
                <c:pt idx="62">
                  <c:v>9928671481.7832851</c:v>
                </c:pt>
                <c:pt idx="63">
                  <c:v>9325508814.1424084</c:v>
                </c:pt>
                <c:pt idx="64">
                  <c:v>8685542623.631834</c:v>
                </c:pt>
                <c:pt idx="65">
                  <c:v>8011298564.4327602</c:v>
                </c:pt>
                <c:pt idx="66">
                  <c:v>7305437569.8140516</c:v>
                </c:pt>
                <c:pt idx="67">
                  <c:v>6570745350.6442299</c:v>
                </c:pt>
                <c:pt idx="68">
                  <c:v>5810121401.4634228</c:v>
                </c:pt>
                <c:pt idx="69">
                  <c:v>5026567557.5030155</c:v>
                </c:pt>
                <c:pt idx="70">
                  <c:v>4223176147.8134274</c:v>
                </c:pt>
                <c:pt idx="71">
                  <c:v>3403117791.2540736</c:v>
                </c:pt>
                <c:pt idx="72">
                  <c:v>2569628883.5092697</c:v>
                </c:pt>
                <c:pt idx="73">
                  <c:v>1725998824.5130119</c:v>
                </c:pt>
                <c:pt idx="74">
                  <c:v>875557036.69026947</c:v>
                </c:pt>
                <c:pt idx="75">
                  <c:v>21659825.247671843</c:v>
                </c:pt>
                <c:pt idx="76">
                  <c:v>-832322867.6297456</c:v>
                </c:pt>
                <c:pt idx="77">
                  <c:v>-1683020762.4007764</c:v>
                </c:pt>
                <c:pt idx="78">
                  <c:v>-2527076543.1216593</c:v>
                </c:pt>
                <c:pt idx="79">
                  <c:v>-3361159107.2382946</c:v>
                </c:pt>
                <c:pt idx="80">
                  <c:v>-4181976711.9261909</c:v>
                </c:pt>
                <c:pt idx="81">
                  <c:v>-4986289965.0955391</c:v>
                </c:pt>
                <c:pt idx="82">
                  <c:v>-5770924609.791852</c:v>
                </c:pt>
                <c:pt idx="83">
                  <c:v>-6532784051.5379839</c:v>
                </c:pt>
                <c:pt idx="84">
                  <c:v>-7268861579.1778355</c:v>
                </c:pt>
                <c:pt idx="85">
                  <c:v>-7976252230.9916449</c:v>
                </c:pt>
                <c:pt idx="86">
                  <c:v>-8652164259.2527523</c:v>
                </c:pt>
                <c:pt idx="87">
                  <c:v>-9293930147.980444</c:v>
                </c:pt>
                <c:pt idx="88">
                  <c:v>-9899017140.4068565</c:v>
                </c:pt>
                <c:pt idx="89">
                  <c:v>-10465037234.610834</c:v>
                </c:pt>
                <c:pt idx="90">
                  <c:v>-10989756607.870537</c:v>
                </c:pt>
                <c:pt idx="91">
                  <c:v>-11471104432.541191</c:v>
                </c:pt>
                <c:pt idx="92">
                  <c:v>-11907181048.66571</c:v>
                </c:pt>
                <c:pt idx="93">
                  <c:v>-12296265461.064732</c:v>
                </c:pt>
                <c:pt idx="94">
                  <c:v>-12636822131.318272</c:v>
                </c:pt>
                <c:pt idx="95">
                  <c:v>-12927507037.834364</c:v>
                </c:pt>
                <c:pt idx="96">
                  <c:v>-13167172980.088301</c:v>
                </c:pt>
                <c:pt idx="97">
                  <c:v>-13354874106.098961</c:v>
                </c:pt>
                <c:pt idx="98">
                  <c:v>-13489869645.274466</c:v>
                </c:pt>
                <c:pt idx="99">
                  <c:v>-13571626831.895287</c:v>
                </c:pt>
                <c:pt idx="100" formatCode="General">
                  <c:v>-13599823007.697136</c:v>
                </c:pt>
              </c:numCache>
            </c:numRef>
          </c:xVal>
          <c:yVal>
            <c:numRef>
              <c:f>KPlot!$G$4:$G$104</c:f>
              <c:numCache>
                <c:formatCode>0.00E+00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 formatCode="General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EB-489F-B3A1-09BA26602FE5}"/>
            </c:ext>
          </c:extLst>
        </c:ser>
        <c:ser>
          <c:idx val="1"/>
          <c:order val="1"/>
          <c:tx>
            <c:v>Dest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KPlot!$I$4:$I$104</c:f>
              <c:numCache>
                <c:formatCode>0.00E+00</c:formatCode>
                <c:ptCount val="101"/>
                <c:pt idx="0">
                  <c:v>15514867153.114368</c:v>
                </c:pt>
                <c:pt idx="1">
                  <c:v>16442679650.331343</c:v>
                </c:pt>
                <c:pt idx="2">
                  <c:v>17301757361.658581</c:v>
                </c:pt>
                <c:pt idx="3">
                  <c:v>18088233097.935776</c:v>
                </c:pt>
                <c:pt idx="4">
                  <c:v>18798626426.658154</c:v>
                </c:pt>
                <c:pt idx="5">
                  <c:v>19429863860.077866</c:v>
                </c:pt>
                <c:pt idx="6">
                  <c:v>19979295399.289898</c:v>
                </c:pt>
                <c:pt idx="7">
                  <c:v>20444707294.927418</c:v>
                </c:pt>
                <c:pt idx="8">
                  <c:v>20824330948.100452</c:v>
                </c:pt>
                <c:pt idx="9">
                  <c:v>21116847938.329491</c:v>
                </c:pt>
                <c:pt idx="10">
                  <c:v>21321391226.824043</c:v>
                </c:pt>
                <c:pt idx="11">
                  <c:v>21437542642.006588</c:v>
                </c:pt>
                <c:pt idx="12">
                  <c:v>21465326808.313007</c:v>
                </c:pt>
                <c:pt idx="13">
                  <c:v>21405201727.836693</c:v>
                </c:pt>
                <c:pt idx="14">
                  <c:v>21258046266.381985</c:v>
                </c:pt>
                <c:pt idx="15">
                  <c:v>21025144830.261505</c:v>
                </c:pt>
                <c:pt idx="16">
                  <c:v>20708169547.279129</c:v>
                </c:pt>
                <c:pt idx="17">
                  <c:v>20309160284.610287</c:v>
                </c:pt>
                <c:pt idx="18">
                  <c:v>19830502847.792122</c:v>
                </c:pt>
                <c:pt idx="19">
                  <c:v>19274905709.055374</c:v>
                </c:pt>
                <c:pt idx="20">
                  <c:v>18645375610.247646</c:v>
                </c:pt>
                <c:pt idx="21">
                  <c:v>17945192376.250698</c:v>
                </c:pt>
                <c:pt idx="22">
                  <c:v>17177883259.836905</c:v>
                </c:pt>
                <c:pt idx="23">
                  <c:v>16347197119.183153</c:v>
                </c:pt>
                <c:pt idx="24">
                  <c:v>15457078705.643864</c:v>
                </c:pt>
                <c:pt idx="25">
                  <c:v>14511643312.778542</c:v>
                </c:pt>
                <c:pt idx="26">
                  <c:v>13515152008.903227</c:v>
                </c:pt>
                <c:pt idx="27">
                  <c:v>12471987645.427891</c:v>
                </c:pt>
                <c:pt idx="28">
                  <c:v>11386631802.715376</c:v>
                </c:pt>
                <c:pt idx="29">
                  <c:v>10263642804.83984</c:v>
                </c:pt>
                <c:pt idx="30">
                  <c:v>9107634905.0339127</c:v>
                </c:pt>
                <c:pt idx="31">
                  <c:v>7923258715.2884645</c:v>
                </c:pt>
                <c:pt idx="32">
                  <c:v>6715182926.9187508</c:v>
                </c:pt>
                <c:pt idx="33">
                  <c:v>5488077344.239871</c:v>
                </c:pt>
                <c:pt idx="34">
                  <c:v>4246597231.0276246</c:v>
                </c:pt>
                <c:pt idx="35">
                  <c:v>2995368949.3147035</c:v>
                </c:pt>
                <c:pt idx="36">
                  <c:v>1738976852.358906</c:v>
                </c:pt>
                <c:pt idx="37">
                  <c:v>481951378.31774145</c:v>
                </c:pt>
                <c:pt idx="38">
                  <c:v>-771241721.76590824</c:v>
                </c:pt>
                <c:pt idx="39">
                  <c:v>-2016211098.7133827</c:v>
                </c:pt>
                <c:pt idx="40">
                  <c:v>-3248648548.2306156</c:v>
                </c:pt>
                <c:pt idx="41">
                  <c:v>-4464336874.1997585</c:v>
                </c:pt>
                <c:pt idx="42">
                  <c:v>-5659156968.8458471</c:v>
                </c:pt>
                <c:pt idx="43">
                  <c:v>-6829094209.2732048</c:v>
                </c:pt>
                <c:pt idx="44">
                  <c:v>-7970244271.2162924</c:v>
                </c:pt>
                <c:pt idx="45">
                  <c:v>-9078818460.804306</c:v>
                </c:pt>
                <c:pt idx="46">
                  <c:v>-10151148663.849613</c:v>
                </c:pt>
                <c:pt idx="47">
                  <c:v>-11183692009.763231</c:v>
                </c:pt>
                <c:pt idx="48">
                  <c:v>-12173035343.798763</c:v>
                </c:pt>
                <c:pt idx="49">
                  <c:v>-13115899597.023386</c:v>
                </c:pt>
                <c:pt idx="50">
                  <c:v>-14009144138.299789</c:v>
                </c:pt>
                <c:pt idx="51">
                  <c:v>-14849771186.695179</c:v>
                </c:pt>
                <c:pt idx="52">
                  <c:v>-15634930356.167444</c:v>
                </c:pt>
                <c:pt idx="53">
                  <c:v>-16361923397.150747</c:v>
                </c:pt>
                <c:pt idx="54">
                  <c:v>-17028209191.774885</c:v>
                </c:pt>
                <c:pt idx="55" formatCode="General">
                  <c:v>-17631409050.947777</c:v>
                </c:pt>
                <c:pt idx="56">
                  <c:v>-18169312352.371212</c:v>
                </c:pt>
                <c:pt idx="57">
                  <c:v>-18639882548.769592</c:v>
                </c:pt>
                <c:pt idx="58">
                  <c:v>-19041263565.167103</c:v>
                </c:pt>
                <c:pt idx="59">
                  <c:v>-19371786592.948757</c:v>
                </c:pt>
                <c:pt idx="60">
                  <c:v>-19629977276.684589</c:v>
                </c:pt>
                <c:pt idx="61">
                  <c:v>-19814563277.289944</c:v>
                </c:pt>
                <c:pt idx="62">
                  <c:v>-19924482182.062538</c:v>
                </c:pt>
                <c:pt idx="63">
                  <c:v>-19958889718.518131</c:v>
                </c:pt>
                <c:pt idx="64">
                  <c:v>-19917168214.805519</c:v>
                </c:pt>
                <c:pt idx="65">
                  <c:v>-19798935234.909176</c:v>
                </c:pt>
                <c:pt idx="66">
                  <c:v>-19604052301.966671</c:v>
                </c:pt>
                <c:pt idx="67">
                  <c:v>-19332633607.99651</c:v>
                </c:pt>
                <c:pt idx="68">
                  <c:v>-18985054593.34753</c:v>
                </c:pt>
                <c:pt idx="69">
                  <c:v>-18561960264.479992</c:v>
                </c:pt>
                <c:pt idx="70">
                  <c:v>-18064273104.552654</c:v>
                </c:pt>
                <c:pt idx="71">
                  <c:v>-17493200418.038353</c:v>
                </c:pt>
                <c:pt idx="72">
                  <c:v>-16850240938.585722</c:v>
                </c:pt>
                <c:pt idx="73">
                  <c:v>-16137190518.982206</c:v>
                </c:pt>
                <c:pt idx="74">
                  <c:v>-15356146713.776785</c:v>
                </c:pt>
                <c:pt idx="75">
                  <c:v>-14509512059.337996</c:v>
                </c:pt>
                <c:pt idx="76">
                  <c:v>-13599995853.305334</c:v>
                </c:pt>
                <c:pt idx="77">
                  <c:v>-12630614235.987307</c:v>
                </c:pt>
                <c:pt idx="78">
                  <c:v>-11604688380.697662</c:v>
                </c:pt>
                <c:pt idx="79">
                  <c:v>-10525840608.681004</c:v>
                </c:pt>
                <c:pt idx="80">
                  <c:v>-9397988257.4928093</c:v>
                </c:pt>
                <c:pt idx="81">
                  <c:v>-8225335149.7002907</c:v>
                </c:pt>
                <c:pt idx="82">
                  <c:v>-7012360531.7027569</c:v>
                </c:pt>
                <c:pt idx="83">
                  <c:v>-5763805380.3428049</c:v>
                </c:pt>
                <c:pt idx="84">
                  <c:v>-4484656007.6600409</c:v>
                </c:pt>
                <c:pt idx="85">
                  <c:v>-3180124931.3391738</c:v>
                </c:pt>
                <c:pt idx="86">
                  <c:v>-1855629019.6600506</c:v>
                </c:pt>
                <c:pt idx="87">
                  <c:v>-516764964.43103904</c:v>
                </c:pt>
                <c:pt idx="88">
                  <c:v>830717817.3268919</c:v>
                </c:pt>
                <c:pt idx="89">
                  <c:v>2180946703.2573595</c:v>
                </c:pt>
                <c:pt idx="90">
                  <c:v>3527957607.9800596</c:v>
                </c:pt>
                <c:pt idx="91">
                  <c:v>4865728699.9859829</c:v>
                </c:pt>
                <c:pt idx="92">
                  <c:v>6188215798.5765905</c:v>
                </c:pt>
                <c:pt idx="93">
                  <c:v>7489389113.0106964</c:v>
                </c:pt>
                <c:pt idx="94">
                  <c:v>8763270947.4603348</c:v>
                </c:pt>
                <c:pt idx="95">
                  <c:v>10003973962.843672</c:v>
                </c:pt>
                <c:pt idx="96">
                  <c:v>11205739561.259283</c:v>
                </c:pt>
                <c:pt idx="97">
                  <c:v>12362975941.602037</c:v>
                </c:pt>
                <c:pt idx="98">
                  <c:v>13470295366.780109</c:v>
                </c:pt>
                <c:pt idx="99">
                  <c:v>14522550184.303152</c:v>
                </c:pt>
                <c:pt idx="100" formatCode="General">
                  <c:v>15514867153.113949</c:v>
                </c:pt>
              </c:numCache>
            </c:numRef>
          </c:xVal>
          <c:yVal>
            <c:numRef>
              <c:f>KPlot!$K$4:$K$104</c:f>
              <c:numCache>
                <c:formatCode>0.00E+00</c:formatCode>
                <c:ptCount val="101"/>
                <c:pt idx="0">
                  <c:v>32847.339609958261</c:v>
                </c:pt>
                <c:pt idx="1">
                  <c:v>-1399407.5769721856</c:v>
                </c:pt>
                <c:pt idx="2">
                  <c:v>-2825252.4814099032</c:v>
                </c:pt>
                <c:pt idx="3">
                  <c:v>-4238168.0119404523</c:v>
                </c:pt>
                <c:pt idx="4">
                  <c:v>-5631717.5920958845</c:v>
                </c:pt>
                <c:pt idx="5">
                  <c:v>-6999588.0891197426</c:v>
                </c:pt>
                <c:pt idx="6">
                  <c:v>-8335629.0304769883</c:v>
                </c:pt>
                <c:pt idx="7">
                  <c:v>-9633889.9408782553</c:v>
                </c:pt>
                <c:pt idx="8">
                  <c:v>-10888655.400680959</c:v>
                </c:pt>
                <c:pt idx="9">
                  <c:v>-12094477.472338537</c:v>
                </c:pt>
                <c:pt idx="10">
                  <c:v>-13246205.193363931</c:v>
                </c:pt>
                <c:pt idx="11">
                  <c:v>-14339010.890522907</c:v>
                </c:pt>
                <c:pt idx="12">
                  <c:v>-15368413.129076147</c:v>
                </c:pt>
                <c:pt idx="13">
                  <c:v>-16330296.171223613</c:v>
                </c:pt>
                <c:pt idx="14">
                  <c:v>-17220925.877898701</c:v>
                </c:pt>
                <c:pt idx="15">
                  <c:v>-18036962.046237104</c:v>
                </c:pt>
                <c:pt idx="16">
                  <c:v>-18775467.230079688</c:v>
                </c:pt>
                <c:pt idx="17">
                  <c:v>-19433912.141613241</c:v>
                </c:pt>
                <c:pt idx="18">
                  <c:v>-20010177.777773138</c:v>
                </c:pt>
                <c:pt idx="19">
                  <c:v>-20502554.454617117</c:v>
                </c:pt>
                <c:pt idx="20">
                  <c:v>-20909737.966047361</c:v>
                </c:pt>
                <c:pt idx="21">
                  <c:v>-21230823.109751876</c:v>
                </c:pt>
                <c:pt idx="22">
                  <c:v>-21465294.843011424</c:v>
                </c:pt>
                <c:pt idx="23">
                  <c:v>-21613017.344216447</c:v>
                </c:pt>
                <c:pt idx="24">
                  <c:v>-21674221.262872137</c:v>
                </c:pt>
                <c:pt idx="25">
                  <c:v>-21649489.441981576</c:v>
                </c:pt>
                <c:pt idx="26">
                  <c:v>-21539741.392539609</c:v>
                </c:pt>
                <c:pt idx="27">
                  <c:v>-21346216.791068576</c:v>
                </c:pt>
                <c:pt idx="28">
                  <c:v>-21070458.258353278</c:v>
                </c:pt>
                <c:pt idx="29">
                  <c:v>-20714293.661476709</c:v>
                </c:pt>
                <c:pt idx="30">
                  <c:v>-20279818.16260618</c:v>
                </c:pt>
                <c:pt idx="31">
                  <c:v>-19769376.217391089</c:v>
                </c:pt>
                <c:pt idx="32">
                  <c:v>-19185543.703928892</c:v>
                </c:pt>
                <c:pt idx="33">
                  <c:v>-18531110.340600263</c:v>
                </c:pt>
                <c:pt idx="34">
                  <c:v>-17809062.528172385</c:v>
                </c:pt>
                <c:pt idx="35">
                  <c:v>-17022566.728856862</c:v>
                </c:pt>
                <c:pt idx="36">
                  <c:v>-16174953.472857704</c:v>
                </c:pt>
                <c:pt idx="37">
                  <c:v>-15269702.061651379</c:v>
                </c:pt>
                <c:pt idx="38">
                  <c:v>-14310426.01704629</c:v>
                </c:pt>
                <c:pt idx="39">
                  <c:v>-13300859.306145513</c:v>
                </c:pt>
                <c:pt idx="40">
                  <c:v>-12244843.354806313</c:v>
                </c:pt>
                <c:pt idx="41">
                  <c:v>-11146314.846129842</c:v>
                </c:pt>
                <c:pt idx="42">
                  <c:v>-10009294.285950942</c:v>
                </c:pt>
                <c:pt idx="43">
                  <c:v>-8837875.3042397201</c:v>
                </c:pt>
                <c:pt idx="44">
                  <c:v>-7636214.6497376477</c:v>
                </c:pt>
                <c:pt idx="45">
                  <c:v>-6408522.8249924313</c:v>
                </c:pt>
                <c:pt idx="46">
                  <c:v>-5159055.3001620919</c:v>
                </c:pt>
                <c:pt idx="47">
                  <c:v>-3892104.2364678178</c:v>
                </c:pt>
                <c:pt idx="48">
                  <c:v>-2611990.6439107163</c:v>
                </c:pt>
                <c:pt idx="49">
                  <c:v>-1323056.8927681819</c:v>
                </c:pt>
                <c:pt idx="50">
                  <c:v>-29659.494381808956</c:v>
                </c:pt>
                <c:pt idx="51">
                  <c:v>1263837.9362055291</c:v>
                </c:pt>
                <c:pt idx="52">
                  <c:v>2553071.6251586382</c:v>
                </c:pt>
                <c:pt idx="53">
                  <c:v>3833684.5826880145</c:v>
                </c:pt>
                <c:pt idx="54">
                  <c:v>5101333.6342071341</c:v>
                </c:pt>
                <c:pt idx="55">
                  <c:v>6351696.6292792149</c:v>
                </c:pt>
                <c:pt idx="56">
                  <c:v>7580479.9159038886</c:v>
                </c:pt>
                <c:pt idx="57">
                  <c:v>8783426.1647901628</c:v>
                </c:pt>
                <c:pt idx="58">
                  <c:v>9956322.6243077405</c:v>
                </c:pt>
                <c:pt idx="59">
                  <c:v>11095009.881758934</c:v>
                </c:pt>
                <c:pt idx="60">
                  <c:v>12195391.200406468</c:v>
                </c:pt>
                <c:pt idx="61">
                  <c:v>13253442.494256863</c:v>
                </c:pt>
                <c:pt idx="62">
                  <c:v>14265222.99386861</c:v>
                </c:pt>
                <c:pt idx="63">
                  <c:v>15226886.646357674</c:v>
                </c:pt>
                <c:pt idx="64">
                  <c:v>16134694.281252921</c:v>
                </c:pt>
                <c:pt idx="65">
                  <c:v>16985026.560861941</c:v>
                </c:pt>
                <c:pt idx="66">
                  <c:v>17774397.719314732</c:v>
                </c:pt>
                <c:pt idx="67">
                  <c:v>18499470.078460269</c:v>
                </c:pt>
                <c:pt idx="68">
                  <c:v>19157069.311326426</c:v>
                </c:pt>
                <c:pt idx="69">
                  <c:v>19744200.404993255</c:v>
                </c:pt>
                <c:pt idx="70">
                  <c:v>20258064.254587244</c:v>
                </c:pt>
                <c:pt idx="71">
                  <c:v>20696074.79885947</c:v>
                </c:pt>
                <c:pt idx="72">
                  <c:v>21055876.585690297</c:v>
                </c:pt>
                <c:pt idx="73">
                  <c:v>21335362.633170083</c:v>
                </c:pt>
                <c:pt idx="74">
                  <c:v>21532692.429003093</c:v>
                </c:pt>
                <c:pt idx="75">
                  <c:v>21646309.888304077</c:v>
                </c:pt>
                <c:pt idx="76">
                  <c:v>21674961.067905713</c:v>
                </c:pt>
                <c:pt idx="77">
                  <c:v>21617711.4146339</c:v>
                </c:pt>
                <c:pt idx="78">
                  <c:v>21473962.306252472</c:v>
                </c:pt>
                <c:pt idx="79">
                  <c:v>21243466.627589408</c:v>
                </c:pt>
                <c:pt idx="80">
                  <c:v>20926343.111417316</c:v>
                </c:pt>
                <c:pt idx="81">
                  <c:v>20523089.164662372</c:v>
                </c:pt>
                <c:pt idx="82">
                  <c:v>20034591.89613153</c:v>
                </c:pt>
                <c:pt idx="83">
                  <c:v>19462137.062805839</c:v>
                </c:pt>
                <c:pt idx="84">
                  <c:v>18807415.658402894</c:v>
                </c:pt>
                <c:pt idx="85">
                  <c:v>18072527.880815849</c:v>
                </c:pt>
                <c:pt idx="86">
                  <c:v>17259984.234504811</c:v>
                </c:pt>
                <c:pt idx="87">
                  <c:v>16372703.550101861</c:v>
                </c:pt>
                <c:pt idx="88">
                  <c:v>15414007.736357385</c:v>
                </c:pt>
                <c:pt idx="89">
                  <c:v>14387613.118855063</c:v>
                </c:pt>
                <c:pt idx="90">
                  <c:v>13297618.265184235</c:v>
                </c:pt>
                <c:pt idx="91">
                  <c:v>12148488.246783076</c:v>
                </c:pt>
                <c:pt idx="92">
                  <c:v>10945035.342527136</c:v>
                </c:pt>
                <c:pt idx="93">
                  <c:v>9692396.2471979503</c:v>
                </c:pt>
                <c:pt idx="94">
                  <c:v>8396005.9079101682</c:v>
                </c:pt>
                <c:pt idx="95">
                  <c:v>7061568.1719267229</c:v>
                </c:pt>
                <c:pt idx="96">
                  <c:v>5695023.4884876199</c:v>
                </c:pt>
                <c:pt idx="97">
                  <c:v>4302513.9636941338</c:v>
                </c:pt>
                <c:pt idx="98">
                  <c:v>2890346.1195215755</c:v>
                </c:pt>
                <c:pt idx="99">
                  <c:v>1464951.754150159</c:v>
                </c:pt>
                <c:pt idx="100" formatCode="General">
                  <c:v>32847.339610586336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EB-489F-B3A1-09BA26602FE5}"/>
            </c:ext>
          </c:extLst>
        </c:ser>
        <c:ser>
          <c:idx val="2"/>
          <c:order val="2"/>
          <c:tx>
            <c:v>Launch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KPlot!$AG$4:$AG$5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-12959530821.61533</c:v>
                </c:pt>
              </c:numCache>
            </c:numRef>
          </c:xVal>
          <c:yVal>
            <c:numRef>
              <c:f>KPlot!$AI$4:$AI$5</c:f>
              <c:numCache>
                <c:formatCode>0.00E+00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EB-489F-B3A1-09BA26602FE5}"/>
            </c:ext>
          </c:extLst>
        </c:ser>
        <c:ser>
          <c:idx val="3"/>
          <c:order val="3"/>
          <c:tx>
            <c:v>Intercept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KPlot!$AG$9:$AG$10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17042470100.718088</c:v>
                </c:pt>
              </c:numCache>
            </c:numRef>
          </c:xVal>
          <c:yVal>
            <c:numRef>
              <c:f>KPlot!$AI$9:$AI$10</c:f>
              <c:numCache>
                <c:formatCode>0.00E+00</c:formatCode>
                <c:ptCount val="2"/>
                <c:pt idx="0">
                  <c:v>0</c:v>
                </c:pt>
                <c:pt idx="1">
                  <c:v>-21496212.849759966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3EB-489F-B3A1-09BA26602FE5}"/>
            </c:ext>
          </c:extLst>
        </c:ser>
        <c:ser>
          <c:idx val="6"/>
          <c:order val="4"/>
          <c:tx>
            <c:v>Direct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KPlot!$M$4:$M$104</c:f>
              <c:numCache>
                <c:formatCode>0.00E+00</c:formatCode>
                <c:ptCount val="101"/>
                <c:pt idx="0">
                  <c:v>-12959530821.615719</c:v>
                </c:pt>
                <c:pt idx="1">
                  <c:v>-12804239627.016361</c:v>
                </c:pt>
                <c:pt idx="2">
                  <c:v>-12636508631.812675</c:v>
                </c:pt>
                <c:pt idx="3">
                  <c:v>-12456439734.519018</c:v>
                </c:pt>
                <c:pt idx="4">
                  <c:v>-12264133895.098013</c:v>
                </c:pt>
                <c:pt idx="5">
                  <c:v>-12059691316.099094</c:v>
                </c:pt>
                <c:pt idx="6">
                  <c:v>-11843211649.661331</c:v>
                </c:pt>
                <c:pt idx="7">
                  <c:v>-11614794230.309982</c:v>
                </c:pt>
                <c:pt idx="8">
                  <c:v>-11374538333.552723</c:v>
                </c:pt>
                <c:pt idx="9">
                  <c:v>-11122543460.359238</c:v>
                </c:pt>
                <c:pt idx="10">
                  <c:v>-10858909647.671347</c:v>
                </c:pt>
                <c:pt idx="11">
                  <c:v>-10583737805.157703</c:v>
                </c:pt>
                <c:pt idx="12">
                  <c:v>-10297130078.479305</c:v>
                </c:pt>
                <c:pt idx="13">
                  <c:v>-9999190239.3821335</c:v>
                </c:pt>
                <c:pt idx="14">
                  <c:v>-9690024102.9718418</c:v>
                </c:pt>
                <c:pt idx="15">
                  <c:v>-9369739972.5579567</c:v>
                </c:pt>
                <c:pt idx="16">
                  <c:v>-9038449112.476799</c:v>
                </c:pt>
                <c:pt idx="17">
                  <c:v>-8696266249.3095398</c:v>
                </c:pt>
                <c:pt idx="18">
                  <c:v>-8343310101.9156055</c:v>
                </c:pt>
                <c:pt idx="19">
                  <c:v>-7979703940.6839933</c:v>
                </c:pt>
                <c:pt idx="20">
                  <c:v>-7605576176.3775778</c:v>
                </c:pt>
                <c:pt idx="21">
                  <c:v>-7221060978.9019661</c:v>
                </c:pt>
                <c:pt idx="22">
                  <c:v>-6826298926.266696</c:v>
                </c:pt>
                <c:pt idx="23">
                  <c:v>-6421437683.9315042</c:v>
                </c:pt>
                <c:pt idx="24">
                  <c:v>-6006632714.6225538</c:v>
                </c:pt>
                <c:pt idx="25">
                  <c:v>-5582048018.5887566</c:v>
                </c:pt>
                <c:pt idx="26">
                  <c:v>-5147856904.1138372</c:v>
                </c:pt>
                <c:pt idx="27">
                  <c:v>-4704242787.9316216</c:v>
                </c:pt>
                <c:pt idx="28">
                  <c:v>-4251400024.9895468</c:v>
                </c:pt>
                <c:pt idx="29">
                  <c:v>-3789534766.7704291</c:v>
                </c:pt>
                <c:pt idx="30">
                  <c:v>-3318865847.1249337</c:v>
                </c:pt>
                <c:pt idx="31">
                  <c:v>-2839625694.2613764</c:v>
                </c:pt>
                <c:pt idx="32">
                  <c:v>-2352061267.2100182</c:v>
                </c:pt>
                <c:pt idx="33">
                  <c:v>-1856435014.705193</c:v>
                </c:pt>
                <c:pt idx="34">
                  <c:v>-1353025854.0098326</c:v>
                </c:pt>
                <c:pt idx="35">
                  <c:v>-842130166.76202738</c:v>
                </c:pt>
                <c:pt idx="36">
                  <c:v>-324062808.41506296</c:v>
                </c:pt>
                <c:pt idx="37">
                  <c:v>200841872.68988645</c:v>
                </c:pt>
                <c:pt idx="38">
                  <c:v>732229011.17095923</c:v>
                </c:pt>
                <c:pt idx="39">
                  <c:v>1269722200.548208</c:v>
                </c:pt>
                <c:pt idx="40">
                  <c:v>1812922475.1329319</c:v>
                </c:pt>
                <c:pt idx="41">
                  <c:v>2361407304.4214854</c:v>
                </c:pt>
                <c:pt idx="42">
                  <c:v>2914729607.3068562</c:v>
                </c:pt>
                <c:pt idx="43">
                  <c:v>3472416794.199883</c:v>
                </c:pt>
                <c:pt idx="44">
                  <c:v>4033969845.9649887</c:v>
                </c:pt>
                <c:pt idx="45">
                  <c:v>4598862439.4119005</c:v>
                </c:pt>
                <c:pt idx="46">
                  <c:v>5166540129.9295177</c:v>
                </c:pt>
                <c:pt idx="47">
                  <c:v>5736419602.7008734</c:v>
                </c:pt>
                <c:pt idx="48">
                  <c:v>6307888004.7830906</c:v>
                </c:pt>
                <c:pt idx="49">
                  <c:v>6880302371.155611</c:v>
                </c:pt>
                <c:pt idx="50">
                  <c:v>7452989158.627079</c:v>
                </c:pt>
                <c:pt idx="51">
                  <c:v>8025243902.217001</c:v>
                </c:pt>
                <c:pt idx="52">
                  <c:v>8596331009.2871265</c:v>
                </c:pt>
                <c:pt idx="53">
                  <c:v>9165483707.2459202</c:v>
                </c:pt>
                <c:pt idx="54">
                  <c:v>9731904161.0925159</c:v>
                </c:pt>
                <c:pt idx="55">
                  <c:v>10294763777.345406</c:v>
                </c:pt>
                <c:pt idx="56">
                  <c:v>10853203711.0208</c:v>
                </c:pt>
                <c:pt idx="57">
                  <c:v>11406335592.230513</c:v>
                </c:pt>
                <c:pt idx="58">
                  <c:v>11953242488.648117</c:v>
                </c:pt>
                <c:pt idx="59">
                  <c:v>12492980119.511276</c:v>
                </c:pt>
                <c:pt idx="60">
                  <c:v>13024578335.952188</c:v>
                </c:pt>
                <c:pt idx="61">
                  <c:v>13547042881.264156</c:v>
                </c:pt>
                <c:pt idx="62">
                  <c:v>14059357443.180925</c:v>
                </c:pt>
                <c:pt idx="63">
                  <c:v>14560486008.360334</c:v>
                </c:pt>
                <c:pt idx="64">
                  <c:v>15049375526.996744</c:v>
                </c:pt>
                <c:pt idx="65">
                  <c:v>15524958892.837393</c:v>
                </c:pt>
                <c:pt idx="66">
                  <c:v>15986158240.837063</c:v>
                </c:pt>
                <c:pt idx="67">
                  <c:v>16431888561.262512</c:v>
                </c:pt>
                <c:pt idx="68">
                  <c:v>16861061625.266356</c:v>
                </c:pt>
                <c:pt idx="69">
                  <c:v>17272590212.816227</c:v>
                </c:pt>
                <c:pt idx="70">
                  <c:v>17665392629.427166</c:v>
                </c:pt>
                <c:pt idx="71">
                  <c:v>18038397493.448662</c:v>
                </c:pt>
                <c:pt idx="72">
                  <c:v>18390548770.773746</c:v>
                </c:pt>
                <c:pt idx="73">
                  <c:v>18720811028.825836</c:v>
                </c:pt>
                <c:pt idx="74">
                  <c:v>19028174876.644951</c:v>
                </c:pt>
                <c:pt idx="75">
                  <c:v>19311662552.91468</c:v>
                </c:pt>
                <c:pt idx="76">
                  <c:v>19570333618.972248</c:v>
                </c:pt>
                <c:pt idx="77">
                  <c:v>19803290709.32288</c:v>
                </c:pt>
                <c:pt idx="78">
                  <c:v>20009685288.069164</c:v>
                </c:pt>
                <c:pt idx="79">
                  <c:v>20188723356.078335</c:v>
                </c:pt>
                <c:pt idx="80">
                  <c:v>20339671050.769814</c:v>
                </c:pt>
                <c:pt idx="81">
                  <c:v>20461860078.224369</c:v>
                </c:pt>
                <c:pt idx="82">
                  <c:v>20554692915.999027</c:v>
                </c:pt>
                <c:pt idx="83">
                  <c:v>20617647724.671551</c:v>
                </c:pt>
                <c:pt idx="84">
                  <c:v>20650282906.805569</c:v>
                </c:pt>
                <c:pt idx="85">
                  <c:v>20652241253.776672</c:v>
                </c:pt>
                <c:pt idx="86">
                  <c:v>20623253623.75737</c:v>
                </c:pt>
                <c:pt idx="87">
                  <c:v>20563142098.124809</c:v>
                </c:pt>
                <c:pt idx="88">
                  <c:v>20471822568.601154</c:v>
                </c:pt>
                <c:pt idx="89">
                  <c:v>20349306713.503014</c:v>
                </c:pt>
                <c:pt idx="90">
                  <c:v>20195703328.474239</c:v>
                </c:pt>
                <c:pt idx="91">
                  <c:v>20011218984.890038</c:v>
                </c:pt>
                <c:pt idx="92">
                  <c:v>19796157997.604321</c:v>
                </c:pt>
                <c:pt idx="93">
                  <c:v>19550921692.702271</c:v>
                </c:pt>
                <c:pt idx="94">
                  <c:v>19276006975.233063</c:v>
                </c:pt>
                <c:pt idx="95">
                  <c:v>18972004206.335987</c:v>
                </c:pt>
                <c:pt idx="96">
                  <c:v>18639594408.535793</c:v>
                </c:pt>
                <c:pt idx="97">
                  <c:v>18279545827.065701</c:v>
                </c:pt>
                <c:pt idx="98">
                  <c:v>17892709883.684116</c:v>
                </c:pt>
                <c:pt idx="99">
                  <c:v>17480016567.397057</c:v>
                </c:pt>
                <c:pt idx="100" formatCode="General">
                  <c:v>17042469313.619226</c:v>
                </c:pt>
              </c:numCache>
            </c:numRef>
          </c:xVal>
          <c:yVal>
            <c:numRef>
              <c:f>KPlot!$O$4:$O$104</c:f>
              <c:numCache>
                <c:formatCode>0.00E+00</c:formatCode>
                <c:ptCount val="101"/>
                <c:pt idx="0">
                  <c:v>8.1532107287785038E-8</c:v>
                </c:pt>
                <c:pt idx="1">
                  <c:v>1599601.7068632722</c:v>
                </c:pt>
                <c:pt idx="2">
                  <c:v>3196620.1392444</c:v>
                </c:pt>
                <c:pt idx="3">
                  <c:v>4790162.4421914918</c:v>
                </c:pt>
                <c:pt idx="4">
                  <c:v>6379336.3187834574</c:v>
                </c:pt>
                <c:pt idx="5">
                  <c:v>7963248.4250862598</c:v>
                </c:pt>
                <c:pt idx="6">
                  <c:v>9541002.774078792</c:v>
                </c:pt>
                <c:pt idx="7">
                  <c:v>11111699.1499431</c:v>
                </c:pt>
                <c:pt idx="8">
                  <c:v>12674431.534213383</c:v>
                </c:pt>
                <c:pt idx="9">
                  <c:v>14228286.545368133</c:v>
                </c:pt>
                <c:pt idx="10">
                  <c:v>15772341.893638512</c:v>
                </c:pt>
                <c:pt idx="11">
                  <c:v>17305664.852966588</c:v>
                </c:pt>
                <c:pt idx="12">
                  <c:v>18827310.752298582</c:v>
                </c:pt>
                <c:pt idx="13">
                  <c:v>20336321.48865379</c:v>
                </c:pt>
                <c:pt idx="14">
                  <c:v>21831724.064724308</c:v>
                </c:pt>
                <c:pt idx="15">
                  <c:v>23312529.154098935</c:v>
                </c:pt>
                <c:pt idx="16">
                  <c:v>24777729.697589565</c:v>
                </c:pt>
                <c:pt idx="17">
                  <c:v>26226299.534580175</c:v>
                </c:pt>
                <c:pt idx="18">
                  <c:v>27657192.073761806</c:v>
                </c:pt>
                <c:pt idx="19">
                  <c:v>29069339.008143749</c:v>
                </c:pt>
                <c:pt idx="20">
                  <c:v>30461649.079775814</c:v>
                </c:pt>
                <c:pt idx="21">
                  <c:v>31833006.900208868</c:v>
                </c:pt>
                <c:pt idx="22">
                  <c:v>33182271.833364081</c:v>
                </c:pt>
                <c:pt idx="23">
                  <c:v>34508276.948140472</c:v>
                </c:pt>
                <c:pt idx="24">
                  <c:v>35809828.048833847</c:v>
                </c:pt>
                <c:pt idx="25">
                  <c:v>37085702.792168356</c:v>
                </c:pt>
                <c:pt idx="26">
                  <c:v>38334649.900561363</c:v>
                </c:pt>
                <c:pt idx="27">
                  <c:v>39555388.482053503</c:v>
                </c:pt>
                <c:pt idx="28">
                  <c:v>40746607.468199223</c:v>
                </c:pt>
                <c:pt idx="29">
                  <c:v>41906965.182107285</c:v>
                </c:pt>
                <c:pt idx="30">
                  <c:v>43035089.04970821</c:v>
                </c:pt>
                <c:pt idx="31">
                  <c:v>44129575.46826528</c:v>
                </c:pt>
                <c:pt idx="32">
                  <c:v>45188989.847054571</c:v>
                </c:pt>
                <c:pt idx="33">
                  <c:v>46211866.836062133</c:v>
                </c:pt>
                <c:pt idx="34">
                  <c:v>47196710.759460479</c:v>
                </c:pt>
                <c:pt idx="35">
                  <c:v>48141996.271477863</c:v>
                </c:pt>
                <c:pt idx="36">
                  <c:v>49046169.253123865</c:v>
                </c:pt>
                <c:pt idx="37">
                  <c:v>49907647.968980007</c:v>
                </c:pt>
                <c:pt idx="38">
                  <c:v>50724824.503957674</c:v>
                </c:pt>
                <c:pt idx="39">
                  <c:v>51496066.500490129</c:v>
                </c:pt>
                <c:pt idx="40">
                  <c:v>52219719.217076898</c:v>
                </c:pt>
                <c:pt idx="41">
                  <c:v>52894107.929376483</c:v>
                </c:pt>
                <c:pt idx="42">
                  <c:v>53517540.695149221</c:v>
                </c:pt>
                <c:pt idx="43">
                  <c:v>54088311.504222132</c:v>
                </c:pt>
                <c:pt idx="44">
                  <c:v>54604703.834271751</c:v>
                </c:pt>
                <c:pt idx="45">
                  <c:v>55064994.632553935</c:v>
                </c:pt>
                <c:pt idx="46">
                  <c:v>55467458.742707357</c:v>
                </c:pt>
                <c:pt idx="47">
                  <c:v>55810373.794390827</c:v>
                </c:pt>
                <c:pt idx="48">
                  <c:v>56092025.571738496</c:v>
                </c:pt>
                <c:pt idx="49">
                  <c:v>56310713.874389224</c:v>
                </c:pt>
                <c:pt idx="50">
                  <c:v>56464758.882135287</c:v>
                </c:pt>
                <c:pt idx="51">
                  <c:v>56552508.030996606</c:v>
                </c:pt>
                <c:pt idx="52">
                  <c:v>56572343.404733442</c:v>
                </c:pt>
                <c:pt idx="53">
                  <c:v>56522689.641427815</c:v>
                </c:pt>
                <c:pt idx="54">
                  <c:v>56402022.349776283</c:v>
                </c:pt>
                <c:pt idx="55">
                  <c:v>56208877.024124064</c:v>
                </c:pt>
                <c:pt idx="56">
                  <c:v>55941858.44103203</c:v>
                </c:pt>
                <c:pt idx="57">
                  <c:v>55599650.513309419</c:v>
                </c:pt>
                <c:pt idx="58">
                  <c:v>55181026.569989718</c:v>
                </c:pt>
                <c:pt idx="59">
                  <c:v>54684860.022707015</c:v>
                </c:pt>
                <c:pt idx="60">
                  <c:v>54110135.370407879</c:v>
                </c:pt>
                <c:pt idx="61">
                  <c:v>53455959.485374585</c:v>
                </c:pt>
                <c:pt idx="62">
                  <c:v>52721573.114243031</c:v>
                </c:pt>
                <c:pt idx="63">
                  <c:v>51906362.518182166</c:v>
                </c:pt>
                <c:pt idx="64">
                  <c:v>51009871.166808926</c:v>
                </c:pt>
                <c:pt idx="65">
                  <c:v>50031811.390900061</c:v>
                </c:pt>
                <c:pt idx="66">
                  <c:v>48972075.889719449</c:v>
                </c:pt>
                <c:pt idx="67">
                  <c:v>47830748.980010323</c:v>
                </c:pt>
                <c:pt idx="68">
                  <c:v>46608117.465632372</c:v>
                </c:pt>
                <c:pt idx="69">
                  <c:v>45304680.999693379</c:v>
                </c:pt>
                <c:pt idx="70">
                  <c:v>43921161.805079095</c:v>
                </c:pt>
                <c:pt idx="71">
                  <c:v>42458513.614796512</c:v>
                </c:pt>
                <c:pt idx="72">
                  <c:v>40917929.690733582</c:v>
                </c:pt>
                <c:pt idx="73">
                  <c:v>39300849.778602473</c:v>
                </c:pt>
                <c:pt idx="74">
                  <c:v>37608965.858129568</c:v>
                </c:pt>
                <c:pt idx="75">
                  <c:v>35844226.551269606</c:v>
                </c:pt>
                <c:pt idx="76">
                  <c:v>34008840.057432473</c:v>
                </c:pt>
                <c:pt idx="77">
                  <c:v>32105275.49362104</c:v>
                </c:pt>
                <c:pt idx="78">
                  <c:v>30136262.528990161</c:v>
                </c:pt>
                <c:pt idx="79">
                  <c:v>28104789.217699196</c:v>
                </c:pt>
                <c:pt idx="80">
                  <c:v>26014097.950961493</c:v>
                </c:pt>
                <c:pt idx="81">
                  <c:v>23867679.468753163</c:v>
                </c:pt>
                <c:pt idx="82">
                  <c:v>21669264.893540554</c:v>
                </c:pt>
                <c:pt idx="83">
                  <c:v>19422815.772290669</c:v>
                </c:pt>
                <c:pt idx="84">
                  <c:v>17132512.13861483</c:v>
                </c:pt>
                <c:pt idx="85">
                  <c:v>14802738.633697441</c:v>
                </c:pt>
                <c:pt idx="86">
                  <c:v>12438068.752197288</c:v>
                </c:pt>
                <c:pt idx="87">
                  <c:v>10043247.307000451</c:v>
                </c:pt>
                <c:pt idx="88">
                  <c:v>7623171.2340242397</c:v>
                </c:pt>
                <c:pt idx="89">
                  <c:v>5182868.8845291324</c:v>
                </c:pt>
                <c:pt idx="90">
                  <c:v>2727477.9770508851</c:v>
                </c:pt>
                <c:pt idx="91">
                  <c:v>262222.40350793937</c:v>
                </c:pt>
                <c:pt idx="92">
                  <c:v>-2207611.8963225195</c:v>
                </c:pt>
                <c:pt idx="93">
                  <c:v>-4676701.7613826478</c:v>
                </c:pt>
                <c:pt idx="94">
                  <c:v>-7139712.0937173124</c:v>
                </c:pt>
                <c:pt idx="95">
                  <c:v>-9591321.3487884309</c:v>
                </c:pt>
                <c:pt idx="96">
                  <c:v>-12026246.975501489</c:v>
                </c:pt>
                <c:pt idx="97">
                  <c:v>-14439270.549790293</c:v>
                </c:pt>
                <c:pt idx="98">
                  <c:v>-16825262.350088272</c:v>
                </c:pt>
                <c:pt idx="99">
                  <c:v>-19179205.131821144</c:v>
                </c:pt>
                <c:pt idx="100" formatCode="General">
                  <c:v>-21496216.870950483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3EB-489F-B3A1-09BA26602FE5}"/>
            </c:ext>
          </c:extLst>
        </c:ser>
        <c:ser>
          <c:idx val="7"/>
          <c:order val="5"/>
          <c:tx>
            <c:v>90 Deg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KPlot!$U$4:$U$104</c:f>
              <c:numCache>
                <c:formatCode>0.00E+00</c:formatCode>
                <c:ptCount val="101"/>
              </c:numCache>
            </c:numRef>
          </c:xVal>
          <c:yVal>
            <c:numRef>
              <c:f>KPlot!$W$4:$W$104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3EB-489F-B3A1-09BA26602FE5}"/>
            </c:ext>
          </c:extLst>
        </c:ser>
        <c:ser>
          <c:idx val="4"/>
          <c:order val="6"/>
          <c:tx>
            <c:strRef>
              <c:f>KPlot!$Q$2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KPlot!$Q$4:$Q$104</c:f>
              <c:numCache>
                <c:formatCode>0.00E+00</c:formatCode>
                <c:ptCount val="101"/>
              </c:numCache>
            </c:numRef>
          </c:xVal>
          <c:yVal>
            <c:numRef>
              <c:f>KPlot!$S$4:$S$104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06-46A9-A995-CCE904F2B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Δ</a:t>
            </a:r>
            <a:r>
              <a:rPr lang="en-US"/>
              <a:t>v (total) for Plane</a:t>
            </a:r>
            <a:r>
              <a:rPr lang="en-US" baseline="0"/>
              <a:t> Change Type</a:t>
            </a:r>
            <a:endParaRPr lang="en-US"/>
          </a:p>
        </c:rich>
      </c:tx>
      <c:layout>
        <c:manualLayout>
          <c:xMode val="edge"/>
          <c:yMode val="edge"/>
          <c:x val="0.16419006586440846"/>
          <c:y val="5.43109184617779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Transfer Delta V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KPlot!$AK$3:$AK$6</c:f>
              <c:strCache>
                <c:ptCount val="4"/>
                <c:pt idx="0">
                  <c:v>Direct</c:v>
                </c:pt>
                <c:pt idx="1">
                  <c:v>90°</c:v>
                </c:pt>
                <c:pt idx="2">
                  <c:v>AN</c:v>
                </c:pt>
                <c:pt idx="3">
                  <c:v>DN</c:v>
                </c:pt>
              </c:strCache>
            </c:strRef>
          </c:cat>
          <c:val>
            <c:numRef>
              <c:f>KPlot!$AO$3:$AO$6</c:f>
              <c:numCache>
                <c:formatCode>0.0</c:formatCode>
                <c:ptCount val="4"/>
                <c:pt idx="0">
                  <c:v>1674.2417922315069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E-45BA-9BFC-A736E15AE40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Optimum Transfer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KPlot!$AK$7</c:f>
              <c:strCache>
                <c:ptCount val="1"/>
                <c:pt idx="0">
                  <c:v>Optimum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KPlot!$AL$2:$AO$2</c:f>
              <c:strCache>
                <c:ptCount val="4"/>
                <c:pt idx="0">
                  <c:v>Vi</c:v>
                </c:pt>
                <c:pt idx="1">
                  <c:v>Vp</c:v>
                </c:pt>
                <c:pt idx="2">
                  <c:v>Vc</c:v>
                </c:pt>
                <c:pt idx="3">
                  <c:v>Vt</c:v>
                </c:pt>
              </c:strCache>
            </c:strRef>
          </c:cat>
          <c:val>
            <c:numRef>
              <c:f>KPlot!$AL$7:$AO$7</c:f>
              <c:numCache>
                <c:formatCode>0.0</c:formatCode>
                <c:ptCount val="4"/>
                <c:pt idx="0">
                  <c:v>1081.4421102060498</c:v>
                </c:pt>
                <c:pt idx="1">
                  <c:v>0</c:v>
                </c:pt>
                <c:pt idx="2">
                  <c:v>592.79968202545706</c:v>
                </c:pt>
                <c:pt idx="3">
                  <c:v>1674.2417922315069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B-49F4-A209-99FCED77AF5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Launch Window Plot (</a:t>
            </a:r>
            <a:r>
              <a:rPr lang="el-GR"/>
              <a:t>Δ</a:t>
            </a:r>
            <a:r>
              <a:rPr lang="en-US"/>
              <a:t>v [m/s])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1471801925722145E-2"/>
          <c:y val="0.17171296296296298"/>
          <c:w val="0.85162971547401145"/>
          <c:h val="0.62361876640419944"/>
        </c:manualLayout>
      </c:layout>
      <c:surfaceChart>
        <c:wireframe val="1"/>
        <c:ser>
          <c:idx val="0"/>
          <c:order val="0"/>
          <c:tx>
            <c:strRef>
              <c:f>KPlot!$EP$3</c:f>
              <c:strCache>
                <c:ptCount val="1"/>
                <c:pt idx="0">
                  <c:v>0y 86d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KPlot!$AT$3:$EO$3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3-41DD-A637-A280AECB4BFA}"/>
            </c:ext>
          </c:extLst>
        </c:ser>
        <c:ser>
          <c:idx val="1"/>
          <c:order val="1"/>
          <c:tx>
            <c:strRef>
              <c:f>KPlot!$EP$4</c:f>
              <c:strCache>
                <c:ptCount val="1"/>
                <c:pt idx="0">
                  <c:v>0y 95d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KPlot!$AT$4:$EO$4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3-41DD-A637-A280AECB4BFA}"/>
            </c:ext>
          </c:extLst>
        </c:ser>
        <c:ser>
          <c:idx val="2"/>
          <c:order val="2"/>
          <c:tx>
            <c:strRef>
              <c:f>KPlot!$EP$5</c:f>
              <c:strCache>
                <c:ptCount val="1"/>
                <c:pt idx="0">
                  <c:v>0y 103d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KPlot!$AT$5:$EO$5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93-41DD-A637-A280AECB4BFA}"/>
            </c:ext>
          </c:extLst>
        </c:ser>
        <c:ser>
          <c:idx val="3"/>
          <c:order val="3"/>
          <c:tx>
            <c:strRef>
              <c:f>KPlot!$EP$6</c:f>
              <c:strCache>
                <c:ptCount val="1"/>
                <c:pt idx="0">
                  <c:v>0y 111d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KPlot!$AT$6:$EO$6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93-41DD-A637-A280AECB4BFA}"/>
            </c:ext>
          </c:extLst>
        </c:ser>
        <c:ser>
          <c:idx val="4"/>
          <c:order val="4"/>
          <c:tx>
            <c:strRef>
              <c:f>KPlot!$EP$7</c:f>
              <c:strCache>
                <c:ptCount val="1"/>
                <c:pt idx="0">
                  <c:v>0y 119d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KPlot!$AT$7:$EO$7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93-41DD-A637-A280AECB4BFA}"/>
            </c:ext>
          </c:extLst>
        </c:ser>
        <c:ser>
          <c:idx val="5"/>
          <c:order val="5"/>
          <c:tx>
            <c:strRef>
              <c:f>KPlot!$EP$8</c:f>
              <c:strCache>
                <c:ptCount val="1"/>
                <c:pt idx="0">
                  <c:v>0y 128d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KPlot!$AT$8:$EO$8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93-41DD-A637-A280AECB4BFA}"/>
            </c:ext>
          </c:extLst>
        </c:ser>
        <c:ser>
          <c:idx val="6"/>
          <c:order val="6"/>
          <c:tx>
            <c:strRef>
              <c:f>KPlot!$EP$9</c:f>
              <c:strCache>
                <c:ptCount val="1"/>
                <c:pt idx="0">
                  <c:v>0y 136d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KPlot!$AT$9:$EO$9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3985.0366675150544</c:v>
                </c:pt>
                <c:pt idx="83">
                  <c:v>3848.0666714466897</c:v>
                </c:pt>
                <c:pt idx="84">
                  <c:v>3785.8918440243474</c:v>
                </c:pt>
                <c:pt idx="85">
                  <c:v>3802.3656847179464</c:v>
                </c:pt>
                <c:pt idx="86">
                  <c:v>3901.1170824207911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93-41DD-A637-A280AECB4BFA}"/>
            </c:ext>
          </c:extLst>
        </c:ser>
        <c:ser>
          <c:idx val="7"/>
          <c:order val="7"/>
          <c:tx>
            <c:strRef>
              <c:f>KPlot!$EP$10</c:f>
              <c:strCache>
                <c:ptCount val="1"/>
                <c:pt idx="0">
                  <c:v>0y 144d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KPlot!$AT$10:$EO$10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3833.312424156501</c:v>
                </c:pt>
                <c:pt idx="82">
                  <c:v>3662.9837039656513</c:v>
                </c:pt>
                <c:pt idx="83">
                  <c:v>3557.8461120285474</c:v>
                </c:pt>
                <c:pt idx="84">
                  <c:v>3522.5197463464015</c:v>
                </c:pt>
                <c:pt idx="85">
                  <c:v>3561.0342657026094</c:v>
                </c:pt>
                <c:pt idx="86">
                  <c:v>3677.3577578990353</c:v>
                </c:pt>
                <c:pt idx="87">
                  <c:v>3875.2625268837082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93-41DD-A637-A280AECB4BFA}"/>
            </c:ext>
          </c:extLst>
        </c:ser>
        <c:ser>
          <c:idx val="8"/>
          <c:order val="8"/>
          <c:tx>
            <c:strRef>
              <c:f>KPlot!$EP$11</c:f>
              <c:strCache>
                <c:ptCount val="1"/>
                <c:pt idx="0">
                  <c:v>0y 153d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KPlot!$AT$11:$EO$11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3964.5395871394726</c:v>
                </c:pt>
                <c:pt idx="80">
                  <c:v>3720.9159121315615</c:v>
                </c:pt>
                <c:pt idx="81">
                  <c:v>3526.5349956586306</c:v>
                </c:pt>
                <c:pt idx="82">
                  <c:v>3387.8776970315475</c:v>
                </c:pt>
                <c:pt idx="83">
                  <c:v>3310.2979081042904</c:v>
                </c:pt>
                <c:pt idx="84">
                  <c:v>3298.3382041934938</c:v>
                </c:pt>
                <c:pt idx="85">
                  <c:v>3356.2320876267131</c:v>
                </c:pt>
                <c:pt idx="86">
                  <c:v>3488.1668530928982</c:v>
                </c:pt>
                <c:pt idx="87">
                  <c:v>3697.8373051938506</c:v>
                </c:pt>
                <c:pt idx="88">
                  <c:v>3987.210165003049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93-41DD-A637-A280AECB4BFA}"/>
            </c:ext>
          </c:extLst>
        </c:ser>
        <c:ser>
          <c:idx val="9"/>
          <c:order val="9"/>
          <c:tx>
            <c:strRef>
              <c:f>KPlot!$EP$12</c:f>
              <c:strCache>
                <c:ptCount val="1"/>
                <c:pt idx="0">
                  <c:v>0y 161d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KPlot!$AT$12:$EO$12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3886.4958563625505</c:v>
                </c:pt>
                <c:pt idx="79">
                  <c:v>3636.4594165611452</c:v>
                </c:pt>
                <c:pt idx="80">
                  <c:v>3426.3311696542814</c:v>
                </c:pt>
                <c:pt idx="81">
                  <c:v>3262.8275206310345</c:v>
                </c:pt>
                <c:pt idx="82">
                  <c:v>3151.8200563173264</c:v>
                </c:pt>
                <c:pt idx="83">
                  <c:v>3098.3687198857633</c:v>
                </c:pt>
                <c:pt idx="84">
                  <c:v>3107.0285619815377</c:v>
                </c:pt>
                <c:pt idx="85">
                  <c:v>3182.1998972985061</c:v>
                </c:pt>
                <c:pt idx="86">
                  <c:v>3328.1233362447501</c:v>
                </c:pt>
                <c:pt idx="87">
                  <c:v>3548.2040529680935</c:v>
                </c:pt>
                <c:pt idx="88">
                  <c:v>3843.715158223521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93-41DD-A637-A280AECB4BFA}"/>
            </c:ext>
          </c:extLst>
        </c:ser>
        <c:ser>
          <c:idx val="10"/>
          <c:order val="10"/>
          <c:tx>
            <c:strRef>
              <c:f>KPlot!$EP$13</c:f>
              <c:strCache>
                <c:ptCount val="1"/>
                <c:pt idx="0">
                  <c:v>0y 169d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KPlot!$AT$13:$EO$13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3821.2852678364434</c:v>
                </c:pt>
                <c:pt idx="78">
                  <c:v>3570.9561443364637</c:v>
                </c:pt>
                <c:pt idx="79">
                  <c:v>3352.217693674183</c:v>
                </c:pt>
                <c:pt idx="80">
                  <c:v>3171.6431264896446</c:v>
                </c:pt>
                <c:pt idx="81">
                  <c:v>3035.3101077800311</c:v>
                </c:pt>
                <c:pt idx="82">
                  <c:v>2948.6567448401074</c:v>
                </c:pt>
                <c:pt idx="83">
                  <c:v>2916.5721541033872</c:v>
                </c:pt>
                <c:pt idx="84">
                  <c:v>2943.6511805779628</c:v>
                </c:pt>
                <c:pt idx="85">
                  <c:v>3034.36873377337</c:v>
                </c:pt>
                <c:pt idx="86">
                  <c:v>3192.8487020157436</c:v>
                </c:pt>
                <c:pt idx="87">
                  <c:v>3422.0119762063305</c:v>
                </c:pt>
                <c:pt idx="88">
                  <c:v>3722.3440935612111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93-41DD-A637-A280AECB4BFA}"/>
            </c:ext>
          </c:extLst>
        </c:ser>
        <c:ser>
          <c:idx val="11"/>
          <c:order val="11"/>
          <c:tx>
            <c:strRef>
              <c:f>KPlot!$EP$14</c:f>
              <c:strCache>
                <c:ptCount val="1"/>
                <c:pt idx="0">
                  <c:v>0y 177d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KPlot!$AT$14:$EO$14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3763.4146333063654</c:v>
                </c:pt>
                <c:pt idx="77">
                  <c:v>3517.5454297870028</c:v>
                </c:pt>
                <c:pt idx="78">
                  <c:v>3296.0824778340034</c:v>
                </c:pt>
                <c:pt idx="79">
                  <c:v>3105.1758374272522</c:v>
                </c:pt>
                <c:pt idx="80">
                  <c:v>2950.8010862536739</c:v>
                </c:pt>
                <c:pt idx="81">
                  <c:v>2838.5446921298071</c:v>
                </c:pt>
                <c:pt idx="82">
                  <c:v>2773.5412333566433</c:v>
                </c:pt>
                <c:pt idx="83">
                  <c:v>2760.5778270429978</c:v>
                </c:pt>
                <c:pt idx="84">
                  <c:v>2804.2625807702207</c:v>
                </c:pt>
                <c:pt idx="85">
                  <c:v>2909.0308739187981</c:v>
                </c:pt>
                <c:pt idx="86">
                  <c:v>3078.7139611988437</c:v>
                </c:pt>
                <c:pt idx="87">
                  <c:v>3315.6054512419291</c:v>
                </c:pt>
                <c:pt idx="88">
                  <c:v>3619.3848121451365</c:v>
                </c:pt>
                <c:pt idx="89">
                  <c:v>3986.5779636757288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93-41DD-A637-A280AECB4BFA}"/>
            </c:ext>
          </c:extLst>
        </c:ser>
        <c:ser>
          <c:idx val="12"/>
          <c:order val="12"/>
          <c:tx>
            <c:strRef>
              <c:f>KPlot!$EP$15</c:f>
              <c:strCache>
                <c:ptCount val="1"/>
                <c:pt idx="0">
                  <c:v>0y 186d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KPlot!$AT$15:$EO$15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3960.0588673511083</c:v>
                </c:pt>
                <c:pt idx="75">
                  <c:v>3709.0818285371765</c:v>
                </c:pt>
                <c:pt idx="76">
                  <c:v>3471.1876991850327</c:v>
                </c:pt>
                <c:pt idx="77">
                  <c:v>3251.6523713866868</c:v>
                </c:pt>
                <c:pt idx="78">
                  <c:v>3056.0376783378078</c:v>
                </c:pt>
                <c:pt idx="79">
                  <c:v>2889.975370436885</c:v>
                </c:pt>
                <c:pt idx="80">
                  <c:v>2758.9567231207998</c:v>
                </c:pt>
                <c:pt idx="81">
                  <c:v>2668.1954215935129</c:v>
                </c:pt>
                <c:pt idx="82">
                  <c:v>2622.6090863853269</c:v>
                </c:pt>
                <c:pt idx="83">
                  <c:v>2626.9058122495485</c:v>
                </c:pt>
                <c:pt idx="84">
                  <c:v>2685.6470803356806</c:v>
                </c:pt>
                <c:pt idx="85">
                  <c:v>2803.0961786295011</c:v>
                </c:pt>
                <c:pt idx="86">
                  <c:v>2982.6404726298692</c:v>
                </c:pt>
                <c:pt idx="87">
                  <c:v>3225.8624403302088</c:v>
                </c:pt>
                <c:pt idx="88">
                  <c:v>3531.6890709779609</c:v>
                </c:pt>
                <c:pt idx="89">
                  <c:v>3896.1774697813926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93-41DD-A637-A280AECB4BFA}"/>
            </c:ext>
          </c:extLst>
        </c:ser>
        <c:ser>
          <c:idx val="13"/>
          <c:order val="13"/>
          <c:tx>
            <c:strRef>
              <c:f>KPlot!$EP$16</c:f>
              <c:strCache>
                <c:ptCount val="1"/>
                <c:pt idx="0">
                  <c:v>0y 194d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KPlot!$AT$16:$EO$16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3892.1322860109649</c:v>
                </c:pt>
                <c:pt idx="74">
                  <c:v>3655.8092360565652</c:v>
                </c:pt>
                <c:pt idx="75">
                  <c:v>3428.343759098896</c:v>
                </c:pt>
                <c:pt idx="76">
                  <c:v>3214.2559534699453</c:v>
                </c:pt>
                <c:pt idx="77">
                  <c:v>3018.4475087098604</c:v>
                </c:pt>
                <c:pt idx="78">
                  <c:v>2846.0532898468018</c:v>
                </c:pt>
                <c:pt idx="79">
                  <c:v>2702.2687823240221</c:v>
                </c:pt>
                <c:pt idx="80">
                  <c:v>2592.1982092585758</c:v>
                </c:pt>
                <c:pt idx="81">
                  <c:v>2520.7699821203018</c:v>
                </c:pt>
                <c:pt idx="82">
                  <c:v>2492.7356352288007</c:v>
                </c:pt>
                <c:pt idx="83">
                  <c:v>2512.7057590896184</c:v>
                </c:pt>
                <c:pt idx="84">
                  <c:v>2585.1162554620587</c:v>
                </c:pt>
                <c:pt idx="85">
                  <c:v>2713.9273102023244</c:v>
                </c:pt>
                <c:pt idx="86">
                  <c:v>2901.9684145018796</c:v>
                </c:pt>
                <c:pt idx="87">
                  <c:v>3150.0908494072901</c:v>
                </c:pt>
                <c:pt idx="88">
                  <c:v>3456.5747228246223</c:v>
                </c:pt>
                <c:pt idx="89">
                  <c:v>3817.1872541490361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93-41DD-A637-A280AECB4BFA}"/>
            </c:ext>
          </c:extLst>
        </c:ser>
        <c:ser>
          <c:idx val="14"/>
          <c:order val="14"/>
          <c:tx>
            <c:strRef>
              <c:f>KPlot!$EP$17</c:f>
              <c:strCache>
                <c:ptCount val="1"/>
                <c:pt idx="0">
                  <c:v>0y 202d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KPlot!$AT$17:$EO$17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3823.1067101125345</c:v>
                </c:pt>
                <c:pt idx="73">
                  <c:v>3602.1280774628312</c:v>
                </c:pt>
                <c:pt idx="74">
                  <c:v>3386.6740362175842</c:v>
                </c:pt>
                <c:pt idx="75">
                  <c:v>3180.5667017938645</c:v>
                </c:pt>
                <c:pt idx="76">
                  <c:v>2988.0451849977771</c:v>
                </c:pt>
                <c:pt idx="77">
                  <c:v>2813.6737715783111</c:v>
                </c:pt>
                <c:pt idx="78">
                  <c:v>2662.2177993172054</c:v>
                </c:pt>
                <c:pt idx="79">
                  <c:v>2538.5095780728666</c:v>
                </c:pt>
                <c:pt idx="80">
                  <c:v>2447.3433264880523</c:v>
                </c:pt>
                <c:pt idx="81">
                  <c:v>2393.4225145546875</c:v>
                </c:pt>
                <c:pt idx="82">
                  <c:v>2381.3451533096677</c:v>
                </c:pt>
                <c:pt idx="83">
                  <c:v>2415.589409982701</c:v>
                </c:pt>
                <c:pt idx="84">
                  <c:v>2500.3684718930344</c:v>
                </c:pt>
                <c:pt idx="85">
                  <c:v>2639.2278571656316</c:v>
                </c:pt>
                <c:pt idx="86">
                  <c:v>2834.3729368825725</c:v>
                </c:pt>
                <c:pt idx="87">
                  <c:v>3085.9640378866029</c:v>
                </c:pt>
                <c:pt idx="88">
                  <c:v>3391.7684345991847</c:v>
                </c:pt>
                <c:pt idx="89">
                  <c:v>3747.4346327415478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293-41DD-A637-A280AECB4BFA}"/>
            </c:ext>
          </c:extLst>
        </c:ser>
        <c:ser>
          <c:idx val="15"/>
          <c:order val="15"/>
          <c:tx>
            <c:strRef>
              <c:f>KPlot!$EP$18</c:f>
              <c:strCache>
                <c:ptCount val="1"/>
                <c:pt idx="0">
                  <c:v>0y 211d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KPlot!$AT$18:$EO$18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3958.4561090428115</c:v>
                </c:pt>
                <c:pt idx="71">
                  <c:v>3752.8099072664522</c:v>
                </c:pt>
                <c:pt idx="72">
                  <c:v>3547.3233409139461</c:v>
                </c:pt>
                <c:pt idx="73">
                  <c:v>3344.7694153706498</c:v>
                </c:pt>
                <c:pt idx="74">
                  <c:v>3148.3512526873446</c:v>
                </c:pt>
                <c:pt idx="75">
                  <c:v>2961.6838504345114</c:v>
                </c:pt>
                <c:pt idx="76">
                  <c:v>2788.7472067339381</c:v>
                </c:pt>
                <c:pt idx="77">
                  <c:v>2633.8064695836383</c:v>
                </c:pt>
                <c:pt idx="78">
                  <c:v>2501.3092283526066</c:v>
                </c:pt>
                <c:pt idx="79">
                  <c:v>2395.7856853847834</c:v>
                </c:pt>
                <c:pt idx="80">
                  <c:v>2321.7784877443964</c:v>
                </c:pt>
                <c:pt idx="81">
                  <c:v>2283.7959741308714</c:v>
                </c:pt>
                <c:pt idx="82">
                  <c:v>2286.2776643869529</c:v>
                </c:pt>
                <c:pt idx="83">
                  <c:v>2333.5095224573961</c:v>
                </c:pt>
                <c:pt idx="84">
                  <c:v>2429.3910483624813</c:v>
                </c:pt>
                <c:pt idx="85">
                  <c:v>2576.9701557019589</c:v>
                </c:pt>
                <c:pt idx="86">
                  <c:v>2777.8123482474894</c:v>
                </c:pt>
                <c:pt idx="87">
                  <c:v>3031.4698424036387</c:v>
                </c:pt>
                <c:pt idx="88">
                  <c:v>3335.3506742797272</c:v>
                </c:pt>
                <c:pt idx="89">
                  <c:v>3685.1229337829709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293-41DD-A637-A280AECB4BFA}"/>
            </c:ext>
          </c:extLst>
        </c:ser>
        <c:ser>
          <c:idx val="16"/>
          <c:order val="16"/>
          <c:tx>
            <c:strRef>
              <c:f>KPlot!$EP$19</c:f>
              <c:strCache>
                <c:ptCount val="1"/>
                <c:pt idx="0">
                  <c:v>0y 219d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KPlot!$AT$19:$EO$19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3870.4186704729027</c:v>
                </c:pt>
                <c:pt idx="70">
                  <c:v>3681.491820127444</c:v>
                </c:pt>
                <c:pt idx="71">
                  <c:v>3491.2370035981121</c:v>
                </c:pt>
                <c:pt idx="72">
                  <c:v>3301.9331564658942</c:v>
                </c:pt>
                <c:pt idx="73">
                  <c:v>3116.2442263702287</c:v>
                </c:pt>
                <c:pt idx="74">
                  <c:v>2937.2219419130915</c:v>
                </c:pt>
                <c:pt idx="75">
                  <c:v>2768.287233797203</c:v>
                </c:pt>
                <c:pt idx="76">
                  <c:v>2613.1857969366824</c:v>
                </c:pt>
                <c:pt idx="77">
                  <c:v>2475.9186405891714</c:v>
                </c:pt>
                <c:pt idx="78">
                  <c:v>2360.6600398941187</c:v>
                </c:pt>
                <c:pt idx="79">
                  <c:v>2271.6874286845491</c:v>
                </c:pt>
                <c:pt idx="80">
                  <c:v>2213.3277917828464</c:v>
                </c:pt>
                <c:pt idx="81">
                  <c:v>2189.9082399847971</c:v>
                </c:pt>
                <c:pt idx="82">
                  <c:v>2205.6800627748203</c:v>
                </c:pt>
                <c:pt idx="83">
                  <c:v>2264.6731090143185</c:v>
                </c:pt>
                <c:pt idx="84">
                  <c:v>2370.3954523725556</c:v>
                </c:pt>
                <c:pt idx="85">
                  <c:v>2525.3512081693307</c:v>
                </c:pt>
                <c:pt idx="86">
                  <c:v>2730.4979544435732</c:v>
                </c:pt>
                <c:pt idx="87">
                  <c:v>2984.8861934006668</c:v>
                </c:pt>
                <c:pt idx="88">
                  <c:v>3285.713892845286</c:v>
                </c:pt>
                <c:pt idx="89">
                  <c:v>3628.7769787140387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293-41DD-A637-A280AECB4BFA}"/>
            </c:ext>
          </c:extLst>
        </c:ser>
        <c:ser>
          <c:idx val="17"/>
          <c:order val="17"/>
          <c:tx>
            <c:strRef>
              <c:f>KPlot!$EP$20</c:f>
              <c:strCache>
                <c:ptCount val="1"/>
                <c:pt idx="0">
                  <c:v>0y 227d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KPlot!$AT$20:$EO$20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3952.1767352087063</c:v>
                </c:pt>
                <c:pt idx="68">
                  <c:v>3782.8671429430133</c:v>
                </c:pt>
                <c:pt idx="69">
                  <c:v>3609.7573563343553</c:v>
                </c:pt>
                <c:pt idx="70">
                  <c:v>3434.1539171240756</c:v>
                </c:pt>
                <c:pt idx="71">
                  <c:v>3258.0249643354759</c:v>
                </c:pt>
                <c:pt idx="72">
                  <c:v>3083.5682725240777</c:v>
                </c:pt>
                <c:pt idx="73">
                  <c:v>2913.3378974526049</c:v>
                </c:pt>
                <c:pt idx="74">
                  <c:v>2750.241406077831</c:v>
                </c:pt>
                <c:pt idx="75">
                  <c:v>2597.5200278138864</c:v>
                </c:pt>
                <c:pt idx="76">
                  <c:v>2458.7075952499426</c:v>
                </c:pt>
                <c:pt idx="77">
                  <c:v>2337.5711221379379</c:v>
                </c:pt>
                <c:pt idx="78">
                  <c:v>2238.0485775136522</c:v>
                </c:pt>
                <c:pt idx="79">
                  <c:v>2164.1984017765681</c:v>
                </c:pt>
                <c:pt idx="80">
                  <c:v>2120.1558867311596</c:v>
                </c:pt>
                <c:pt idx="81">
                  <c:v>2110.0582732505991</c:v>
                </c:pt>
                <c:pt idx="82">
                  <c:v>2137.929609409216</c:v>
                </c:pt>
                <c:pt idx="83">
                  <c:v>2207.4820470571094</c:v>
                </c:pt>
                <c:pt idx="84">
                  <c:v>2321.777079730422</c:v>
                </c:pt>
                <c:pt idx="85">
                  <c:v>2482.7670406915818</c:v>
                </c:pt>
                <c:pt idx="86">
                  <c:v>2690.8661442930961</c:v>
                </c:pt>
                <c:pt idx="87">
                  <c:v>2944.7484266844958</c:v>
                </c:pt>
                <c:pt idx="88">
                  <c:v>3241.5238622526335</c:v>
                </c:pt>
                <c:pt idx="89">
                  <c:v>3577.1949387993923</c:v>
                </c:pt>
                <c:pt idx="90">
                  <c:v>3947.2174456587163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293-41DD-A637-A280AECB4BFA}"/>
            </c:ext>
          </c:extLst>
        </c:ser>
        <c:ser>
          <c:idx val="18"/>
          <c:order val="18"/>
          <c:tx>
            <c:strRef>
              <c:f>KPlot!$EP$21</c:f>
              <c:strCache>
                <c:ptCount val="1"/>
                <c:pt idx="0">
                  <c:v>0y 235d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KPlot!$AT$21:$EO$21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3999.9561522348795</c:v>
                </c:pt>
                <c:pt idx="66">
                  <c:v>3851.0200176943163</c:v>
                </c:pt>
                <c:pt idx="67">
                  <c:v>3696.7577397393852</c:v>
                </c:pt>
                <c:pt idx="68">
                  <c:v>3538.9076815311491</c:v>
                </c:pt>
                <c:pt idx="69">
                  <c:v>3376.4099991902503</c:v>
                </c:pt>
                <c:pt idx="70">
                  <c:v>3213.5535254301003</c:v>
                </c:pt>
                <c:pt idx="71">
                  <c:v>3050.2691608230621</c:v>
                </c:pt>
                <c:pt idx="72">
                  <c:v>2889.4095844863768</c:v>
                </c:pt>
                <c:pt idx="73">
                  <c:v>2733.3534620571563</c:v>
                </c:pt>
                <c:pt idx="74">
                  <c:v>2584.8570856828364</c:v>
                </c:pt>
                <c:pt idx="75">
                  <c:v>2446.990788938389</c:v>
                </c:pt>
                <c:pt idx="76">
                  <c:v>2323.0939610745572</c:v>
                </c:pt>
                <c:pt idx="77">
                  <c:v>2216.7239850057585</c:v>
                </c:pt>
                <c:pt idx="78">
                  <c:v>2131.6083407678766</c:v>
                </c:pt>
                <c:pt idx="79">
                  <c:v>2071.6131016214822</c:v>
                </c:pt>
                <c:pt idx="80">
                  <c:v>2040.6870396046081</c:v>
                </c:pt>
                <c:pt idx="81">
                  <c:v>2042.7579161329288</c:v>
                </c:pt>
                <c:pt idx="82">
                  <c:v>2081.5792452330679</c:v>
                </c:pt>
                <c:pt idx="83">
                  <c:v>2160.4949767209428</c:v>
                </c:pt>
                <c:pt idx="84">
                  <c:v>2282.0922495586174</c:v>
                </c:pt>
                <c:pt idx="85">
                  <c:v>2447.7994626479094</c:v>
                </c:pt>
                <c:pt idx="86">
                  <c:v>2657.5699356059058</c:v>
                </c:pt>
                <c:pt idx="87">
                  <c:v>2909.8244878675437</c:v>
                </c:pt>
                <c:pt idx="88">
                  <c:v>3201.6838796638258</c:v>
                </c:pt>
                <c:pt idx="89">
                  <c:v>3529.4057715944427</c:v>
                </c:pt>
                <c:pt idx="90">
                  <c:v>3888.8562669199027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293-41DD-A637-A280AECB4BFA}"/>
            </c:ext>
          </c:extLst>
        </c:ser>
        <c:ser>
          <c:idx val="19"/>
          <c:order val="19"/>
          <c:tx>
            <c:strRef>
              <c:f>KPlot!$EP$22</c:f>
              <c:strCache>
                <c:ptCount val="1"/>
                <c:pt idx="0">
                  <c:v>0y 244d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KPlot!$AT$22:$EO$22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3889.316361026883</c:v>
                </c:pt>
                <c:pt idx="65">
                  <c:v>3753.8910454750494</c:v>
                </c:pt>
                <c:pt idx="66">
                  <c:v>3613.1708385755119</c:v>
                </c:pt>
                <c:pt idx="67">
                  <c:v>3467.9309186890509</c:v>
                </c:pt>
                <c:pt idx="68">
                  <c:v>3319.308434364706</c:v>
                </c:pt>
                <c:pt idx="69">
                  <c:v>3176.51042051689</c:v>
                </c:pt>
                <c:pt idx="70">
                  <c:v>3015.8532525201244</c:v>
                </c:pt>
                <c:pt idx="71">
                  <c:v>2865.9226212273443</c:v>
                </c:pt>
                <c:pt idx="72">
                  <c:v>2717.2141167345435</c:v>
                </c:pt>
                <c:pt idx="73">
                  <c:v>2574.0815753418565</c:v>
                </c:pt>
                <c:pt idx="74">
                  <c:v>2438.9564582636726</c:v>
                </c:pt>
                <c:pt idx="75">
                  <c:v>2314.7108515926166</c:v>
                </c:pt>
                <c:pt idx="76">
                  <c:v>2204.493211719624</c:v>
                </c:pt>
                <c:pt idx="77">
                  <c:v>2111.6634012683789</c:v>
                </c:pt>
                <c:pt idx="78">
                  <c:v>2039.7596296185691</c:v>
                </c:pt>
                <c:pt idx="79">
                  <c:v>1992.4677868395443</c:v>
                </c:pt>
                <c:pt idx="80">
                  <c:v>1973.5449174510154</c:v>
                </c:pt>
                <c:pt idx="81">
                  <c:v>1986.6818492530731</c:v>
                </c:pt>
                <c:pt idx="82">
                  <c:v>2035.3211739608896</c:v>
                </c:pt>
                <c:pt idx="83">
                  <c:v>2122.4050166705047</c:v>
                </c:pt>
                <c:pt idx="84">
                  <c:v>2250.0470863335859</c:v>
                </c:pt>
                <c:pt idx="85">
                  <c:v>2419.1998645814529</c:v>
                </c:pt>
                <c:pt idx="86">
                  <c:v>2629.4579491737441</c:v>
                </c:pt>
                <c:pt idx="87">
                  <c:v>2879.0895891244591</c:v>
                </c:pt>
                <c:pt idx="88">
                  <c:v>3165.3016474840133</c:v>
                </c:pt>
                <c:pt idx="89">
                  <c:v>3484.6319003803205</c:v>
                </c:pt>
                <c:pt idx="90">
                  <c:v>3833.3386426236057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293-41DD-A637-A280AECB4BFA}"/>
            </c:ext>
          </c:extLst>
        </c:ser>
        <c:ser>
          <c:idx val="20"/>
          <c:order val="20"/>
          <c:tx>
            <c:strRef>
              <c:f>KPlot!$EP$23</c:f>
              <c:strCache>
                <c:ptCount val="1"/>
                <c:pt idx="0">
                  <c:v>0y 252d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KPlot!$AT$23:$EO$23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3903.9047004784725</c:v>
                </c:pt>
                <c:pt idx="63">
                  <c:v>3785.7548929843715</c:v>
                </c:pt>
                <c:pt idx="64">
                  <c:v>3662.1225670798531</c:v>
                </c:pt>
                <c:pt idx="65">
                  <c:v>3533.4010125371251</c:v>
                </c:pt>
                <c:pt idx="66">
                  <c:v>3400.1562318305259</c:v>
                </c:pt>
                <c:pt idx="67">
                  <c:v>3263.1550630134006</c:v>
                </c:pt>
                <c:pt idx="68">
                  <c:v>3123.4377138003538</c:v>
                </c:pt>
                <c:pt idx="69">
                  <c:v>2982.8684446797197</c:v>
                </c:pt>
                <c:pt idx="70">
                  <c:v>2893.5879910332519</c:v>
                </c:pt>
                <c:pt idx="71">
                  <c:v>2699.9444193108975</c:v>
                </c:pt>
                <c:pt idx="72">
                  <c:v>2565.8470190577691</c:v>
                </c:pt>
                <c:pt idx="73">
                  <c:v>2433.9138281399323</c:v>
                </c:pt>
                <c:pt idx="74">
                  <c:v>2310.8771961725106</c:v>
                </c:pt>
                <c:pt idx="75">
                  <c:v>2199.0672336875</c:v>
                </c:pt>
                <c:pt idx="76">
                  <c:v>2101.3737410568597</c:v>
                </c:pt>
                <c:pt idx="77">
                  <c:v>2020.9511505226249</c:v>
                </c:pt>
                <c:pt idx="78">
                  <c:v>1961.1534924613984</c:v>
                </c:pt>
                <c:pt idx="79">
                  <c:v>1925.488996581385</c:v>
                </c:pt>
                <c:pt idx="80">
                  <c:v>1917.5077713538819</c:v>
                </c:pt>
                <c:pt idx="81">
                  <c:v>1940.6332523553876</c:v>
                </c:pt>
                <c:pt idx="82">
                  <c:v>1997.9647561116583</c:v>
                </c:pt>
                <c:pt idx="83">
                  <c:v>2092.02830966176</c:v>
                </c:pt>
                <c:pt idx="84">
                  <c:v>2224.4874842827298</c:v>
                </c:pt>
                <c:pt idx="85">
                  <c:v>2395.8884053727279</c:v>
                </c:pt>
                <c:pt idx="86">
                  <c:v>2605.5589250911898</c:v>
                </c:pt>
                <c:pt idx="87">
                  <c:v>2851.7013890838434</c:v>
                </c:pt>
                <c:pt idx="88">
                  <c:v>3131.6590583471825</c:v>
                </c:pt>
                <c:pt idx="89">
                  <c:v>3442.2568905133321</c:v>
                </c:pt>
                <c:pt idx="90">
                  <c:v>3780.1194483699146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293-41DD-A637-A280AECB4BFA}"/>
            </c:ext>
          </c:extLst>
        </c:ser>
        <c:ser>
          <c:idx val="21"/>
          <c:order val="21"/>
          <c:tx>
            <c:strRef>
              <c:f>KPlot!$EP$24</c:f>
              <c:strCache>
                <c:ptCount val="1"/>
                <c:pt idx="0">
                  <c:v>0y 260d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KPlot!$AT$24:$EO$24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3903.2783141708278</c:v>
                </c:pt>
                <c:pt idx="61">
                  <c:v>3799.6479662618131</c:v>
                </c:pt>
                <c:pt idx="62">
                  <c:v>3690.9621397713727</c:v>
                </c:pt>
                <c:pt idx="63">
                  <c:v>3577.3190290534703</c:v>
                </c:pt>
                <c:pt idx="64">
                  <c:v>3458.9547499903492</c:v>
                </c:pt>
                <c:pt idx="65">
                  <c:v>3336.2579821301606</c:v>
                </c:pt>
                <c:pt idx="66">
                  <c:v>3209.7874060082822</c:v>
                </c:pt>
                <c:pt idx="67">
                  <c:v>3080.2950237933787</c:v>
                </c:pt>
                <c:pt idx="68">
                  <c:v>2948.7704031880471</c:v>
                </c:pt>
                <c:pt idx="69">
                  <c:v>2816.6108245130072</c:v>
                </c:pt>
                <c:pt idx="70">
                  <c:v>2687.2449849174582</c:v>
                </c:pt>
                <c:pt idx="71">
                  <c:v>2869.5715640282369</c:v>
                </c:pt>
                <c:pt idx="72">
                  <c:v>2427.8468763695701</c:v>
                </c:pt>
                <c:pt idx="73">
                  <c:v>2312.7512543324729</c:v>
                </c:pt>
                <c:pt idx="74">
                  <c:v>2199.6318770273028</c:v>
                </c:pt>
                <c:pt idx="75">
                  <c:v>2098.876078537076</c:v>
                </c:pt>
                <c:pt idx="76">
                  <c:v>2012.5217174120671</c:v>
                </c:pt>
                <c:pt idx="77">
                  <c:v>1943.3945046599679</c:v>
                </c:pt>
                <c:pt idx="78">
                  <c:v>1894.6347442985787</c:v>
                </c:pt>
                <c:pt idx="79">
                  <c:v>1869.5567354862544</c:v>
                </c:pt>
                <c:pt idx="80">
                  <c:v>1871.4777338461849</c:v>
                </c:pt>
                <c:pt idx="81">
                  <c:v>1903.522486874421</c:v>
                </c:pt>
                <c:pt idx="82">
                  <c:v>1968.4249765738716</c:v>
                </c:pt>
                <c:pt idx="83">
                  <c:v>2068.2999895288995</c:v>
                </c:pt>
                <c:pt idx="84">
                  <c:v>2204.3994214525583</c:v>
                </c:pt>
                <c:pt idx="85">
                  <c:v>2376.9394402857556</c:v>
                </c:pt>
                <c:pt idx="86">
                  <c:v>2585.0642544168813</c:v>
                </c:pt>
                <c:pt idx="87">
                  <c:v>2826.9761767748714</c:v>
                </c:pt>
                <c:pt idx="88">
                  <c:v>3100.1851492924943</c:v>
                </c:pt>
                <c:pt idx="89">
                  <c:v>3401.7978198481514</c:v>
                </c:pt>
                <c:pt idx="90">
                  <c:v>3728.7751645519756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293-41DD-A637-A280AECB4BFA}"/>
            </c:ext>
          </c:extLst>
        </c:ser>
        <c:ser>
          <c:idx val="22"/>
          <c:order val="22"/>
          <c:tx>
            <c:strRef>
              <c:f>KPlot!$EP$25</c:f>
              <c:strCache>
                <c:ptCount val="1"/>
                <c:pt idx="0">
                  <c:v>0y 268d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KPlot!$AT$25:$EO$25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3987.7634903203671</c:v>
                </c:pt>
                <c:pt idx="58">
                  <c:v>3898.5047364256907</c:v>
                </c:pt>
                <c:pt idx="59">
                  <c:v>3805.4590996386241</c:v>
                </c:pt>
                <c:pt idx="60">
                  <c:v>3708.3522691291073</c:v>
                </c:pt>
                <c:pt idx="61">
                  <c:v>3607.0210712744465</c:v>
                </c:pt>
                <c:pt idx="62">
                  <c:v>3501.4214129291258</c:v>
                </c:pt>
                <c:pt idx="63">
                  <c:v>3391.6377366067518</c:v>
                </c:pt>
                <c:pt idx="64">
                  <c:v>3277.8941162471015</c:v>
                </c:pt>
                <c:pt idx="65">
                  <c:v>3160.5671893805238</c:v>
                </c:pt>
                <c:pt idx="66">
                  <c:v>3040.2012126011246</c:v>
                </c:pt>
                <c:pt idx="67">
                  <c:v>2917.5282607929121</c:v>
                </c:pt>
                <c:pt idx="68">
                  <c:v>2793.4982626921201</c:v>
                </c:pt>
                <c:pt idx="69">
                  <c:v>2669.3589653692652</c:v>
                </c:pt>
                <c:pt idx="70">
                  <c:v>2547.0365076592579</c:v>
                </c:pt>
                <c:pt idx="71">
                  <c:v>2433.2924139583592</c:v>
                </c:pt>
                <c:pt idx="72">
                  <c:v>4000</c:v>
                </c:pt>
                <c:pt idx="73">
                  <c:v>2199.0328213345692</c:v>
                </c:pt>
                <c:pt idx="74">
                  <c:v>2106.3070209399903</c:v>
                </c:pt>
                <c:pt idx="75">
                  <c:v>2013.7390680317212</c:v>
                </c:pt>
                <c:pt idx="76">
                  <c:v>1937.1395834662985</c:v>
                </c:pt>
                <c:pt idx="77">
                  <c:v>1878.0623631926242</c:v>
                </c:pt>
                <c:pt idx="78">
                  <c:v>1839.2286112515919</c:v>
                </c:pt>
                <c:pt idx="79">
                  <c:v>1823.6840319180546</c:v>
                </c:pt>
                <c:pt idx="80">
                  <c:v>1834.4632807341734</c:v>
                </c:pt>
                <c:pt idx="81">
                  <c:v>1874.3563802257902</c:v>
                </c:pt>
                <c:pt idx="82">
                  <c:v>1945.7181041056817</c:v>
                </c:pt>
                <c:pt idx="83">
                  <c:v>2050.268952033703</c:v>
                </c:pt>
                <c:pt idx="84">
                  <c:v>2188.9014211549093</c:v>
                </c:pt>
                <c:pt idx="85">
                  <c:v>2361.5714416360934</c:v>
                </c:pt>
                <c:pt idx="86">
                  <c:v>2567.3101009601437</c:v>
                </c:pt>
                <c:pt idx="87">
                  <c:v>2804.3666373161891</c:v>
                </c:pt>
                <c:pt idx="88">
                  <c:v>3070.4323591950542</c:v>
                </c:pt>
                <c:pt idx="89">
                  <c:v>3362.8819551515353</c:v>
                </c:pt>
                <c:pt idx="90">
                  <c:v>3678.9817355974928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293-41DD-A637-A280AECB4BFA}"/>
            </c:ext>
          </c:extLst>
        </c:ser>
        <c:ser>
          <c:idx val="23"/>
          <c:order val="23"/>
          <c:tx>
            <c:strRef>
              <c:f>KPlot!$EP$26</c:f>
              <c:strCache>
                <c:ptCount val="1"/>
                <c:pt idx="0">
                  <c:v>0y 277d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KPlot!$AT$26:$EO$26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3990.0412786316328</c:v>
                </c:pt>
                <c:pt idx="56">
                  <c:v>3904.1244362478819</c:v>
                </c:pt>
                <c:pt idx="57">
                  <c:v>3816.2976862122305</c:v>
                </c:pt>
                <c:pt idx="58">
                  <c:v>3726.0246564768104</c:v>
                </c:pt>
                <c:pt idx="59">
                  <c:v>3632.8778584786078</c:v>
                </c:pt>
                <c:pt idx="60">
                  <c:v>3536.5428002118133</c:v>
                </c:pt>
                <c:pt idx="61">
                  <c:v>3436.8232378310504</c:v>
                </c:pt>
                <c:pt idx="62">
                  <c:v>3333.6477156922374</c:v>
                </c:pt>
                <c:pt idx="63">
                  <c:v>3227.0775213988272</c:v>
                </c:pt>
                <c:pt idx="64">
                  <c:v>3117.3159675958709</c:v>
                </c:pt>
                <c:pt idx="65">
                  <c:v>3004.7202166582351</c:v>
                </c:pt>
                <c:pt idx="66">
                  <c:v>2889.8135180715108</c:v>
                </c:pt>
                <c:pt idx="67">
                  <c:v>2773.3019353569489</c:v>
                </c:pt>
                <c:pt idx="68">
                  <c:v>2656.0973698239695</c:v>
                </c:pt>
                <c:pt idx="69">
                  <c:v>2539.3635261120253</c:v>
                </c:pt>
                <c:pt idx="70">
                  <c:v>2424.6629215257631</c:v>
                </c:pt>
                <c:pt idx="71">
                  <c:v>2314.7524267616054</c:v>
                </c:pt>
                <c:pt idx="72">
                  <c:v>2223.0308226755624</c:v>
                </c:pt>
                <c:pt idx="73">
                  <c:v>2104.2716069575199</c:v>
                </c:pt>
                <c:pt idx="74">
                  <c:v>2013.1690658103521</c:v>
                </c:pt>
                <c:pt idx="75">
                  <c:v>1946.0180179418667</c:v>
                </c:pt>
                <c:pt idx="76">
                  <c:v>1875.3276664728392</c:v>
                </c:pt>
                <c:pt idx="77">
                  <c:v>1824.4203353733378</c:v>
                </c:pt>
                <c:pt idx="78">
                  <c:v>1794.1733282589569</c:v>
                </c:pt>
                <c:pt idx="79">
                  <c:v>1787.0190445371084</c:v>
                </c:pt>
                <c:pt idx="80">
                  <c:v>1805.5754305214557</c:v>
                </c:pt>
                <c:pt idx="81">
                  <c:v>1852.2362941677811</c:v>
                </c:pt>
                <c:pt idx="82">
                  <c:v>1928.9626344123469</c:v>
                </c:pt>
                <c:pt idx="83">
                  <c:v>2037.1012528426072</c:v>
                </c:pt>
                <c:pt idx="84">
                  <c:v>2177.2391785218697</c:v>
                </c:pt>
                <c:pt idx="85">
                  <c:v>2349.1345807970406</c:v>
                </c:pt>
                <c:pt idx="86">
                  <c:v>2551.7598011238497</c:v>
                </c:pt>
                <c:pt idx="87">
                  <c:v>2783.4416594725303</c:v>
                </c:pt>
                <c:pt idx="88">
                  <c:v>3042.0560583118031</c:v>
                </c:pt>
                <c:pt idx="89">
                  <c:v>3325.2272845850425</c:v>
                </c:pt>
                <c:pt idx="90">
                  <c:v>3630.49644381488</c:v>
                </c:pt>
                <c:pt idx="91">
                  <c:v>3955.4440304697773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293-41DD-A637-A280AECB4BFA}"/>
            </c:ext>
          </c:extLst>
        </c:ser>
        <c:ser>
          <c:idx val="24"/>
          <c:order val="24"/>
          <c:tx>
            <c:strRef>
              <c:f>KPlot!$EP$27</c:f>
              <c:strCache>
                <c:ptCount val="1"/>
                <c:pt idx="0">
                  <c:v>0y 285d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KPlot!$AT$27:$EO$27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3939.7394390473801</c:v>
                </c:pt>
                <c:pt idx="55">
                  <c:v>3849.8210597145917</c:v>
                </c:pt>
                <c:pt idx="56">
                  <c:v>3759.8401932835941</c:v>
                </c:pt>
                <c:pt idx="57">
                  <c:v>3669.0695508965346</c:v>
                </c:pt>
                <c:pt idx="58">
                  <c:v>3576.8991776000157</c:v>
                </c:pt>
                <c:pt idx="59">
                  <c:v>3482.8386598995785</c:v>
                </c:pt>
                <c:pt idx="60">
                  <c:v>3386.5201059972569</c:v>
                </c:pt>
                <c:pt idx="61">
                  <c:v>3287.7021006942778</c:v>
                </c:pt>
                <c:pt idx="62">
                  <c:v>3186.2746567245777</c:v>
                </c:pt>
                <c:pt idx="63">
                  <c:v>3082.2661417545141</c:v>
                </c:pt>
                <c:pt idx="64">
                  <c:v>2975.8503919367431</c:v>
                </c:pt>
                <c:pt idx="65">
                  <c:v>2867.3564272402846</c:v>
                </c:pt>
                <c:pt idx="66">
                  <c:v>2757.2793726036562</c:v>
                </c:pt>
                <c:pt idx="67">
                  <c:v>2646.2937927009662</c:v>
                </c:pt>
                <c:pt idx="68">
                  <c:v>2535.2714776947978</c:v>
                </c:pt>
                <c:pt idx="69">
                  <c:v>2425.3113433925528</c:v>
                </c:pt>
                <c:pt idx="70">
                  <c:v>2317.8121059801188</c:v>
                </c:pt>
                <c:pt idx="71">
                  <c:v>2214.7380896202467</c:v>
                </c:pt>
                <c:pt idx="72">
                  <c:v>2120.141348063466</c:v>
                </c:pt>
                <c:pt idx="73">
                  <c:v>2059.172703585722</c:v>
                </c:pt>
                <c:pt idx="74">
                  <c:v>1940.4293667415443</c:v>
                </c:pt>
                <c:pt idx="75">
                  <c:v>1869.9677881949726</c:v>
                </c:pt>
                <c:pt idx="76">
                  <c:v>1830.6132897121051</c:v>
                </c:pt>
                <c:pt idx="77">
                  <c:v>1782.905601888039</c:v>
                </c:pt>
                <c:pt idx="78">
                  <c:v>1759.0769459315857</c:v>
                </c:pt>
                <c:pt idx="79">
                  <c:v>1758.8907039634259</c:v>
                </c:pt>
                <c:pt idx="80">
                  <c:v>1784.0425907058409</c:v>
                </c:pt>
                <c:pt idx="81">
                  <c:v>1836.3652826736011</c:v>
                </c:pt>
                <c:pt idx="82">
                  <c:v>1917.379514579337</c:v>
                </c:pt>
                <c:pt idx="83">
                  <c:v>2028.076024068685</c:v>
                </c:pt>
                <c:pt idx="84">
                  <c:v>2168.7781927462365</c:v>
                </c:pt>
                <c:pt idx="85">
                  <c:v>2339.0977049301882</c:v>
                </c:pt>
                <c:pt idx="86">
                  <c:v>2537.987206946179</c:v>
                </c:pt>
                <c:pt idx="87">
                  <c:v>2763.8684579580322</c:v>
                </c:pt>
                <c:pt idx="88">
                  <c:v>3014.7971814723878</c:v>
                </c:pt>
                <c:pt idx="89">
                  <c:v>3288.6264319025631</c:v>
                </c:pt>
                <c:pt idx="90">
                  <c:v>3583.1431612354245</c:v>
                </c:pt>
                <c:pt idx="91">
                  <c:v>3896.1681133020675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293-41DD-A637-A280AECB4BFA}"/>
            </c:ext>
          </c:extLst>
        </c:ser>
        <c:ser>
          <c:idx val="25"/>
          <c:order val="25"/>
          <c:tx>
            <c:strRef>
              <c:f>KPlot!$EP$28</c:f>
              <c:strCache>
                <c:ptCount val="1"/>
                <c:pt idx="0">
                  <c:v>0y 293d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KPlot!$AT$28:$EO$28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3930.2081361369087</c:v>
                </c:pt>
                <c:pt idx="54">
                  <c:v>3831.5268171206972</c:v>
                </c:pt>
                <c:pt idx="55">
                  <c:v>3735.0700205334733</c:v>
                </c:pt>
                <c:pt idx="56">
                  <c:v>3639.8814562975285</c:v>
                </c:pt>
                <c:pt idx="57">
                  <c:v>3545.1330160660609</c:v>
                </c:pt>
                <c:pt idx="58">
                  <c:v>3450.1260030288413</c:v>
                </c:pt>
                <c:pt idx="59">
                  <c:v>3354.2926454141189</c:v>
                </c:pt>
                <c:pt idx="60">
                  <c:v>3257.1981124329677</c:v>
                </c:pt>
                <c:pt idx="61">
                  <c:v>3158.5431117485095</c:v>
                </c:pt>
                <c:pt idx="62">
                  <c:v>3058.1681265966454</c:v>
                </c:pt>
                <c:pt idx="63">
                  <c:v>2956.0575885032604</c:v>
                </c:pt>
                <c:pt idx="64">
                  <c:v>2852.3463612225687</c:v>
                </c:pt>
                <c:pt idx="65">
                  <c:v>2747.327099519498</c:v>
                </c:pt>
                <c:pt idx="66">
                  <c:v>2641.4591564965931</c:v>
                </c:pt>
                <c:pt idx="67">
                  <c:v>2535.3793000620531</c:v>
                </c:pt>
                <c:pt idx="68">
                  <c:v>2429.91540625567</c:v>
                </c:pt>
                <c:pt idx="69">
                  <c:v>2326.107058228547</c:v>
                </c:pt>
                <c:pt idx="70">
                  <c:v>2225.2467754240888</c:v>
                </c:pt>
                <c:pt idx="71">
                  <c:v>2128.9956025434867</c:v>
                </c:pt>
                <c:pt idx="72">
                  <c:v>2039.8332234419424</c:v>
                </c:pt>
                <c:pt idx="73">
                  <c:v>1963.6758808962197</c:v>
                </c:pt>
                <c:pt idx="74">
                  <c:v>1943.0095796895491</c:v>
                </c:pt>
                <c:pt idx="75">
                  <c:v>1816.967335335102</c:v>
                </c:pt>
                <c:pt idx="76">
                  <c:v>1768.962505259793</c:v>
                </c:pt>
                <c:pt idx="77">
                  <c:v>1757.8589869357725</c:v>
                </c:pt>
                <c:pt idx="78">
                  <c:v>1734.5369828246628</c:v>
                </c:pt>
                <c:pt idx="79">
                  <c:v>1738.9742969668071</c:v>
                </c:pt>
                <c:pt idx="80">
                  <c:v>1769.2630761017547</c:v>
                </c:pt>
                <c:pt idx="81">
                  <c:v>1826.0658239249904</c:v>
                </c:pt>
                <c:pt idx="82">
                  <c:v>1910.3029236670384</c:v>
                </c:pt>
                <c:pt idx="83">
                  <c:v>2022.5846614508737</c:v>
                </c:pt>
                <c:pt idx="84">
                  <c:v>2162.9956875762082</c:v>
                </c:pt>
                <c:pt idx="85">
                  <c:v>2331.0355060305042</c:v>
                </c:pt>
                <c:pt idx="86">
                  <c:v>2525.6615020149247</c:v>
                </c:pt>
                <c:pt idx="87">
                  <c:v>2745.3971090758696</c:v>
                </c:pt>
                <c:pt idx="88">
                  <c:v>2988.4677082353828</c:v>
                </c:pt>
                <c:pt idx="89">
                  <c:v>3252.9334874058468</c:v>
                </c:pt>
                <c:pt idx="90">
                  <c:v>3536.8004200899104</c:v>
                </c:pt>
                <c:pt idx="91">
                  <c:v>3838.1028657387242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293-41DD-A637-A280AECB4BFA}"/>
            </c:ext>
          </c:extLst>
        </c:ser>
        <c:ser>
          <c:idx val="26"/>
          <c:order val="26"/>
          <c:tx>
            <c:strRef>
              <c:f>KPlot!$EP$29</c:f>
              <c:strCache>
                <c:ptCount val="1"/>
                <c:pt idx="0">
                  <c:v>0y 302d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KPlot!$AT$29:$EO$29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3970.8775337760644</c:v>
                </c:pt>
                <c:pt idx="53">
                  <c:v>3857.6872157289376</c:v>
                </c:pt>
                <c:pt idx="54">
                  <c:v>3749.5329681590792</c:v>
                </c:pt>
                <c:pt idx="55">
                  <c:v>3645.1920044435865</c:v>
                </c:pt>
                <c:pt idx="56">
                  <c:v>3543.5807736524034</c:v>
                </c:pt>
                <c:pt idx="57">
                  <c:v>3443.7560824956099</c:v>
                </c:pt>
                <c:pt idx="58">
                  <c:v>3344.9162149037347</c:v>
                </c:pt>
                <c:pt idx="59">
                  <c:v>3246.4020294555876</c:v>
                </c:pt>
                <c:pt idx="60">
                  <c:v>3147.698317076095</c:v>
                </c:pt>
                <c:pt idx="61">
                  <c:v>3048.4355607007183</c:v>
                </c:pt>
                <c:pt idx="62">
                  <c:v>2948.3923314007484</c:v>
                </c:pt>
                <c:pt idx="63">
                  <c:v>2847.4986566468788</c:v>
                </c:pt>
                <c:pt idx="64">
                  <c:v>2745.8404350055343</c:v>
                </c:pt>
                <c:pt idx="65">
                  <c:v>2643.6650148617337</c:v>
                </c:pt>
                <c:pt idx="66">
                  <c:v>2541.3880158530683</c:v>
                </c:pt>
                <c:pt idx="67">
                  <c:v>2439.6015706274247</c:v>
                </c:pt>
                <c:pt idx="68">
                  <c:v>2339.0846021617526</c:v>
                </c:pt>
                <c:pt idx="69">
                  <c:v>2240.8171779245213</c:v>
                </c:pt>
                <c:pt idx="70">
                  <c:v>2146.0055204283644</c:v>
                </c:pt>
                <c:pt idx="71">
                  <c:v>2056.1398177744254</c:v>
                </c:pt>
                <c:pt idx="72">
                  <c:v>1973.1688664281626</c:v>
                </c:pt>
                <c:pt idx="73">
                  <c:v>1900.1877756137501</c:v>
                </c:pt>
                <c:pt idx="74">
                  <c:v>1845.369925576872</c:v>
                </c:pt>
                <c:pt idx="75">
                  <c:v>1870.4442003249371</c:v>
                </c:pt>
                <c:pt idx="76">
                  <c:v>1733.3684999791608</c:v>
                </c:pt>
                <c:pt idx="77">
                  <c:v>1709.2002182048759</c:v>
                </c:pt>
                <c:pt idx="78">
                  <c:v>1725.2739554354048</c:v>
                </c:pt>
                <c:pt idx="79">
                  <c:v>1727.9150662303296</c:v>
                </c:pt>
                <c:pt idx="80">
                  <c:v>1760.9682551429642</c:v>
                </c:pt>
                <c:pt idx="81">
                  <c:v>1820.8328272586452</c:v>
                </c:pt>
                <c:pt idx="82">
                  <c:v>1907.1932177688532</c:v>
                </c:pt>
                <c:pt idx="83">
                  <c:v>2020.1313512508464</c:v>
                </c:pt>
                <c:pt idx="84">
                  <c:v>2159.4731021737389</c:v>
                </c:pt>
                <c:pt idx="85">
                  <c:v>2324.6167453121898</c:v>
                </c:pt>
                <c:pt idx="86">
                  <c:v>2514.5338841726689</c:v>
                </c:pt>
                <c:pt idx="87">
                  <c:v>2727.8474769417244</c:v>
                </c:pt>
                <c:pt idx="88">
                  <c:v>2962.9386947194103</c:v>
                </c:pt>
                <c:pt idx="89">
                  <c:v>3218.0533247853482</c:v>
                </c:pt>
                <c:pt idx="90">
                  <c:v>3491.3923770544279</c:v>
                </c:pt>
                <c:pt idx="91">
                  <c:v>3781.1780785604597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293-41DD-A637-A280AECB4BFA}"/>
            </c:ext>
          </c:extLst>
        </c:ser>
        <c:ser>
          <c:idx val="27"/>
          <c:order val="27"/>
          <c:tx>
            <c:strRef>
              <c:f>KPlot!$EP$30</c:f>
              <c:strCache>
                <c:ptCount val="1"/>
                <c:pt idx="0">
                  <c:v>0y 310d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KPlot!$AT$30:$EO$30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3938.6713643856042</c:v>
                </c:pt>
                <c:pt idx="53">
                  <c:v>3812.5687092265325</c:v>
                </c:pt>
                <c:pt idx="54">
                  <c:v>3693.3863176696577</c:v>
                </c:pt>
                <c:pt idx="55">
                  <c:v>3579.7504569741436</c:v>
                </c:pt>
                <c:pt idx="56">
                  <c:v>3470.4383952399303</c:v>
                </c:pt>
                <c:pt idx="57">
                  <c:v>3364.3795295492464</c:v>
                </c:pt>
                <c:pt idx="58">
                  <c:v>3260.6559746723397</c:v>
                </c:pt>
                <c:pt idx="59">
                  <c:v>3158.5044228044198</c:v>
                </c:pt>
                <c:pt idx="60">
                  <c:v>3057.316470133027</c:v>
                </c:pt>
                <c:pt idx="61">
                  <c:v>2956.6397696220474</c:v>
                </c:pt>
                <c:pt idx="62">
                  <c:v>2856.1794043432392</c:v>
                </c:pt>
                <c:pt idx="63">
                  <c:v>2755.7998810196195</c:v>
                </c:pt>
                <c:pt idx="64">
                  <c:v>2655.527941895662</c:v>
                </c:pt>
                <c:pt idx="65">
                  <c:v>2555.5563205531644</c:v>
                </c:pt>
                <c:pt idx="66">
                  <c:v>2456.2485098852594</c:v>
                </c:pt>
                <c:pt idx="67">
                  <c:v>2358.1446225247851</c:v>
                </c:pt>
                <c:pt idx="68">
                  <c:v>2261.9686300479507</c:v>
                </c:pt>
                <c:pt idx="69">
                  <c:v>2168.6379934054767</c:v>
                </c:pt>
                <c:pt idx="70">
                  <c:v>2079.2788757471953</c:v>
                </c:pt>
                <c:pt idx="71">
                  <c:v>1995.2566957963752</c:v>
                </c:pt>
                <c:pt idx="72">
                  <c:v>1918.2532579236906</c:v>
                </c:pt>
                <c:pt idx="73">
                  <c:v>1850.5034189817397</c:v>
                </c:pt>
                <c:pt idx="74">
                  <c:v>1795.7016175559324</c:v>
                </c:pt>
                <c:pt idx="75">
                  <c:v>1763.9746163289499</c:v>
                </c:pt>
                <c:pt idx="76">
                  <c:v>1829.9671261006783</c:v>
                </c:pt>
                <c:pt idx="77">
                  <c:v>1688.5101888354679</c:v>
                </c:pt>
                <c:pt idx="78">
                  <c:v>1688.8997688882125</c:v>
                </c:pt>
                <c:pt idx="79">
                  <c:v>1730.5160879454918</c:v>
                </c:pt>
                <c:pt idx="80">
                  <c:v>1759.824859320488</c:v>
                </c:pt>
                <c:pt idx="81">
                  <c:v>1820.4831461792537</c:v>
                </c:pt>
                <c:pt idx="82">
                  <c:v>1907.6796040359786</c:v>
                </c:pt>
                <c:pt idx="83">
                  <c:v>2020.3413613380412</c:v>
                </c:pt>
                <c:pt idx="84">
                  <c:v>2157.8915334243566</c:v>
                </c:pt>
                <c:pt idx="85">
                  <c:v>2319.594598645579</c:v>
                </c:pt>
                <c:pt idx="86">
                  <c:v>2504.4264663164372</c:v>
                </c:pt>
                <c:pt idx="87">
                  <c:v>2711.0984599570743</c:v>
                </c:pt>
                <c:pt idx="88">
                  <c:v>2938.1305672803737</c:v>
                </c:pt>
                <c:pt idx="89">
                  <c:v>3183.9330232462617</c:v>
                </c:pt>
                <c:pt idx="90">
                  <c:v>3446.8792935177871</c:v>
                </c:pt>
                <c:pt idx="91">
                  <c:v>3725.3589988089243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293-41DD-A637-A280AECB4BFA}"/>
            </c:ext>
          </c:extLst>
        </c:ser>
        <c:ser>
          <c:idx val="28"/>
          <c:order val="28"/>
          <c:tx>
            <c:strRef>
              <c:f>KPlot!$EP$31</c:f>
              <c:strCache>
                <c:ptCount val="1"/>
                <c:pt idx="0">
                  <c:v>0y 318d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KPlot!$AT$31:$EO$31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3935.4100126597186</c:v>
                </c:pt>
                <c:pt idx="53">
                  <c:v>3794.6359168847985</c:v>
                </c:pt>
                <c:pt idx="54">
                  <c:v>3662.8199032304806</c:v>
                </c:pt>
                <c:pt idx="55">
                  <c:v>3538.4260897749764</c:v>
                </c:pt>
                <c:pt idx="56">
                  <c:v>3420.0822361381151</c:v>
                </c:pt>
                <c:pt idx="57">
                  <c:v>3306.5786326492039</c:v>
                </c:pt>
                <c:pt idx="58">
                  <c:v>3196.8708229479844</c:v>
                </c:pt>
                <c:pt idx="59">
                  <c:v>3090.0793360460684</c:v>
                </c:pt>
                <c:pt idx="60">
                  <c:v>2985.490693271397</c:v>
                </c:pt>
                <c:pt idx="61">
                  <c:v>2882.5579359627177</c:v>
                </c:pt>
                <c:pt idx="62">
                  <c:v>2780.9011776688999</c:v>
                </c:pt>
                <c:pt idx="63">
                  <c:v>2680.3084390283102</c:v>
                </c:pt>
                <c:pt idx="64">
                  <c:v>2580.7369959245802</c:v>
                </c:pt>
                <c:pt idx="65">
                  <c:v>2482.3154004792723</c:v>
                </c:pt>
                <c:pt idx="66">
                  <c:v>2385.3462537530686</c:v>
                </c:pt>
                <c:pt idx="67">
                  <c:v>2290.3097607768113</c:v>
                </c:pt>
                <c:pt idx="68">
                  <c:v>2197.8681575153787</c:v>
                </c:pt>
                <c:pt idx="69">
                  <c:v>2108.8714328753872</c:v>
                </c:pt>
                <c:pt idx="70">
                  <c:v>2024.365793394747</c:v>
                </c:pt>
                <c:pt idx="71">
                  <c:v>1945.6091492495395</c:v>
                </c:pt>
                <c:pt idx="72">
                  <c:v>1874.1058070401734</c:v>
                </c:pt>
                <c:pt idx="73">
                  <c:v>1811.6965665928192</c:v>
                </c:pt>
                <c:pt idx="74">
                  <c:v>1760.8267977758603</c:v>
                </c:pt>
                <c:pt idx="75">
                  <c:v>1725.525413643483</c:v>
                </c:pt>
                <c:pt idx="76">
                  <c:v>1716.568490003252</c:v>
                </c:pt>
                <c:pt idx="77">
                  <c:v>1808.3884790687616</c:v>
                </c:pt>
                <c:pt idx="78">
                  <c:v>1680.3785443823663</c:v>
                </c:pt>
                <c:pt idx="79">
                  <c:v>1705.1999622362482</c:v>
                </c:pt>
                <c:pt idx="80">
                  <c:v>1770.6284212193746</c:v>
                </c:pt>
                <c:pt idx="81">
                  <c:v>1825.7324932901076</c:v>
                </c:pt>
                <c:pt idx="82">
                  <c:v>1911.6966179956669</c:v>
                </c:pt>
                <c:pt idx="83">
                  <c:v>2022.9947450646271</c:v>
                </c:pt>
                <c:pt idx="84">
                  <c:v>2158.0356325236448</c:v>
                </c:pt>
                <c:pt idx="85">
                  <c:v>2315.8009962555925</c:v>
                </c:pt>
                <c:pt idx="86">
                  <c:v>2495.2239354480052</c:v>
                </c:pt>
                <c:pt idx="87">
                  <c:v>2695.0795434924298</c:v>
                </c:pt>
                <c:pt idx="88">
                  <c:v>2914.0054374090669</c:v>
                </c:pt>
                <c:pt idx="89">
                  <c:v>3150.5558483715113</c:v>
                </c:pt>
                <c:pt idx="90">
                  <c:v>3403.2538527635716</c:v>
                </c:pt>
                <c:pt idx="91">
                  <c:v>3670.6396789889577</c:v>
                </c:pt>
                <c:pt idx="92">
                  <c:v>3951.3026074492964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293-41DD-A637-A280AECB4BFA}"/>
            </c:ext>
          </c:extLst>
        </c:ser>
        <c:ser>
          <c:idx val="29"/>
          <c:order val="29"/>
          <c:tx>
            <c:strRef>
              <c:f>KPlot!$EP$32</c:f>
              <c:strCache>
                <c:ptCount val="1"/>
                <c:pt idx="0">
                  <c:v>0y 326d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KPlot!$AT$32:$EO$32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3960.9899631666494</c:v>
                </c:pt>
                <c:pt idx="53">
                  <c:v>3803.7412577597238</c:v>
                </c:pt>
                <c:pt idx="54">
                  <c:v>3657.6438305728293</c:v>
                </c:pt>
                <c:pt idx="55">
                  <c:v>3520.9866141252623</c:v>
                </c:pt>
                <c:pt idx="56">
                  <c:v>3392.2350600176824</c:v>
                </c:pt>
                <c:pt idx="57">
                  <c:v>3270.031988165194</c:v>
                </c:pt>
                <c:pt idx="58">
                  <c:v>3153.1953354896204</c:v>
                </c:pt>
                <c:pt idx="59">
                  <c:v>3040.7191603182127</c:v>
                </c:pt>
                <c:pt idx="60">
                  <c:v>2931.7741276015895</c:v>
                </c:pt>
                <c:pt idx="61">
                  <c:v>2825.7077053069115</c:v>
                </c:pt>
                <c:pt idx="62">
                  <c:v>2722.044111979551</c:v>
                </c:pt>
                <c:pt idx="63">
                  <c:v>2620.4842083411304</c:v>
                </c:pt>
                <c:pt idx="64">
                  <c:v>2520.9055600512265</c:v>
                </c:pt>
                <c:pt idx="65">
                  <c:v>2423.3628541453795</c:v>
                </c:pt>
                <c:pt idx="66">
                  <c:v>2328.0887668722416</c:v>
                </c:pt>
                <c:pt idx="67">
                  <c:v>2235.4952948975711</c:v>
                </c:pt>
                <c:pt idx="68">
                  <c:v>2146.1755259985162</c:v>
                </c:pt>
                <c:pt idx="69">
                  <c:v>2060.9059282662442</c:v>
                </c:pt>
                <c:pt idx="70">
                  <c:v>1980.6496622668099</c:v>
                </c:pt>
                <c:pt idx="71">
                  <c:v>1906.5625744635549</c:v>
                </c:pt>
                <c:pt idx="72">
                  <c:v>1840.0063501270654</c:v>
                </c:pt>
                <c:pt idx="73">
                  <c:v>1782.5802118010813</c:v>
                </c:pt>
                <c:pt idx="74">
                  <c:v>1736.2017030809525</c:v>
                </c:pt>
                <c:pt idx="75">
                  <c:v>1703.3373469259848</c:v>
                </c:pt>
                <c:pt idx="76">
                  <c:v>1687.8432453224368</c:v>
                </c:pt>
                <c:pt idx="77">
                  <c:v>1699.4485293176658</c:v>
                </c:pt>
                <c:pt idx="78">
                  <c:v>1800.4003320972706</c:v>
                </c:pt>
                <c:pt idx="79">
                  <c:v>1705.9192925101825</c:v>
                </c:pt>
                <c:pt idx="80">
                  <c:v>1754.1317088160417</c:v>
                </c:pt>
                <c:pt idx="81">
                  <c:v>1841.4245889741296</c:v>
                </c:pt>
                <c:pt idx="82">
                  <c:v>1920.0394717901295</c:v>
                </c:pt>
                <c:pt idx="83">
                  <c:v>2028.1514038626794</c:v>
                </c:pt>
                <c:pt idx="84">
                  <c:v>2159.8225324553446</c:v>
                </c:pt>
                <c:pt idx="85">
                  <c:v>2313.1496796845199</c:v>
                </c:pt>
                <c:pt idx="86">
                  <c:v>2486.8693035652723</c:v>
                </c:pt>
                <c:pt idx="87">
                  <c:v>2679.7648986783961</c:v>
                </c:pt>
                <c:pt idx="88">
                  <c:v>2890.5613103166188</c:v>
                </c:pt>
                <c:pt idx="89">
                  <c:v>3117.9332815064181</c:v>
                </c:pt>
                <c:pt idx="90">
                  <c:v>3360.5350528527301</c:v>
                </c:pt>
                <c:pt idx="91">
                  <c:v>3617.0388312817768</c:v>
                </c:pt>
                <c:pt idx="92">
                  <c:v>3886.1598130469556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293-41DD-A637-A280AECB4BFA}"/>
            </c:ext>
          </c:extLst>
        </c:ser>
        <c:ser>
          <c:idx val="30"/>
          <c:order val="30"/>
          <c:tx>
            <c:strRef>
              <c:f>KPlot!$EP$33</c:f>
              <c:strCache>
                <c:ptCount val="1"/>
                <c:pt idx="0">
                  <c:v>0y 335d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KPlot!$AT$33:$EO$33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3839.8122959871562</c:v>
                </c:pt>
                <c:pt idx="54">
                  <c:v>3677.7401209461341</c:v>
                </c:pt>
                <c:pt idx="55">
                  <c:v>3527.2709314536387</c:v>
                </c:pt>
                <c:pt idx="56">
                  <c:v>3386.696704846685</c:v>
                </c:pt>
                <c:pt idx="57">
                  <c:v>3254.4996993311784</c:v>
                </c:pt>
                <c:pt idx="58">
                  <c:v>3129.3503184530427</c:v>
                </c:pt>
                <c:pt idx="59">
                  <c:v>3010.1062701512669</c:v>
                </c:pt>
                <c:pt idx="60">
                  <c:v>2895.8123919342006</c:v>
                </c:pt>
                <c:pt idx="61">
                  <c:v>2785.70040876548</c:v>
                </c:pt>
                <c:pt idx="62">
                  <c:v>2679.1883558388736</c:v>
                </c:pt>
                <c:pt idx="63">
                  <c:v>2575.8796881370868</c:v>
                </c:pt>
                <c:pt idx="64">
                  <c:v>2475.5622319554086</c:v>
                </c:pt>
                <c:pt idx="65">
                  <c:v>2378.207147722112</c:v>
                </c:pt>
                <c:pt idx="66">
                  <c:v>2283.9680106629312</c:v>
                </c:pt>
                <c:pt idx="67">
                  <c:v>2193.1800173208203</c:v>
                </c:pt>
                <c:pt idx="68">
                  <c:v>2106.3592337263581</c:v>
                </c:pt>
                <c:pt idx="69">
                  <c:v>2024.2017676545227</c:v>
                </c:pt>
                <c:pt idx="70">
                  <c:v>1947.5828526640673</c:v>
                </c:pt>
                <c:pt idx="71">
                  <c:v>1877.5562015606031</c:v>
                </c:pt>
                <c:pt idx="72">
                  <c:v>1815.3547960297997</c:v>
                </c:pt>
                <c:pt idx="73">
                  <c:v>1762.3957311714935</c:v>
                </c:pt>
                <c:pt idx="74">
                  <c:v>1720.2945001914995</c:v>
                </c:pt>
                <c:pt idx="75">
                  <c:v>1690.9040797202265</c:v>
                </c:pt>
                <c:pt idx="76">
                  <c:v>1676.4504861004657</c:v>
                </c:pt>
                <c:pt idx="77">
                  <c:v>1680.1490267221702</c:v>
                </c:pt>
                <c:pt idx="78">
                  <c:v>1709.6641496310231</c:v>
                </c:pt>
                <c:pt idx="79">
                  <c:v>1809.9543428510649</c:v>
                </c:pt>
                <c:pt idx="80">
                  <c:v>4000</c:v>
                </c:pt>
                <c:pt idx="81">
                  <c:v>1830.8617093813425</c:v>
                </c:pt>
                <c:pt idx="82">
                  <c:v>1937.7303334808464</c:v>
                </c:pt>
                <c:pt idx="83">
                  <c:v>2036.6988709700408</c:v>
                </c:pt>
                <c:pt idx="84">
                  <c:v>2163.4204653552015</c:v>
                </c:pt>
                <c:pt idx="85">
                  <c:v>2311.6634024740388</c:v>
                </c:pt>
                <c:pt idx="86">
                  <c:v>2479.3678113390197</c:v>
                </c:pt>
                <c:pt idx="87">
                  <c:v>2665.1710445898816</c:v>
                </c:pt>
                <c:pt idx="88">
                  <c:v>2867.8291260248998</c:v>
                </c:pt>
                <c:pt idx="89">
                  <c:v>3086.1048173587697</c:v>
                </c:pt>
                <c:pt idx="90">
                  <c:v>3318.7649128460685</c:v>
                </c:pt>
                <c:pt idx="91">
                  <c:v>3564.5964404738661</c:v>
                </c:pt>
                <c:pt idx="92">
                  <c:v>3822.4271839359726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293-41DD-A637-A280AECB4BFA}"/>
            </c:ext>
          </c:extLst>
        </c:ser>
        <c:ser>
          <c:idx val="31"/>
          <c:order val="31"/>
          <c:tx>
            <c:strRef>
              <c:f>KPlot!$EP$34</c:f>
              <c:strCache>
                <c:ptCount val="1"/>
                <c:pt idx="0">
                  <c:v>0y 343d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KPlot!$AT$34:$EO$34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3902.8875834377459</c:v>
                </c:pt>
                <c:pt idx="54">
                  <c:v>3723.0785664034765</c:v>
                </c:pt>
                <c:pt idx="55">
                  <c:v>3557.1979708947688</c:v>
                </c:pt>
                <c:pt idx="56">
                  <c:v>3403.3412473015092</c:v>
                </c:pt>
                <c:pt idx="57">
                  <c:v>3259.8153473137427</c:v>
                </c:pt>
                <c:pt idx="58">
                  <c:v>3125.1310082573236</c:v>
                </c:pt>
                <c:pt idx="59">
                  <c:v>2997.9990295152979</c:v>
                </c:pt>
                <c:pt idx="60">
                  <c:v>2877.3284900600015</c:v>
                </c:pt>
                <c:pt idx="61">
                  <c:v>2762.2255787379058</c:v>
                </c:pt>
                <c:pt idx="62">
                  <c:v>2651.9923190165291</c:v>
                </c:pt>
                <c:pt idx="63">
                  <c:v>2546.1249111438328</c:v>
                </c:pt>
                <c:pt idx="64">
                  <c:v>2444.3116772046533</c:v>
                </c:pt>
                <c:pt idx="65">
                  <c:v>2346.4307014273054</c:v>
                </c:pt>
                <c:pt idx="66">
                  <c:v>2252.5472486376348</c:v>
                </c:pt>
                <c:pt idx="67">
                  <c:v>2162.9109611710228</c:v>
                </c:pt>
                <c:pt idx="68">
                  <c:v>2077.9527200484799</c:v>
                </c:pt>
                <c:pt idx="69">
                  <c:v>1998.2809489360238</c:v>
                </c:pt>
                <c:pt idx="70">
                  <c:v>1924.6770769447651</c:v>
                </c:pt>
                <c:pt idx="71">
                  <c:v>1858.0898819865706</c:v>
                </c:pt>
                <c:pt idx="72">
                  <c:v>1799.6284584679929</c:v>
                </c:pt>
                <c:pt idx="73">
                  <c:v>1750.5533154513544</c:v>
                </c:pt>
                <c:pt idx="74">
                  <c:v>1712.2640905130195</c:v>
                </c:pt>
                <c:pt idx="75">
                  <c:v>1686.2816006454987</c:v>
                </c:pt>
                <c:pt idx="76">
                  <c:v>1674.2330029588031</c:v>
                </c:pt>
                <c:pt idx="77">
                  <c:v>1677.9144688418478</c:v>
                </c:pt>
                <c:pt idx="78">
                  <c:v>1699.7519785160155</c:v>
                </c:pt>
                <c:pt idx="79">
                  <c:v>1745.2374559679261</c:v>
                </c:pt>
                <c:pt idx="80">
                  <c:v>1843.1257396167293</c:v>
                </c:pt>
                <c:pt idx="81">
                  <c:v>3222.7070165942005</c:v>
                </c:pt>
                <c:pt idx="82">
                  <c:v>1930.1135685812128</c:v>
                </c:pt>
                <c:pt idx="83">
                  <c:v>2054.0150534534591</c:v>
                </c:pt>
                <c:pt idx="84">
                  <c:v>2169.8046702155507</c:v>
                </c:pt>
                <c:pt idx="85">
                  <c:v>2311.5894989457506</c:v>
                </c:pt>
                <c:pt idx="86">
                  <c:v>2472.8134533790139</c:v>
                </c:pt>
                <c:pt idx="87">
                  <c:v>2651.361635867007</c:v>
                </c:pt>
                <c:pt idx="88">
                  <c:v>2845.868905233021</c:v>
                </c:pt>
                <c:pt idx="89">
                  <c:v>3055.1334552412109</c:v>
                </c:pt>
                <c:pt idx="90">
                  <c:v>3278.005896261303</c:v>
                </c:pt>
                <c:pt idx="91">
                  <c:v>3513.3712086599976</c:v>
                </c:pt>
                <c:pt idx="92">
                  <c:v>3760.1569222532653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293-41DD-A637-A280AECB4BFA}"/>
            </c:ext>
          </c:extLst>
        </c:ser>
        <c:ser>
          <c:idx val="32"/>
          <c:order val="32"/>
          <c:tx>
            <c:strRef>
              <c:f>KPlot!$EP$35</c:f>
              <c:strCache>
                <c:ptCount val="1"/>
                <c:pt idx="0">
                  <c:v>0y 351d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KPlot!$AT$35:$EO$35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3993.1729071892378</c:v>
                </c:pt>
                <c:pt idx="54">
                  <c:v>3793.7632381357516</c:v>
                </c:pt>
                <c:pt idx="55">
                  <c:v>3610.7935224811063</c:v>
                </c:pt>
                <c:pt idx="56">
                  <c:v>3442.1337146070632</c:v>
                </c:pt>
                <c:pt idx="57">
                  <c:v>3285.8937918012807</c:v>
                </c:pt>
                <c:pt idx="58">
                  <c:v>3140.4085458602058</c:v>
                </c:pt>
                <c:pt idx="59">
                  <c:v>3004.228904131799</c:v>
                </c:pt>
                <c:pt idx="60">
                  <c:v>2876.1170611187908</c:v>
                </c:pt>
                <c:pt idx="61">
                  <c:v>2755.0434366549407</c:v>
                </c:pt>
                <c:pt idx="62">
                  <c:v>2640.1841808927029</c:v>
                </c:pt>
                <c:pt idx="63">
                  <c:v>2530.9185244101855</c:v>
                </c:pt>
                <c:pt idx="64">
                  <c:v>2426.8256757051422</c:v>
                </c:pt>
                <c:pt idx="65">
                  <c:v>2327.6811946792773</c:v>
                </c:pt>
                <c:pt idx="66">
                  <c:v>2233.4528460128768</c:v>
                </c:pt>
                <c:pt idx="67">
                  <c:v>2144.2959010963159</c:v>
                </c:pt>
                <c:pt idx="68">
                  <c:v>2060.5477538436244</c:v>
                </c:pt>
                <c:pt idx="69">
                  <c:v>1982.7215815947316</c:v>
                </c:pt>
                <c:pt idx="70">
                  <c:v>1911.4986431724594</c:v>
                </c:pt>
                <c:pt idx="71">
                  <c:v>1847.7186574119032</c:v>
                </c:pt>
                <c:pt idx="72">
                  <c:v>1792.3674558281662</c:v>
                </c:pt>
                <c:pt idx="73">
                  <c:v>1746.5604650349121</c:v>
                </c:pt>
                <c:pt idx="74">
                  <c:v>1711.5190874218765</c:v>
                </c:pt>
                <c:pt idx="75">
                  <c:v>1688.5352758736756</c:v>
                </c:pt>
                <c:pt idx="76">
                  <c:v>1678.9235570278663</c:v>
                </c:pt>
                <c:pt idx="77">
                  <c:v>1683.984761069514</c:v>
                </c:pt>
                <c:pt idx="78">
                  <c:v>1705.0621479190147</c:v>
                </c:pt>
                <c:pt idx="79">
                  <c:v>1743.88574536897</c:v>
                </c:pt>
                <c:pt idx="80">
                  <c:v>1804.0871802748952</c:v>
                </c:pt>
                <c:pt idx="81">
                  <c:v>1902.2045086060623</c:v>
                </c:pt>
                <c:pt idx="82">
                  <c:v>2430.2796053353459</c:v>
                </c:pt>
                <c:pt idx="83">
                  <c:v>2046.609057069978</c:v>
                </c:pt>
                <c:pt idx="84">
                  <c:v>2184.9581320103734</c:v>
                </c:pt>
                <c:pt idx="85">
                  <c:v>2313.9789612896338</c:v>
                </c:pt>
                <c:pt idx="86">
                  <c:v>2467.5025779513089</c:v>
                </c:pt>
                <c:pt idx="87">
                  <c:v>2638.4729036378421</c:v>
                </c:pt>
                <c:pt idx="88">
                  <c:v>2824.7787482963849</c:v>
                </c:pt>
                <c:pt idx="89">
                  <c:v>3025.1059909130176</c:v>
                </c:pt>
                <c:pt idx="90">
                  <c:v>3238.3393912782512</c:v>
                </c:pt>
                <c:pt idx="91">
                  <c:v>3463.4387274045775</c:v>
                </c:pt>
                <c:pt idx="92">
                  <c:v>3699.4173362022439</c:v>
                </c:pt>
                <c:pt idx="93">
                  <c:v>3945.3432783060725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293-41DD-A637-A280AECB4BFA}"/>
            </c:ext>
          </c:extLst>
        </c:ser>
        <c:ser>
          <c:idx val="33"/>
          <c:order val="33"/>
          <c:tx>
            <c:strRef>
              <c:f>KPlot!$EP$36</c:f>
              <c:strCache>
                <c:ptCount val="1"/>
                <c:pt idx="0">
                  <c:v>0y 360d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KPlot!$AT$36:$EO$36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3890.0931623930119</c:v>
                </c:pt>
                <c:pt idx="55">
                  <c:v>3688.2383139393323</c:v>
                </c:pt>
                <c:pt idx="56">
                  <c:v>3503.1648884461083</c:v>
                </c:pt>
                <c:pt idx="57">
                  <c:v>3332.7553395195459</c:v>
                </c:pt>
                <c:pt idx="58">
                  <c:v>3175.1457957848634</c:v>
                </c:pt>
                <c:pt idx="59">
                  <c:v>3028.7099774004087</c:v>
                </c:pt>
                <c:pt idx="60">
                  <c:v>2892.0493086106326</c:v>
                </c:pt>
                <c:pt idx="61">
                  <c:v>2763.9866052492462</c:v>
                </c:pt>
                <c:pt idx="62">
                  <c:v>2643.5614422840517</c:v>
                </c:pt>
                <c:pt idx="63">
                  <c:v>2530.0259783579377</c:v>
                </c:pt>
                <c:pt idx="64">
                  <c:v>2422.8405474548099</c:v>
                </c:pt>
                <c:pt idx="65">
                  <c:v>2321.6686848378395</c:v>
                </c:pt>
                <c:pt idx="66">
                  <c:v>2226.3714389575889</c:v>
                </c:pt>
                <c:pt idx="67">
                  <c:v>2137.0008631084561</c:v>
                </c:pt>
                <c:pt idx="68">
                  <c:v>2053.7925210381277</c:v>
                </c:pt>
                <c:pt idx="69">
                  <c:v>1977.1567189617751</c:v>
                </c:pt>
                <c:pt idx="70">
                  <c:v>1907.668020123087</c:v>
                </c:pt>
                <c:pt idx="71">
                  <c:v>1846.0524053318588</c:v>
                </c:pt>
                <c:pt idx="72">
                  <c:v>1793.1711429723928</c:v>
                </c:pt>
                <c:pt idx="73">
                  <c:v>1749.9998273351464</c:v>
                </c:pt>
                <c:pt idx="74">
                  <c:v>1717.5998915300756</c:v>
                </c:pt>
                <c:pt idx="75">
                  <c:v>1697.0787844959827</c:v>
                </c:pt>
                <c:pt idx="76">
                  <c:v>1689.5378197144587</c:v>
                </c:pt>
                <c:pt idx="77">
                  <c:v>1696.0208743621299</c:v>
                </c:pt>
                <c:pt idx="78">
                  <c:v>1717.4987957755566</c:v>
                </c:pt>
                <c:pt idx="79">
                  <c:v>1754.9295758021151</c:v>
                </c:pt>
                <c:pt idx="80">
                  <c:v>1809.4660203370861</c:v>
                </c:pt>
                <c:pt idx="81">
                  <c:v>1883.2796555964399</c:v>
                </c:pt>
                <c:pt idx="82">
                  <c:v>1984.9679252778742</c:v>
                </c:pt>
                <c:pt idx="83">
                  <c:v>2239.0054319804094</c:v>
                </c:pt>
                <c:pt idx="84">
                  <c:v>2175.4056428295335</c:v>
                </c:pt>
                <c:pt idx="85">
                  <c:v>2310.1420273979088</c:v>
                </c:pt>
                <c:pt idx="86">
                  <c:v>2464.5501329175731</c:v>
                </c:pt>
                <c:pt idx="87">
                  <c:v>2626.8243625859336</c:v>
                </c:pt>
                <c:pt idx="88">
                  <c:v>2804.7156072524726</c:v>
                </c:pt>
                <c:pt idx="89">
                  <c:v>2996.1374304671026</c:v>
                </c:pt>
                <c:pt idx="90">
                  <c:v>3199.8656646155205</c:v>
                </c:pt>
                <c:pt idx="91">
                  <c:v>3414.8903557973881</c:v>
                </c:pt>
                <c:pt idx="92">
                  <c:v>3640.2914504025057</c:v>
                </c:pt>
                <c:pt idx="93">
                  <c:v>3875.2127503733818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293-41DD-A637-A280AECB4BFA}"/>
            </c:ext>
          </c:extLst>
        </c:ser>
        <c:ser>
          <c:idx val="34"/>
          <c:order val="34"/>
          <c:tx>
            <c:strRef>
              <c:f>KPlot!$EP$37</c:f>
              <c:strCache>
                <c:ptCount val="1"/>
                <c:pt idx="0">
                  <c:v>0y 368d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KPlot!$AT$37:$EO$37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3789.931322582047</c:v>
                </c:pt>
                <c:pt idx="56">
                  <c:v>3586.701713341432</c:v>
                </c:pt>
                <c:pt idx="57">
                  <c:v>3400.5648426395364</c:v>
                </c:pt>
                <c:pt idx="58">
                  <c:v>3229.4269481860829</c:v>
                </c:pt>
                <c:pt idx="59">
                  <c:v>3071.4608812132656</c:v>
                </c:pt>
                <c:pt idx="60">
                  <c:v>2925.0889451941157</c:v>
                </c:pt>
                <c:pt idx="61">
                  <c:v>2788.9715280655896</c:v>
                </c:pt>
                <c:pt idx="62">
                  <c:v>2661.9990284876094</c:v>
                </c:pt>
                <c:pt idx="63">
                  <c:v>2543.2852822018249</c:v>
                </c:pt>
                <c:pt idx="64">
                  <c:v>2432.161322249709</c:v>
                </c:pt>
                <c:pt idx="65">
                  <c:v>2328.1687860652901</c:v>
                </c:pt>
                <c:pt idx="66">
                  <c:v>2231.0525877346472</c:v>
                </c:pt>
                <c:pt idx="67">
                  <c:v>2140.7526163476987</c:v>
                </c:pt>
                <c:pt idx="68">
                  <c:v>2057.394234626373</c:v>
                </c:pt>
                <c:pt idx="69">
                  <c:v>1981.277276062046</c:v>
                </c:pt>
                <c:pt idx="70">
                  <c:v>1912.8631072418775</c:v>
                </c:pt>
                <c:pt idx="71">
                  <c:v>1852.7591460260526</c:v>
                </c:pt>
                <c:pt idx="72">
                  <c:v>1801.6999687745329</c:v>
                </c:pt>
                <c:pt idx="73">
                  <c:v>1760.5236919087054</c:v>
                </c:pt>
                <c:pt idx="74">
                  <c:v>1730.141589308161</c:v>
                </c:pt>
                <c:pt idx="75">
                  <c:v>1711.4984539808777</c:v>
                </c:pt>
                <c:pt idx="76">
                  <c:v>1705.523618379581</c:v>
                </c:pt>
                <c:pt idx="77">
                  <c:v>1713.0818019036365</c:v>
                </c:pt>
                <c:pt idx="78">
                  <c:v>1734.9442584612816</c:v>
                </c:pt>
                <c:pt idx="79">
                  <c:v>1771.7937347502591</c:v>
                </c:pt>
                <c:pt idx="80">
                  <c:v>1824.2573987626081</c:v>
                </c:pt>
                <c:pt idx="81">
                  <c:v>1892.9995845342487</c:v>
                </c:pt>
                <c:pt idx="82">
                  <c:v>1979.129507434234</c:v>
                </c:pt>
                <c:pt idx="83">
                  <c:v>2086.6309847171092</c:v>
                </c:pt>
                <c:pt idx="84">
                  <c:v>2255.0156842546353</c:v>
                </c:pt>
                <c:pt idx="85">
                  <c:v>2312.0906164741427</c:v>
                </c:pt>
                <c:pt idx="86">
                  <c:v>2456.0470611536593</c:v>
                </c:pt>
                <c:pt idx="87">
                  <c:v>2617.5858107001841</c:v>
                </c:pt>
                <c:pt idx="88">
                  <c:v>2786.0007490264416</c:v>
                </c:pt>
                <c:pt idx="89">
                  <c:v>2968.3904703466415</c:v>
                </c:pt>
                <c:pt idx="90">
                  <c:v>3162.7070134510145</c:v>
                </c:pt>
                <c:pt idx="91">
                  <c:v>3367.8329777896633</c:v>
                </c:pt>
                <c:pt idx="92">
                  <c:v>3582.8760667345473</c:v>
                </c:pt>
                <c:pt idx="93">
                  <c:v>3807.0404332255603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293-41DD-A637-A280AECB4BFA}"/>
            </c:ext>
          </c:extLst>
        </c:ser>
        <c:ser>
          <c:idx val="35"/>
          <c:order val="35"/>
          <c:tx>
            <c:strRef>
              <c:f>KPlot!$EP$38</c:f>
              <c:strCache>
                <c:ptCount val="1"/>
                <c:pt idx="0">
                  <c:v>0y 376d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KPlot!$AT$38:$EO$38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3916.5641406041782</c:v>
                </c:pt>
                <c:pt idx="56">
                  <c:v>3693.2496907830546</c:v>
                </c:pt>
                <c:pt idx="57">
                  <c:v>3489.6830399972237</c:v>
                </c:pt>
                <c:pt idx="58">
                  <c:v>3303.4990608983385</c:v>
                </c:pt>
                <c:pt idx="59">
                  <c:v>3132.6379726055793</c:v>
                </c:pt>
                <c:pt idx="60">
                  <c:v>2975.3184680092891</c:v>
                </c:pt>
                <c:pt idx="61">
                  <c:v>2830.0192224743187</c:v>
                </c:pt>
                <c:pt idx="62">
                  <c:v>2695.4657435481877</c:v>
                </c:pt>
                <c:pt idx="63">
                  <c:v>2570.6201982378052</c:v>
                </c:pt>
                <c:pt idx="64">
                  <c:v>2454.6725283127225</c:v>
                </c:pt>
                <c:pt idx="65">
                  <c:v>2347.0317393998394</c:v>
                </c:pt>
                <c:pt idx="66">
                  <c:v>2247.316671415083</c:v>
                </c:pt>
                <c:pt idx="67">
                  <c:v>2155.3458132792666</c:v>
                </c:pt>
                <c:pt idx="68">
                  <c:v>2071.1258329981183</c:v>
                </c:pt>
                <c:pt idx="69">
                  <c:v>1994.8384911681082</c:v>
                </c:pt>
                <c:pt idx="70">
                  <c:v>1926.8255297811525</c:v>
                </c:pt>
                <c:pt idx="71">
                  <c:v>1867.5710033859755</c:v>
                </c:pt>
                <c:pt idx="72">
                  <c:v>1817.6803398039169</c:v>
                </c:pt>
                <c:pt idx="73">
                  <c:v>1777.8551379505755</c:v>
                </c:pt>
                <c:pt idx="74">
                  <c:v>1748.8623311765393</c:v>
                </c:pt>
                <c:pt idx="75">
                  <c:v>1731.4963113383578</c:v>
                </c:pt>
                <c:pt idx="76">
                  <c:v>1726.5345969010546</c:v>
                </c:pt>
                <c:pt idx="77">
                  <c:v>1734.693851650725</c:v>
                </c:pt>
                <c:pt idx="78">
                  <c:v>1756.599841677732</c:v>
                </c:pt>
                <c:pt idx="79">
                  <c:v>1792.7785256072543</c:v>
                </c:pt>
                <c:pt idx="80">
                  <c:v>1843.6567152601835</c:v>
                </c:pt>
                <c:pt idx="81">
                  <c:v>1909.5637037514553</c:v>
                </c:pt>
                <c:pt idx="82">
                  <c:v>1990.766000944999</c:v>
                </c:pt>
                <c:pt idx="83">
                  <c:v>2087.6601593058986</c:v>
                </c:pt>
                <c:pt idx="84">
                  <c:v>2201.7777595249308</c:v>
                </c:pt>
                <c:pt idx="85">
                  <c:v>2345.3363594161519</c:v>
                </c:pt>
                <c:pt idx="86">
                  <c:v>4000</c:v>
                </c:pt>
                <c:pt idx="87">
                  <c:v>2603.5468023730891</c:v>
                </c:pt>
                <c:pt idx="88">
                  <c:v>2769.8426265396702</c:v>
                </c:pt>
                <c:pt idx="89">
                  <c:v>2942.1691050374238</c:v>
                </c:pt>
                <c:pt idx="90">
                  <c:v>3127.0218383674919</c:v>
                </c:pt>
                <c:pt idx="91">
                  <c:v>3322.3904824281685</c:v>
                </c:pt>
                <c:pt idx="92">
                  <c:v>3527.2812407700039</c:v>
                </c:pt>
                <c:pt idx="93">
                  <c:v>3740.9264125827549</c:v>
                </c:pt>
                <c:pt idx="94">
                  <c:v>3962.6552284118843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293-41DD-A637-A280AECB4BFA}"/>
            </c:ext>
          </c:extLst>
        </c:ser>
        <c:ser>
          <c:idx val="36"/>
          <c:order val="36"/>
          <c:tx>
            <c:strRef>
              <c:f>KPlot!$EP$39</c:f>
              <c:strCache>
                <c:ptCount val="1"/>
                <c:pt idx="0">
                  <c:v>0y 384d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KPlot!$AT$39:$EO$39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3823.6241059086778</c:v>
                </c:pt>
                <c:pt idx="57">
                  <c:v>3600.727329549396</c:v>
                </c:pt>
                <c:pt idx="58">
                  <c:v>3397.8232209287744</c:v>
                </c:pt>
                <c:pt idx="59">
                  <c:v>3212.5779445887247</c:v>
                </c:pt>
                <c:pt idx="60">
                  <c:v>3042.9743983623043</c:v>
                </c:pt>
                <c:pt idx="61">
                  <c:v>2887.2843461042039</c:v>
                </c:pt>
                <c:pt idx="62">
                  <c:v>2744.0482978018372</c:v>
                </c:pt>
                <c:pt idx="63">
                  <c:v>2612.0602479132144</c:v>
                </c:pt>
                <c:pt idx="64">
                  <c:v>2490.3550515269289</c:v>
                </c:pt>
                <c:pt idx="65">
                  <c:v>2378.1968518751564</c:v>
                </c:pt>
                <c:pt idx="66">
                  <c:v>2275.0674926672277</c:v>
                </c:pt>
                <c:pt idx="67">
                  <c:v>2180.6542164070602</c:v>
                </c:pt>
                <c:pt idx="68">
                  <c:v>2094.8361652183148</c:v>
                </c:pt>
                <c:pt idx="69">
                  <c:v>2017.6692900532621</c:v>
                </c:pt>
                <c:pt idx="70">
                  <c:v>1949.3692751625963</c:v>
                </c:pt>
                <c:pt idx="71">
                  <c:v>1890.2920310815991</c:v>
                </c:pt>
                <c:pt idx="72">
                  <c:v>1840.9112169261889</c:v>
                </c:pt>
                <c:pt idx="73">
                  <c:v>1801.7921174016205</c:v>
                </c:pt>
                <c:pt idx="74">
                  <c:v>1773.5610592707267</c:v>
                </c:pt>
                <c:pt idx="75">
                  <c:v>1756.8697350836101</c:v>
                </c:pt>
                <c:pt idx="76">
                  <c:v>1752.3553569685641</c:v>
                </c:pt>
                <c:pt idx="77">
                  <c:v>1760.6017298161316</c:v>
                </c:pt>
                <c:pt idx="78">
                  <c:v>1782.1106575546694</c:v>
                </c:pt>
                <c:pt idx="79">
                  <c:v>1817.2887577867148</c:v>
                </c:pt>
                <c:pt idx="80">
                  <c:v>1866.4410266816392</c:v>
                </c:pt>
                <c:pt idx="81">
                  <c:v>1929.7601115238554</c:v>
                </c:pt>
                <c:pt idx="82">
                  <c:v>2007.3177956262045</c:v>
                </c:pt>
                <c:pt idx="83">
                  <c:v>2099.0820917873925</c:v>
                </c:pt>
                <c:pt idx="84">
                  <c:v>2205.0079091202042</c:v>
                </c:pt>
                <c:pt idx="85">
                  <c:v>2325.4202718599263</c:v>
                </c:pt>
                <c:pt idx="86">
                  <c:v>2463.6873547384125</c:v>
                </c:pt>
                <c:pt idx="87">
                  <c:v>2722.32494542326</c:v>
                </c:pt>
                <c:pt idx="88">
                  <c:v>2749.7255607998668</c:v>
                </c:pt>
                <c:pt idx="89">
                  <c:v>2918.6910742146229</c:v>
                </c:pt>
                <c:pt idx="90">
                  <c:v>3093.0781053181217</c:v>
                </c:pt>
                <c:pt idx="91">
                  <c:v>3278.7110455313368</c:v>
                </c:pt>
                <c:pt idx="92">
                  <c:v>3473.6302286992209</c:v>
                </c:pt>
                <c:pt idx="93">
                  <c:v>3676.9828264642429</c:v>
                </c:pt>
                <c:pt idx="94">
                  <c:v>3888.1306095019927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93-41DD-A637-A280AECB4BFA}"/>
            </c:ext>
          </c:extLst>
        </c:ser>
        <c:ser>
          <c:idx val="37"/>
          <c:order val="37"/>
          <c:tx>
            <c:strRef>
              <c:f>KPlot!$EP$40</c:f>
              <c:strCache>
                <c:ptCount val="1"/>
                <c:pt idx="0">
                  <c:v>0y 393d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KPlot!$AT$40:$EO$40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3979.028583899244</c:v>
                </c:pt>
                <c:pt idx="57">
                  <c:v>3734.6401534490597</c:v>
                </c:pt>
                <c:pt idx="58">
                  <c:v>3513.1334836698315</c:v>
                </c:pt>
                <c:pt idx="59">
                  <c:v>3311.8481825063345</c:v>
                </c:pt>
                <c:pt idx="60">
                  <c:v>3128.490025998537</c:v>
                </c:pt>
                <c:pt idx="61">
                  <c:v>2961.0913517757963</c:v>
                </c:pt>
                <c:pt idx="62">
                  <c:v>2807.9818856144284</c:v>
                </c:pt>
                <c:pt idx="63">
                  <c:v>2667.7666603161488</c:v>
                </c:pt>
                <c:pt idx="64">
                  <c:v>2539.3083015799771</c:v>
                </c:pt>
                <c:pt idx="65">
                  <c:v>2421.7116066092185</c:v>
                </c:pt>
                <c:pt idx="66">
                  <c:v>2314.3089313203459</c:v>
                </c:pt>
                <c:pt idx="67">
                  <c:v>2216.6453700632856</c:v>
                </c:pt>
                <c:pt idx="68">
                  <c:v>2128.4630362183707</c:v>
                </c:pt>
                <c:pt idx="69">
                  <c:v>2049.6839445215001</c:v>
                </c:pt>
                <c:pt idx="70">
                  <c:v>1980.3910881940326</c:v>
                </c:pt>
                <c:pt idx="71">
                  <c:v>1920.8073327920245</c:v>
                </c:pt>
                <c:pt idx="72">
                  <c:v>1871.2717431030933</c:v>
                </c:pt>
                <c:pt idx="73">
                  <c:v>1832.2129381919692</c:v>
                </c:pt>
                <c:pt idx="74">
                  <c:v>1804.1190814758158</c:v>
                </c:pt>
                <c:pt idx="75">
                  <c:v>1787.5043840888902</c:v>
                </c:pt>
                <c:pt idx="76">
                  <c:v>1782.8731638242298</c:v>
                </c:pt>
                <c:pt idx="77">
                  <c:v>1790.6852510067094</c:v>
                </c:pt>
                <c:pt idx="78">
                  <c:v>1811.3293541282167</c:v>
                </c:pt>
                <c:pt idx="79">
                  <c:v>1845.1083897842668</c:v>
                </c:pt>
                <c:pt idx="80">
                  <c:v>1892.2313643752541</c:v>
                </c:pt>
                <c:pt idx="81">
                  <c:v>1952.8028079642816</c:v>
                </c:pt>
                <c:pt idx="82">
                  <c:v>2026.810827556681</c:v>
                </c:pt>
                <c:pt idx="83">
                  <c:v>2114.1239033750953</c:v>
                </c:pt>
                <c:pt idx="84">
                  <c:v>2214.5054837445978</c:v>
                </c:pt>
                <c:pt idx="85">
                  <c:v>2327.6587347828072</c:v>
                </c:pt>
                <c:pt idx="86">
                  <c:v>2453.3623279504791</c:v>
                </c:pt>
                <c:pt idx="87">
                  <c:v>2592.1573276456493</c:v>
                </c:pt>
                <c:pt idx="88">
                  <c:v>2755.4935585829917</c:v>
                </c:pt>
                <c:pt idx="89">
                  <c:v>2892.2294473969605</c:v>
                </c:pt>
                <c:pt idx="90">
                  <c:v>3059.8705933714809</c:v>
                </c:pt>
                <c:pt idx="91">
                  <c:v>3237.0089327321693</c:v>
                </c:pt>
                <c:pt idx="92">
                  <c:v>3422.0603470112419</c:v>
                </c:pt>
                <c:pt idx="93">
                  <c:v>3615.3336076312762</c:v>
                </c:pt>
                <c:pt idx="94">
                  <c:v>3816.1401879489067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93-41DD-A637-A280AECB4BFA}"/>
            </c:ext>
          </c:extLst>
        </c:ser>
        <c:ser>
          <c:idx val="38"/>
          <c:order val="38"/>
          <c:tx>
            <c:strRef>
              <c:f>KPlot!$EP$41</c:f>
              <c:strCache>
                <c:ptCount val="1"/>
                <c:pt idx="0">
                  <c:v>0y 401d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KPlot!$AT$41:$EO$41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3892.7649291076923</c:v>
                </c:pt>
                <c:pt idx="58">
                  <c:v>3650.5030104046964</c:v>
                </c:pt>
                <c:pt idx="59">
                  <c:v>3431.3040267369943</c:v>
                </c:pt>
                <c:pt idx="60">
                  <c:v>3232.5447344260938</c:v>
                </c:pt>
                <c:pt idx="61">
                  <c:v>3051.9768256182947</c:v>
                </c:pt>
                <c:pt idx="62">
                  <c:v>2887.6864734071437</c:v>
                </c:pt>
                <c:pt idx="63">
                  <c:v>2738.0635004957921</c:v>
                </c:pt>
                <c:pt idx="64">
                  <c:v>2601.7769934904177</c:v>
                </c:pt>
                <c:pt idx="65">
                  <c:v>2477.7548110950538</c:v>
                </c:pt>
                <c:pt idx="66">
                  <c:v>2365.1650618175499</c:v>
                </c:pt>
                <c:pt idx="67">
                  <c:v>2263.3981747975622</c:v>
                </c:pt>
                <c:pt idx="68">
                  <c:v>2172.0486133587524</c:v>
                </c:pt>
                <c:pt idx="69">
                  <c:v>2090.8955786986376</c:v>
                </c:pt>
                <c:pt idx="70">
                  <c:v>2019.8822414660115</c:v>
                </c:pt>
                <c:pt idx="71">
                  <c:v>1959.0931557417787</c:v>
                </c:pt>
                <c:pt idx="72">
                  <c:v>1908.7295872355294</c:v>
                </c:pt>
                <c:pt idx="73">
                  <c:v>1869.0825548329281</c:v>
                </c:pt>
                <c:pt idx="74">
                  <c:v>1840.5034893204747</c:v>
                </c:pt>
                <c:pt idx="75">
                  <c:v>1823.3727035966667</c:v>
                </c:pt>
                <c:pt idx="76">
                  <c:v>1818.0667135019387</c:v>
                </c:pt>
                <c:pt idx="77">
                  <c:v>1824.9272287258741</c:v>
                </c:pt>
                <c:pt idx="78">
                  <c:v>1844.2364707806737</c:v>
                </c:pt>
                <c:pt idx="79">
                  <c:v>1876.2020440582335</c:v>
                </c:pt>
                <c:pt idx="80">
                  <c:v>1920.9483816419381</c:v>
                </c:pt>
                <c:pt idx="81">
                  <c:v>1978.508105130293</c:v>
                </c:pt>
                <c:pt idx="82">
                  <c:v>2048.8110825955218</c:v>
                </c:pt>
                <c:pt idx="83">
                  <c:v>2131.6845234643847</c:v>
                </c:pt>
                <c:pt idx="84">
                  <c:v>2226.8506808612374</c:v>
                </c:pt>
                <c:pt idx="85">
                  <c:v>2333.9478854922231</c:v>
                </c:pt>
                <c:pt idx="86">
                  <c:v>2452.5491888738015</c:v>
                </c:pt>
                <c:pt idx="87">
                  <c:v>2582.2180483052994</c:v>
                </c:pt>
                <c:pt idx="88">
                  <c:v>2722.6547272329567</c:v>
                </c:pt>
                <c:pt idx="89">
                  <c:v>2874.9257914662453</c:v>
                </c:pt>
                <c:pt idx="90">
                  <c:v>3899.7769952697099</c:v>
                </c:pt>
                <c:pt idx="91">
                  <c:v>3196.8312698752943</c:v>
                </c:pt>
                <c:pt idx="92">
                  <c:v>3372.7282164864946</c:v>
                </c:pt>
                <c:pt idx="93">
                  <c:v>3556.1152506119606</c:v>
                </c:pt>
                <c:pt idx="94">
                  <c:v>3746.8149148798384</c:v>
                </c:pt>
                <c:pt idx="95">
                  <c:v>3944.3311318474839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93-41DD-A637-A280AECB4BFA}"/>
            </c:ext>
          </c:extLst>
        </c:ser>
        <c:ser>
          <c:idx val="39"/>
          <c:order val="39"/>
          <c:tx>
            <c:strRef>
              <c:f>KPlot!$EP$42</c:f>
              <c:strCache>
                <c:ptCount val="1"/>
                <c:pt idx="0">
                  <c:v>0y 409d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KPlot!$AT$42:$EO$42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3811.4185296087553</c:v>
                </c:pt>
                <c:pt idx="59">
                  <c:v>3572.1534523024866</c:v>
                </c:pt>
                <c:pt idx="60">
                  <c:v>3356.1200165720611</c:v>
                </c:pt>
                <c:pt idx="61">
                  <c:v>3160.7378792402669</c:v>
                </c:pt>
                <c:pt idx="62">
                  <c:v>2983.8085418208934</c:v>
                </c:pt>
                <c:pt idx="63">
                  <c:v>2823.4736637997858</c:v>
                </c:pt>
                <c:pt idx="64">
                  <c:v>2678.1822130353407</c:v>
                </c:pt>
                <c:pt idx="65">
                  <c:v>2546.6634569113148</c:v>
                </c:pt>
                <c:pt idx="66">
                  <c:v>2427.9034261674396</c:v>
                </c:pt>
                <c:pt idx="67">
                  <c:v>2321.1230852928852</c:v>
                </c:pt>
                <c:pt idx="68">
                  <c:v>2225.756955991606</c:v>
                </c:pt>
                <c:pt idx="69">
                  <c:v>2141.4313380784556</c:v>
                </c:pt>
                <c:pt idx="70">
                  <c:v>2067.9415612077942</c:v>
                </c:pt>
                <c:pt idx="71">
                  <c:v>2005.2279068003393</c:v>
                </c:pt>
                <c:pt idx="72">
                  <c:v>1953.3499951184283</c:v>
                </c:pt>
                <c:pt idx="73">
                  <c:v>1912.4595698920375</c:v>
                </c:pt>
                <c:pt idx="74">
                  <c:v>1882.7717735757587</c:v>
                </c:pt>
                <c:pt idx="75">
                  <c:v>1864.5352842832388</c:v>
                </c:pt>
                <c:pt idx="76">
                  <c:v>1858.0022872779239</c:v>
                </c:pt>
                <c:pt idx="77">
                  <c:v>1863.4003832177932</c:v>
                </c:pt>
                <c:pt idx="78">
                  <c:v>1880.9097065694132</c:v>
                </c:pt>
                <c:pt idx="79">
                  <c:v>1910.6478053509272</c:v>
                </c:pt>
                <c:pt idx="80">
                  <c:v>1952.6609040622063</c:v>
                </c:pt>
                <c:pt idx="81">
                  <c:v>2006.9155597669474</c:v>
                </c:pt>
                <c:pt idx="82">
                  <c:v>2073.2968756323116</c:v>
                </c:pt>
                <c:pt idx="83">
                  <c:v>2151.5969555997954</c:v>
                </c:pt>
                <c:pt idx="84">
                  <c:v>2241.5230938784262</c:v>
                </c:pt>
                <c:pt idx="85">
                  <c:v>2342.7067349811223</c:v>
                </c:pt>
                <c:pt idx="86">
                  <c:v>2454.7183855793292</c:v>
                </c:pt>
                <c:pt idx="87">
                  <c:v>2577.0866725862388</c:v>
                </c:pt>
                <c:pt idx="88">
                  <c:v>2709.3122900092749</c:v>
                </c:pt>
                <c:pt idx="89">
                  <c:v>2850.9062283925477</c:v>
                </c:pt>
                <c:pt idx="90">
                  <c:v>3001.4782548508615</c:v>
                </c:pt>
                <c:pt idx="91">
                  <c:v>3162.6849764643421</c:v>
                </c:pt>
                <c:pt idx="92">
                  <c:v>3325.665820792472</c:v>
                </c:pt>
                <c:pt idx="93">
                  <c:v>3499.4862818162283</c:v>
                </c:pt>
                <c:pt idx="94">
                  <c:v>3680.3259339311553</c:v>
                </c:pt>
                <c:pt idx="95">
                  <c:v>3867.7490153452936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93-41DD-A637-A280AECB4BFA}"/>
            </c:ext>
          </c:extLst>
        </c:ser>
        <c:ser>
          <c:idx val="40"/>
          <c:order val="40"/>
          <c:tx>
            <c:strRef>
              <c:f>KPlot!$EP$43</c:f>
              <c:strCache>
                <c:ptCount val="1"/>
                <c:pt idx="0">
                  <c:v>0y 418d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KPlot!$AT$43:$EO$43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3997.8660791585007</c:v>
                </c:pt>
                <c:pt idx="59">
                  <c:v>3736.0312613764181</c:v>
                </c:pt>
                <c:pt idx="60">
                  <c:v>3500.5636143331139</c:v>
                </c:pt>
                <c:pt idx="61">
                  <c:v>3288.4875487954046</c:v>
                </c:pt>
                <c:pt idx="62">
                  <c:v>3097.2689021065753</c:v>
                </c:pt>
                <c:pt idx="63">
                  <c:v>2924.7601349006436</c:v>
                </c:pt>
                <c:pt idx="64">
                  <c:v>2769.1570229100707</c:v>
                </c:pt>
                <c:pt idx="65">
                  <c:v>2628.9634614658225</c:v>
                </c:pt>
                <c:pt idx="66">
                  <c:v>2502.9615861592783</c:v>
                </c:pt>
                <c:pt idx="67">
                  <c:v>2390.1850379310736</c:v>
                </c:pt>
                <c:pt idx="68">
                  <c:v>2289.8937795254274</c:v>
                </c:pt>
                <c:pt idx="69">
                  <c:v>2201.5493568461638</c:v>
                </c:pt>
                <c:pt idx="70">
                  <c:v>2124.7898818981212</c:v>
                </c:pt>
                <c:pt idx="71">
                  <c:v>2059.4043072359195</c:v>
                </c:pt>
                <c:pt idx="72">
                  <c:v>2005.3057915215882</c:v>
                </c:pt>
                <c:pt idx="73">
                  <c:v>1962.5041517156765</c:v>
                </c:pt>
                <c:pt idx="74">
                  <c:v>1931.0775938450288</c:v>
                </c:pt>
                <c:pt idx="75">
                  <c:v>1911.1441700335417</c:v>
                </c:pt>
                <c:pt idx="76">
                  <c:v>1902.8338362424429</c:v>
                </c:pt>
                <c:pt idx="77">
                  <c:v>1906.2626866661556</c:v>
                </c:pt>
                <c:pt idx="78">
                  <c:v>1921.5116586668523</c:v>
                </c:pt>
                <c:pt idx="79">
                  <c:v>1948.6116583102519</c:v>
                </c:pt>
                <c:pt idx="80">
                  <c:v>1987.5332287736248</c:v>
                </c:pt>
                <c:pt idx="81">
                  <c:v>2038.186200708253</c:v>
                </c:pt>
                <c:pt idx="82">
                  <c:v>2100.406474651908</c:v>
                </c:pt>
                <c:pt idx="83">
                  <c:v>2173.9587203842975</c:v>
                </c:pt>
                <c:pt idx="84">
                  <c:v>2258.5377144155127</c:v>
                </c:pt>
                <c:pt idx="85">
                  <c:v>2353.7766268620835</c:v>
                </c:pt>
                <c:pt idx="86">
                  <c:v>2459.2592719108029</c:v>
                </c:pt>
                <c:pt idx="87">
                  <c:v>2574.5341896491705</c:v>
                </c:pt>
                <c:pt idx="88">
                  <c:v>2699.1305678769822</c:v>
                </c:pt>
                <c:pt idx="89">
                  <c:v>2832.5650406954965</c:v>
                </c:pt>
                <c:pt idx="90">
                  <c:v>2974.3635266927549</c:v>
                </c:pt>
                <c:pt idx="91">
                  <c:v>3124.0635722691804</c:v>
                </c:pt>
                <c:pt idx="92">
                  <c:v>3281.2642288167458</c:v>
                </c:pt>
                <c:pt idx="93">
                  <c:v>3445.6027099367784</c:v>
                </c:pt>
                <c:pt idx="94">
                  <c:v>3616.6864919290374</c:v>
                </c:pt>
                <c:pt idx="95">
                  <c:v>3794.5323626004547</c:v>
                </c:pt>
                <c:pt idx="96">
                  <c:v>3978.1325000858451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93-41DD-A637-A280AECB4BFA}"/>
            </c:ext>
          </c:extLst>
        </c:ser>
        <c:ser>
          <c:idx val="41"/>
          <c:order val="41"/>
          <c:tx>
            <c:strRef>
              <c:f>KPlot!$EP$44</c:f>
              <c:strCache>
                <c:ptCount val="1"/>
                <c:pt idx="0">
                  <c:v>0y 426d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KPlot!$AT$44:$EO$44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3925.0865254888931</c:v>
                </c:pt>
                <c:pt idx="60">
                  <c:v>3667.664663592197</c:v>
                </c:pt>
                <c:pt idx="61">
                  <c:v>3436.7193967699068</c:v>
                </c:pt>
                <c:pt idx="62">
                  <c:v>3229.3182561160666</c:v>
                </c:pt>
                <c:pt idx="63">
                  <c:v>3042.9737896879678</c:v>
                </c:pt>
                <c:pt idx="64">
                  <c:v>2875.5876044168581</c:v>
                </c:pt>
                <c:pt idx="65">
                  <c:v>2725.4050859646381</c:v>
                </c:pt>
                <c:pt idx="66">
                  <c:v>2590.9776109073509</c:v>
                </c:pt>
                <c:pt idx="67">
                  <c:v>2471.1296730040231</c:v>
                </c:pt>
                <c:pt idx="68">
                  <c:v>2364.9289634125539</c:v>
                </c:pt>
                <c:pt idx="69">
                  <c:v>2271.65800362751</c:v>
                </c:pt>
                <c:pt idx="70">
                  <c:v>2190.7863983146026</c:v>
                </c:pt>
                <c:pt idx="71">
                  <c:v>2121.9431513179447</c:v>
                </c:pt>
                <c:pt idx="72">
                  <c:v>2064.8887882290437</c:v>
                </c:pt>
                <c:pt idx="73">
                  <c:v>2019.4872769676515</c:v>
                </c:pt>
                <c:pt idx="74">
                  <c:v>1985.677961073721</c:v>
                </c:pt>
                <c:pt idx="75">
                  <c:v>1963.4479561128569</c:v>
                </c:pt>
                <c:pt idx="76">
                  <c:v>1952.8057667277212</c:v>
                </c:pt>
                <c:pt idx="77">
                  <c:v>1953.7573102025472</c:v>
                </c:pt>
                <c:pt idx="78">
                  <c:v>1966.2859483573</c:v>
                </c:pt>
                <c:pt idx="79">
                  <c:v>1990.3364658457947</c:v>
                </c:pt>
                <c:pt idx="80">
                  <c:v>2025.8118152047421</c:v>
                </c:pt>
                <c:pt idx="81">
                  <c:v>2072.5592102659793</c:v>
                </c:pt>
                <c:pt idx="82">
                  <c:v>2130.3718554730285</c:v>
                </c:pt>
                <c:pt idx="83">
                  <c:v>2198.9860228967236</c:v>
                </c:pt>
                <c:pt idx="84">
                  <c:v>2278.0833587518382</c:v>
                </c:pt>
                <c:pt idx="85">
                  <c:v>2367.297772065644</c:v>
                </c:pt>
                <c:pt idx="86">
                  <c:v>2466.2258323895358</c:v>
                </c:pt>
                <c:pt idx="87">
                  <c:v>2574.438984837725</c:v>
                </c:pt>
                <c:pt idx="88">
                  <c:v>2691.4962381347777</c:v>
                </c:pt>
                <c:pt idx="89">
                  <c:v>2816.9583217115796</c:v>
                </c:pt>
                <c:pt idx="90">
                  <c:v>2950.3929953737302</c:v>
                </c:pt>
                <c:pt idx="91">
                  <c:v>3091.4011076247225</c:v>
                </c:pt>
                <c:pt idx="92">
                  <c:v>3239.6485232464265</c:v>
                </c:pt>
                <c:pt idx="93">
                  <c:v>3395.2001800098151</c:v>
                </c:pt>
                <c:pt idx="94">
                  <c:v>3604.4858501254921</c:v>
                </c:pt>
                <c:pt idx="95">
                  <c:v>3724.0282229189143</c:v>
                </c:pt>
                <c:pt idx="96">
                  <c:v>3898.9924781298905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93-41DD-A637-A280AECB4BFA}"/>
            </c:ext>
          </c:extLst>
        </c:ser>
        <c:ser>
          <c:idx val="42"/>
          <c:order val="42"/>
          <c:tx>
            <c:strRef>
              <c:f>KPlot!$EP$45</c:f>
              <c:strCache>
                <c:ptCount val="1"/>
                <c:pt idx="0">
                  <c:v>1y 8d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KPlot!$AT$45:$EO$45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3859.744229551713</c:v>
                </c:pt>
                <c:pt idx="61">
                  <c:v>3607.384841156967</c:v>
                </c:pt>
                <c:pt idx="62">
                  <c:v>3381.6033186036493</c:v>
                </c:pt>
                <c:pt idx="63">
                  <c:v>3179.5099987210729</c:v>
                </c:pt>
                <c:pt idx="64">
                  <c:v>2998.6617597987861</c:v>
                </c:pt>
                <c:pt idx="65">
                  <c:v>2837.0045249468867</c:v>
                </c:pt>
                <c:pt idx="66">
                  <c:v>2692.8257476602721</c:v>
                </c:pt>
                <c:pt idx="67">
                  <c:v>2564.7139160150491</c:v>
                </c:pt>
                <c:pt idx="68">
                  <c:v>2451.522732631388</c:v>
                </c:pt>
                <c:pt idx="69">
                  <c:v>2352.3382362152861</c:v>
                </c:pt>
                <c:pt idx="70">
                  <c:v>2266.4476712101514</c:v>
                </c:pt>
                <c:pt idx="71">
                  <c:v>2193.3093644272735</c:v>
                </c:pt>
                <c:pt idx="72">
                  <c:v>2132.5232346848034</c:v>
                </c:pt>
                <c:pt idx="73">
                  <c:v>2083.8018590589586</c:v>
                </c:pt>
                <c:pt idx="74">
                  <c:v>2046.9422677682433</c:v>
                </c:pt>
                <c:pt idx="75">
                  <c:v>2021.7988634958811</c:v>
                </c:pt>
                <c:pt idx="76">
                  <c:v>2008.2580917034863</c:v>
                </c:pt>
                <c:pt idx="77">
                  <c:v>2006.2157491991459</c:v>
                </c:pt>
                <c:pt idx="78">
                  <c:v>2015.5565104799771</c:v>
                </c:pt>
                <c:pt idx="79">
                  <c:v>2036.1456777045125</c:v>
                </c:pt>
                <c:pt idx="80">
                  <c:v>2067.8113220412829</c:v>
                </c:pt>
                <c:pt idx="81">
                  <c:v>2110.3444547194836</c:v>
                </c:pt>
                <c:pt idx="82">
                  <c:v>2163.4946558526835</c:v>
                </c:pt>
                <c:pt idx="83">
                  <c:v>2226.9691073606386</c:v>
                </c:pt>
                <c:pt idx="84">
                  <c:v>2300.4346423529796</c:v>
                </c:pt>
                <c:pt idx="85">
                  <c:v>2383.5234412197542</c:v>
                </c:pt>
                <c:pt idx="86">
                  <c:v>2475.8417672531864</c:v>
                </c:pt>
                <c:pt idx="87">
                  <c:v>2576.9804418281001</c:v>
                </c:pt>
                <c:pt idx="88">
                  <c:v>2686.5258913524335</c:v>
                </c:pt>
                <c:pt idx="89">
                  <c:v>2804.0710930666373</c:v>
                </c:pt>
                <c:pt idx="90">
                  <c:v>2929.2281613269924</c:v>
                </c:pt>
                <c:pt idx="91">
                  <c:v>3061.6329145212812</c:v>
                </c:pt>
                <c:pt idx="92">
                  <c:v>3200.975248446442</c:v>
                </c:pt>
                <c:pt idx="93">
                  <c:v>3347.0502085469989</c:v>
                </c:pt>
                <c:pt idx="94">
                  <c:v>3500.1446513893125</c:v>
                </c:pt>
                <c:pt idx="95">
                  <c:v>3670.3498578321828</c:v>
                </c:pt>
                <c:pt idx="96">
                  <c:v>3821.5770955859143</c:v>
                </c:pt>
                <c:pt idx="97">
                  <c:v>3991.6525869275802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93-41DD-A637-A280AECB4BFA}"/>
            </c:ext>
          </c:extLst>
        </c:ser>
        <c:ser>
          <c:idx val="43"/>
          <c:order val="43"/>
          <c:tx>
            <c:strRef>
              <c:f>KPlot!$EP$46</c:f>
              <c:strCache>
                <c:ptCount val="1"/>
                <c:pt idx="0">
                  <c:v>1y 16d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KPlot!$AT$46:$EO$46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3802.9881661125755</c:v>
                </c:pt>
                <c:pt idx="62">
                  <c:v>3556.2475701172889</c:v>
                </c:pt>
                <c:pt idx="63">
                  <c:v>3336.1773644098075</c:v>
                </c:pt>
                <c:pt idx="64">
                  <c:v>3139.9275116104991</c:v>
                </c:pt>
                <c:pt idx="65">
                  <c:v>2965.0939299531983</c:v>
                </c:pt>
                <c:pt idx="66">
                  <c:v>2809.6591656912842</c:v>
                </c:pt>
                <c:pt idx="67">
                  <c:v>2671.9425161720269</c:v>
                </c:pt>
                <c:pt idx="68">
                  <c:v>2550.5568822596083</c:v>
                </c:pt>
                <c:pt idx="69">
                  <c:v>2444.3702541867765</c:v>
                </c:pt>
                <c:pt idx="70">
                  <c:v>2352.4703294008368</c:v>
                </c:pt>
                <c:pt idx="71">
                  <c:v>2274.1312801479098</c:v>
                </c:pt>
                <c:pt idx="72">
                  <c:v>2208.782119024334</c:v>
                </c:pt>
                <c:pt idx="73">
                  <c:v>2155.9764573950697</c:v>
                </c:pt>
                <c:pt idx="74">
                  <c:v>2115.363727803976</c:v>
                </c:pt>
                <c:pt idx="75">
                  <c:v>2086.6621640934918</c:v>
                </c:pt>
                <c:pt idx="76">
                  <c:v>2069.6340204752346</c:v>
                </c:pt>
                <c:pt idx="77">
                  <c:v>2064.0621259756317</c:v>
                </c:pt>
                <c:pt idx="78">
                  <c:v>2069.737621645776</c:v>
                </c:pt>
                <c:pt idx="79">
                  <c:v>2086.4373213730069</c:v>
                </c:pt>
                <c:pt idx="80">
                  <c:v>2113.9198602345446</c:v>
                </c:pt>
                <c:pt idx="81">
                  <c:v>2151.918747280743</c:v>
                </c:pt>
                <c:pt idx="82">
                  <c:v>2200.1395188145307</c:v>
                </c:pt>
                <c:pt idx="83">
                  <c:v>2258.2590355211787</c:v>
                </c:pt>
                <c:pt idx="84">
                  <c:v>2325.9272434169106</c:v>
                </c:pt>
                <c:pt idx="85">
                  <c:v>2402.7718273901346</c:v>
                </c:pt>
                <c:pt idx="86">
                  <c:v>2488.4054358906606</c:v>
                </c:pt>
                <c:pt idx="87">
                  <c:v>2582.4345104935583</c:v>
                </c:pt>
                <c:pt idx="88">
                  <c:v>2684.4687088253654</c:v>
                </c:pt>
                <c:pt idx="89">
                  <c:v>2794.1302429387738</c:v>
                </c:pt>
                <c:pt idx="90">
                  <c:v>2911.0628943192041</c:v>
                </c:pt>
                <c:pt idx="91">
                  <c:v>3034.9428941591077</c:v>
                </c:pt>
                <c:pt idx="92">
                  <c:v>3165.4822973538157</c:v>
                </c:pt>
                <c:pt idx="93">
                  <c:v>3302.4606153719701</c:v>
                </c:pt>
                <c:pt idx="94">
                  <c:v>3445.7792327897964</c:v>
                </c:pt>
                <c:pt idx="95">
                  <c:v>3595.8016802548964</c:v>
                </c:pt>
                <c:pt idx="96">
                  <c:v>3757.6584831180744</c:v>
                </c:pt>
                <c:pt idx="97">
                  <c:v>3909.6351852202042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93-41DD-A637-A280AECB4BFA}"/>
            </c:ext>
          </c:extLst>
        </c:ser>
        <c:ser>
          <c:idx val="44"/>
          <c:order val="44"/>
          <c:tx>
            <c:strRef>
              <c:f>KPlot!$EP$47</c:f>
              <c:strCache>
                <c:ptCount val="1"/>
                <c:pt idx="0">
                  <c:v>1y 25d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KPlot!$AT$47:$EO$47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3755.9521298447862</c:v>
                </c:pt>
                <c:pt idx="63">
                  <c:v>3515.2831447781355</c:v>
                </c:pt>
                <c:pt idx="64">
                  <c:v>3301.3655689095604</c:v>
                </c:pt>
                <c:pt idx="65">
                  <c:v>3111.3829953186937</c:v>
                </c:pt>
                <c:pt idx="66">
                  <c:v>2942.9623813974026</c:v>
                </c:pt>
                <c:pt idx="67">
                  <c:v>2794.1127312711906</c:v>
                </c:pt>
                <c:pt idx="68">
                  <c:v>2663.1728964219983</c:v>
                </c:pt>
                <c:pt idx="69">
                  <c:v>2548.7660260691823</c:v>
                </c:pt>
                <c:pt idx="70">
                  <c:v>2449.758818317534</c:v>
                </c:pt>
                <c:pt idx="71">
                  <c:v>2365.2242948293115</c:v>
                </c:pt>
                <c:pt idx="72">
                  <c:v>2294.4073102359612</c:v>
                </c:pt>
                <c:pt idx="73">
                  <c:v>2236.6924036060209</c:v>
                </c:pt>
                <c:pt idx="74">
                  <c:v>2191.5739081467837</c:v>
                </c:pt>
                <c:pt idx="75">
                  <c:v>2158.6284682353098</c:v>
                </c:pt>
                <c:pt idx="76">
                  <c:v>2137.4902827343367</c:v>
                </c:pt>
                <c:pt idx="77">
                  <c:v>2127.8277485624435</c:v>
                </c:pt>
                <c:pt idx="78">
                  <c:v>2129.3323357875561</c:v>
                </c:pt>
                <c:pt idx="79">
                  <c:v>2141.6947710663276</c:v>
                </c:pt>
                <c:pt idx="80">
                  <c:v>2164.6016972855587</c:v>
                </c:pt>
                <c:pt idx="81">
                  <c:v>2197.7281284093738</c:v>
                </c:pt>
                <c:pt idx="82">
                  <c:v>2240.7343887723064</c:v>
                </c:pt>
                <c:pt idx="83">
                  <c:v>2293.2653149882726</c:v>
                </c:pt>
                <c:pt idx="84">
                  <c:v>2354.9516242028958</c:v>
                </c:pt>
                <c:pt idx="85">
                  <c:v>2425.4136217161472</c:v>
                </c:pt>
                <c:pt idx="86">
                  <c:v>2504.2670547331763</c:v>
                </c:pt>
                <c:pt idx="87">
                  <c:v>2591.1304092362916</c:v>
                </c:pt>
                <c:pt idx="88">
                  <c:v>2685.6327964150578</c:v>
                </c:pt>
                <c:pt idx="89">
                  <c:v>2787.4217713224425</c:v>
                </c:pt>
                <c:pt idx="90">
                  <c:v>2896.1707426256958</c:v>
                </c:pt>
                <c:pt idx="91">
                  <c:v>3011.5859848023129</c:v>
                </c:pt>
                <c:pt idx="92">
                  <c:v>3133.4156679941152</c:v>
                </c:pt>
                <c:pt idx="93">
                  <c:v>3261.45155592223</c:v>
                </c:pt>
                <c:pt idx="94">
                  <c:v>3395.5595590885559</c:v>
                </c:pt>
                <c:pt idx="95">
                  <c:v>3535.7292766958349</c:v>
                </c:pt>
                <c:pt idx="96">
                  <c:v>3682.3499488394641</c:v>
                </c:pt>
                <c:pt idx="97">
                  <c:v>3838.6512922399202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93-41DD-A637-A280AECB4BFA}"/>
            </c:ext>
          </c:extLst>
        </c:ser>
        <c:ser>
          <c:idx val="45"/>
          <c:order val="45"/>
          <c:tx>
            <c:strRef>
              <c:f>KPlot!$EP$48</c:f>
              <c:strCache>
                <c:ptCount val="1"/>
                <c:pt idx="0">
                  <c:v>1y 33d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KPlot!$AT$48:$EO$48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3984.1239538101863</c:v>
                </c:pt>
                <c:pt idx="63">
                  <c:v>3719.7413913165601</c:v>
                </c:pt>
                <c:pt idx="64">
                  <c:v>3485.4806744097541</c:v>
                </c:pt>
                <c:pt idx="65">
                  <c:v>3278.0362707858421</c:v>
                </c:pt>
                <c:pt idx="66">
                  <c:v>3094.6168278822347</c:v>
                </c:pt>
                <c:pt idx="67">
                  <c:v>2932.8700473612444</c:v>
                </c:pt>
                <c:pt idx="68">
                  <c:v>2790.81937951074</c:v>
                </c:pt>
                <c:pt idx="69">
                  <c:v>2666.8097224001617</c:v>
                </c:pt>
                <c:pt idx="70">
                  <c:v>2559.4599059408747</c:v>
                </c:pt>
                <c:pt idx="71">
                  <c:v>2467.6203412336386</c:v>
                </c:pt>
                <c:pt idx="72">
                  <c:v>2390.334752429033</c:v>
                </c:pt>
                <c:pt idx="73">
                  <c:v>2326.8053531001651</c:v>
                </c:pt>
                <c:pt idx="74">
                  <c:v>2276.3611759396872</c:v>
                </c:pt>
                <c:pt idx="75">
                  <c:v>2238.4295190933035</c:v>
                </c:pt>
                <c:pt idx="76">
                  <c:v>2212.5088913685568</c:v>
                </c:pt>
                <c:pt idx="77">
                  <c:v>2198.1539882038865</c:v>
                </c:pt>
                <c:pt idx="78">
                  <c:v>2194.9477720860132</c:v>
                </c:pt>
                <c:pt idx="79">
                  <c:v>2202.4937103163929</c:v>
                </c:pt>
                <c:pt idx="80">
                  <c:v>2220.4040567345774</c:v>
                </c:pt>
                <c:pt idx="81">
                  <c:v>2248.2932903432966</c:v>
                </c:pt>
                <c:pt idx="82">
                  <c:v>2285.7745473824289</c:v>
                </c:pt>
                <c:pt idx="83">
                  <c:v>2332.4584086432355</c:v>
                </c:pt>
                <c:pt idx="84">
                  <c:v>2387.9537166179434</c:v>
                </c:pt>
                <c:pt idx="85">
                  <c:v>2451.8703662468897</c:v>
                </c:pt>
                <c:pt idx="86">
                  <c:v>2523.8238946191268</c:v>
                </c:pt>
                <c:pt idx="87">
                  <c:v>2603.4413500380711</c:v>
                </c:pt>
                <c:pt idx="88">
                  <c:v>2690.3677358068107</c:v>
                </c:pt>
                <c:pt idx="89">
                  <c:v>2784.27241593911</c:v>
                </c:pt>
                <c:pt idx="90">
                  <c:v>2884.8551008829054</c:v>
                </c:pt>
                <c:pt idx="91">
                  <c:v>2991.8512787721729</c:v>
                </c:pt>
                <c:pt idx="92">
                  <c:v>3105.0372384650191</c:v>
                </c:pt>
                <c:pt idx="93">
                  <c:v>3224.2371872107196</c:v>
                </c:pt>
                <c:pt idx="94">
                  <c:v>3349.3230179239854</c:v>
                </c:pt>
                <c:pt idx="95">
                  <c:v>3480.2425282327176</c:v>
                </c:pt>
                <c:pt idx="96">
                  <c:v>3617.0611787841553</c:v>
                </c:pt>
                <c:pt idx="97">
                  <c:v>3760.1807617490022</c:v>
                </c:pt>
                <c:pt idx="98">
                  <c:v>3911.8784809288654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93-41DD-A637-A280AECB4BFA}"/>
            </c:ext>
          </c:extLst>
        </c:ser>
        <c:ser>
          <c:idx val="46"/>
          <c:order val="46"/>
          <c:tx>
            <c:strRef>
              <c:f>KPlot!$EP$49</c:f>
              <c:strCache>
                <c:ptCount val="1"/>
                <c:pt idx="0">
                  <c:v>1y 41d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KPlot!$AT$49:$EO$49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3953.2117009887479</c:v>
                </c:pt>
                <c:pt idx="64">
                  <c:v>3695.4184299226335</c:v>
                </c:pt>
                <c:pt idx="65">
                  <c:v>3467.7716824896061</c:v>
                </c:pt>
                <c:pt idx="66">
                  <c:v>3266.9841151773489</c:v>
                </c:pt>
                <c:pt idx="67">
                  <c:v>3090.278704183253</c:v>
                </c:pt>
                <c:pt idx="68">
                  <c:v>2935.3119314384139</c:v>
                </c:pt>
                <c:pt idx="69">
                  <c:v>2800.1086592337178</c:v>
                </c:pt>
                <c:pt idx="70">
                  <c:v>2683.0061140567523</c:v>
                </c:pt>
                <c:pt idx="71">
                  <c:v>2582.6049849645769</c:v>
                </c:pt>
                <c:pt idx="72">
                  <c:v>2497.7262079775787</c:v>
                </c:pt>
                <c:pt idx="73">
                  <c:v>2427.3724966625869</c:v>
                </c:pt>
                <c:pt idx="74">
                  <c:v>2370.6940677547291</c:v>
                </c:pt>
                <c:pt idx="75">
                  <c:v>2326.9582968939485</c:v>
                </c:pt>
                <c:pt idx="76">
                  <c:v>2295.5212706227921</c:v>
                </c:pt>
                <c:pt idx="77">
                  <c:v>2275.8127909456325</c:v>
                </c:pt>
                <c:pt idx="78">
                  <c:v>2267.3066717537104</c:v>
                </c:pt>
                <c:pt idx="79">
                  <c:v>2269.5132001372322</c:v>
                </c:pt>
                <c:pt idx="80">
                  <c:v>2281.9665679881527</c:v>
                </c:pt>
                <c:pt idx="81">
                  <c:v>2304.2175615718361</c:v>
                </c:pt>
                <c:pt idx="82">
                  <c:v>2335.8292500686216</c:v>
                </c:pt>
                <c:pt idx="83">
                  <c:v>2376.3750861688741</c:v>
                </c:pt>
                <c:pt idx="84">
                  <c:v>2425.4389860597676</c:v>
                </c:pt>
                <c:pt idx="85">
                  <c:v>2482.6171659524362</c:v>
                </c:pt>
                <c:pt idx="86">
                  <c:v>2547.5215241491815</c:v>
                </c:pt>
                <c:pt idx="87">
                  <c:v>2619.7841598543155</c:v>
                </c:pt>
                <c:pt idx="88">
                  <c:v>2699.0624500714293</c:v>
                </c:pt>
                <c:pt idx="89">
                  <c:v>2785.0441275987287</c:v>
                </c:pt>
                <c:pt idx="90">
                  <c:v>2877.4519680251933</c:v>
                </c:pt>
                <c:pt idx="91">
                  <c:v>2976.0478885615057</c:v>
                </c:pt>
                <c:pt idx="92">
                  <c:v>3080.6364456070332</c:v>
                </c:pt>
                <c:pt idx="93">
                  <c:v>3191.0679458832687</c:v>
                </c:pt>
                <c:pt idx="94">
                  <c:v>3307.2436798342437</c:v>
                </c:pt>
                <c:pt idx="95">
                  <c:v>3429.1137226693904</c:v>
                </c:pt>
                <c:pt idx="96">
                  <c:v>3556.7023249450467</c:v>
                </c:pt>
                <c:pt idx="97">
                  <c:v>3690.1415877902737</c:v>
                </c:pt>
                <c:pt idx="98">
                  <c:v>3829.8446519796798</c:v>
                </c:pt>
                <c:pt idx="99">
                  <c:v>3977.5495078139083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93-41DD-A637-A280AECB4BFA}"/>
            </c:ext>
          </c:extLst>
        </c:ser>
        <c:ser>
          <c:idx val="47"/>
          <c:order val="47"/>
          <c:tx>
            <c:strRef>
              <c:f>KPlot!$EP$50</c:f>
              <c:strCache>
                <c:ptCount val="1"/>
                <c:pt idx="0">
                  <c:v>1y 49d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KPlot!$AT$50:$EO$50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3935.116276866107</c:v>
                </c:pt>
                <c:pt idx="65">
                  <c:v>3683.987481491481</c:v>
                </c:pt>
                <c:pt idx="66">
                  <c:v>3463.0129577418302</c:v>
                </c:pt>
                <c:pt idx="67">
                  <c:v>3268.9119629989468</c:v>
                </c:pt>
                <c:pt idx="68">
                  <c:v>3098.9095412713305</c:v>
                </c:pt>
                <c:pt idx="69">
                  <c:v>2950.6581142615864</c:v>
                </c:pt>
                <c:pt idx="70">
                  <c:v>2822.1708486926937</c:v>
                </c:pt>
                <c:pt idx="71">
                  <c:v>2711.7644301195296</c:v>
                </c:pt>
                <c:pt idx="72">
                  <c:v>2618.0094301788354</c:v>
                </c:pt>
                <c:pt idx="73">
                  <c:v>2539.686972660289</c:v>
                </c:pt>
                <c:pt idx="74">
                  <c:v>2475.7508339781825</c:v>
                </c:pt>
                <c:pt idx="75">
                  <c:v>2425.2925101917108</c:v>
                </c:pt>
                <c:pt idx="76">
                  <c:v>2387.520270256186</c:v>
                </c:pt>
                <c:pt idx="77">
                  <c:v>2361.7242634537151</c:v>
                </c:pt>
                <c:pt idx="78">
                  <c:v>2347.2637688762834</c:v>
                </c:pt>
                <c:pt idx="79">
                  <c:v>2343.5498306965401</c:v>
                </c:pt>
                <c:pt idx="80">
                  <c:v>2350.0334639808666</c:v>
                </c:pt>
                <c:pt idx="81">
                  <c:v>2366.1973653750815</c:v>
                </c:pt>
                <c:pt idx="82">
                  <c:v>2391.5506322419824</c:v>
                </c:pt>
                <c:pt idx="83">
                  <c:v>2425.6259359684809</c:v>
                </c:pt>
                <c:pt idx="84">
                  <c:v>2467.9786697253248</c:v>
                </c:pt>
                <c:pt idx="85">
                  <c:v>2518.187740819149</c:v>
                </c:pt>
                <c:pt idx="86">
                  <c:v>2575.8577455005438</c:v>
                </c:pt>
                <c:pt idx="87">
                  <c:v>2640.6221755956931</c:v>
                </c:pt>
                <c:pt idx="88">
                  <c:v>2712.1471759337319</c:v>
                </c:pt>
                <c:pt idx="89">
                  <c:v>2790.1353519528921</c:v>
                </c:pt>
                <c:pt idx="90">
                  <c:v>2874.329238352469</c:v>
                </c:pt>
                <c:pt idx="91">
                  <c:v>2964.5142010623208</c:v>
                </c:pt>
                <c:pt idx="92">
                  <c:v>3060.5206927451263</c:v>
                </c:pt>
                <c:pt idx="93">
                  <c:v>3162.225919315003</c:v>
                </c:pt>
                <c:pt idx="94">
                  <c:v>3269.5551639536525</c:v>
                </c:pt>
                <c:pt idx="95">
                  <c:v>3382.4852359461461</c:v>
                </c:pt>
                <c:pt idx="96">
                  <c:v>3501.0404233739464</c:v>
                </c:pt>
                <c:pt idx="97">
                  <c:v>3625.3149935910069</c:v>
                </c:pt>
                <c:pt idx="98">
                  <c:v>3755.4995469114356</c:v>
                </c:pt>
                <c:pt idx="99">
                  <c:v>3892.0194077661104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93-41DD-A637-A280AECB4BFA}"/>
            </c:ext>
          </c:extLst>
        </c:ser>
        <c:ser>
          <c:idx val="48"/>
          <c:order val="48"/>
          <c:tx>
            <c:strRef>
              <c:f>KPlot!$EP$51</c:f>
              <c:strCache>
                <c:ptCount val="1"/>
                <c:pt idx="0">
                  <c:v>1y 58d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KPlot!$AT$51:$EO$51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3930.927165238857</c:v>
                </c:pt>
                <c:pt idx="66">
                  <c:v>3686.3776733530431</c:v>
                </c:pt>
                <c:pt idx="67">
                  <c:v>3471.9686284919353</c:v>
                </c:pt>
                <c:pt idx="68">
                  <c:v>3284.412848722493</c:v>
                </c:pt>
                <c:pt idx="69">
                  <c:v>3120.9244032604424</c:v>
                </c:pt>
                <c:pt idx="70">
                  <c:v>2979.1388244694836</c:v>
                </c:pt>
                <c:pt idx="71">
                  <c:v>2857.0453754597811</c:v>
                </c:pt>
                <c:pt idx="72">
                  <c:v>2752.9291674947981</c:v>
                </c:pt>
                <c:pt idx="73">
                  <c:v>2665.3214357076558</c:v>
                </c:pt>
                <c:pt idx="74">
                  <c:v>2592.9567433959774</c:v>
                </c:pt>
                <c:pt idx="75">
                  <c:v>2534.7341254740718</c:v>
                </c:pt>
                <c:pt idx="76">
                  <c:v>2489.6940916091035</c:v>
                </c:pt>
                <c:pt idx="77">
                  <c:v>2456.9803865100266</c:v>
                </c:pt>
                <c:pt idx="78">
                  <c:v>2435.8262510169716</c:v>
                </c:pt>
                <c:pt idx="79">
                  <c:v>2425.5353864228337</c:v>
                </c:pt>
                <c:pt idx="80">
                  <c:v>2425.4688150913762</c:v>
                </c:pt>
                <c:pt idx="81">
                  <c:v>2435.0353145955878</c:v>
                </c:pt>
                <c:pt idx="82">
                  <c:v>2453.6849137688318</c:v>
                </c:pt>
                <c:pt idx="83">
                  <c:v>2480.9049010385052</c:v>
                </c:pt>
                <c:pt idx="84">
                  <c:v>2516.2178377030823</c:v>
                </c:pt>
                <c:pt idx="85">
                  <c:v>2559.1811777701018</c:v>
                </c:pt>
                <c:pt idx="86">
                  <c:v>2609.3881837908807</c:v>
                </c:pt>
                <c:pt idx="87">
                  <c:v>2666.46981403885</c:v>
                </c:pt>
                <c:pt idx="88">
                  <c:v>2730.0971725045547</c:v>
                </c:pt>
                <c:pt idx="89">
                  <c:v>2799.9840735371804</c:v>
                </c:pt>
                <c:pt idx="90">
                  <c:v>2875.8893391650768</c:v>
                </c:pt>
                <c:pt idx="91">
                  <c:v>2957.6185805472169</c:v>
                </c:pt>
                <c:pt idx="92">
                  <c:v>3045.0253490359073</c:v>
                </c:pt>
                <c:pt idx="93">
                  <c:v>3138.0116509063332</c:v>
                </c:pt>
                <c:pt idx="94">
                  <c:v>3236.5279242751781</c:v>
                </c:pt>
                <c:pt idx="95">
                  <c:v>3340.5727358515214</c:v>
                </c:pt>
                <c:pt idx="96">
                  <c:v>3450.1945951982239</c:v>
                </c:pt>
                <c:pt idx="97">
                  <c:v>3565.4862706157533</c:v>
                </c:pt>
                <c:pt idx="98">
                  <c:v>3686.6045530769497</c:v>
                </c:pt>
                <c:pt idx="99">
                  <c:v>3813.790371528451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93-41DD-A637-A280AECB4BFA}"/>
            </c:ext>
          </c:extLst>
        </c:ser>
        <c:ser>
          <c:idx val="49"/>
          <c:order val="49"/>
          <c:tx>
            <c:strRef>
              <c:f>KPlot!$EP$52</c:f>
              <c:strCache>
                <c:ptCount val="1"/>
                <c:pt idx="0">
                  <c:v>1y 66d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KPlot!$AT$52:$EO$52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3941.6587586131473</c:v>
                </c:pt>
                <c:pt idx="67">
                  <c:v>3703.4244774247818</c:v>
                </c:pt>
                <c:pt idx="68">
                  <c:v>3495.2913619673063</c:v>
                </c:pt>
                <c:pt idx="69">
                  <c:v>3313.95200455964</c:v>
                </c:pt>
                <c:pt idx="70">
                  <c:v>3156.5964978291986</c:v>
                </c:pt>
                <c:pt idx="71">
                  <c:v>3020.8315549783883</c:v>
                </c:pt>
                <c:pt idx="72">
                  <c:v>2904.6121106555593</c:v>
                </c:pt>
                <c:pt idx="73">
                  <c:v>2806.1833003721822</c:v>
                </c:pt>
                <c:pt idx="74">
                  <c:v>2724.0291016869619</c:v>
                </c:pt>
                <c:pt idx="75">
                  <c:v>2656.8386215348978</c:v>
                </c:pt>
                <c:pt idx="76">
                  <c:v>2603.4591715590286</c:v>
                </c:pt>
                <c:pt idx="77">
                  <c:v>2562.8745353489344</c:v>
                </c:pt>
                <c:pt idx="78">
                  <c:v>2534.1791022478401</c:v>
                </c:pt>
                <c:pt idx="79">
                  <c:v>2516.5586226885753</c:v>
                </c:pt>
                <c:pt idx="80">
                  <c:v>2509.2752376403914</c:v>
                </c:pt>
                <c:pt idx="81">
                  <c:v>2511.6562544652606</c:v>
                </c:pt>
                <c:pt idx="82">
                  <c:v>2523.0861098017785</c:v>
                </c:pt>
                <c:pt idx="83">
                  <c:v>2543.0009476830619</c:v>
                </c:pt>
                <c:pt idx="84">
                  <c:v>2570.8852764733192</c:v>
                </c:pt>
                <c:pt idx="85">
                  <c:v>2606.27025494488</c:v>
                </c:pt>
                <c:pt idx="86">
                  <c:v>2648.7332521486492</c:v>
                </c:pt>
                <c:pt idx="87">
                  <c:v>2697.8983619996452</c:v>
                </c:pt>
                <c:pt idx="88">
                  <c:v>2753.4375170855105</c:v>
                </c:pt>
                <c:pt idx="89">
                  <c:v>2815.0718032158202</c:v>
                </c:pt>
                <c:pt idx="90">
                  <c:v>2882.5726028473464</c:v>
                </c:pt>
                <c:pt idx="91">
                  <c:v>2955.7622979157977</c:v>
                </c:pt>
                <c:pt idx="92">
                  <c:v>3034.5143887154691</c:v>
                </c:pt>
                <c:pt idx="93">
                  <c:v>3118.7529904334633</c:v>
                </c:pt>
                <c:pt idx="94">
                  <c:v>3208.4517482870024</c:v>
                </c:pt>
                <c:pt idx="95">
                  <c:v>3303.6322933672891</c:v>
                </c:pt>
                <c:pt idx="96">
                  <c:v>3404.36249634042</c:v>
                </c:pt>
                <c:pt idx="97">
                  <c:v>3510.7568284557528</c:v>
                </c:pt>
                <c:pt idx="98">
                  <c:v>3622.9693027422991</c:v>
                </c:pt>
                <c:pt idx="99">
                  <c:v>3741.2107442258875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93-41DD-A637-A280AECB4BFA}"/>
            </c:ext>
          </c:extLst>
        </c:ser>
        <c:ser>
          <c:idx val="50"/>
          <c:order val="50"/>
          <c:tx>
            <c:strRef>
              <c:f>KPlot!$EP$53</c:f>
              <c:strCache>
                <c:ptCount val="1"/>
                <c:pt idx="0">
                  <c:v>1y 74d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KPlot!$AT$53:$EO$53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3968.2301369669904</c:v>
                </c:pt>
                <c:pt idx="68">
                  <c:v>3735.8490851891102</c:v>
                </c:pt>
                <c:pt idx="69">
                  <c:v>3533.5024288452332</c:v>
                </c:pt>
                <c:pt idx="70">
                  <c:v>3357.8487523722415</c:v>
                </c:pt>
                <c:pt idx="71">
                  <c:v>3206.0420122651203</c:v>
                </c:pt>
                <c:pt idx="72">
                  <c:v>3075.649856430372</c:v>
                </c:pt>
                <c:pt idx="73">
                  <c:v>2964.584938357104</c:v>
                </c:pt>
                <c:pt idx="74">
                  <c:v>2871.0448917470167</c:v>
                </c:pt>
                <c:pt idx="75">
                  <c:v>2793.4726717181188</c:v>
                </c:pt>
                <c:pt idx="76">
                  <c:v>2730.5031988646797</c:v>
                </c:pt>
                <c:pt idx="77">
                  <c:v>2680.9381276065142</c:v>
                </c:pt>
                <c:pt idx="78">
                  <c:v>2643.7163600105105</c:v>
                </c:pt>
                <c:pt idx="79">
                  <c:v>2617.8919457078027</c:v>
                </c:pt>
                <c:pt idx="80">
                  <c:v>2602.6166709899903</c:v>
                </c:pt>
                <c:pt idx="81">
                  <c:v>2597.1266905381544</c:v>
                </c:pt>
                <c:pt idx="82">
                  <c:v>2600.7325663697479</c:v>
                </c:pt>
                <c:pt idx="83">
                  <c:v>2612.8120951457013</c:v>
                </c:pt>
                <c:pt idx="84">
                  <c:v>2632.8053474888902</c:v>
                </c:pt>
                <c:pt idx="85">
                  <c:v>2660.2114210957016</c:v>
                </c:pt>
                <c:pt idx="86">
                  <c:v>2694.5865058240288</c:v>
                </c:pt>
                <c:pt idx="87">
                  <c:v>2735.5429294772762</c:v>
                </c:pt>
                <c:pt idx="88">
                  <c:v>2782.7488634896199</c:v>
                </c:pt>
                <c:pt idx="89">
                  <c:v>2835.9283387553269</c:v>
                </c:pt>
                <c:pt idx="90">
                  <c:v>2894.8612180527671</c:v>
                </c:pt>
                <c:pt idx="91">
                  <c:v>2959.3828349806827</c:v>
                </c:pt>
                <c:pt idx="92">
                  <c:v>3029.3831207286948</c:v>
                </c:pt>
                <c:pt idx="93">
                  <c:v>3104.8051504375435</c:v>
                </c:pt>
                <c:pt idx="94">
                  <c:v>3185.6431220327072</c:v>
                </c:pt>
                <c:pt idx="95">
                  <c:v>3271.9398386985599</c:v>
                </c:pt>
                <c:pt idx="96">
                  <c:v>3363.7838299510349</c:v>
                </c:pt>
                <c:pt idx="97">
                  <c:v>3461.3063611016096</c:v>
                </c:pt>
                <c:pt idx="98">
                  <c:v>3564.6805383825254</c:v>
                </c:pt>
                <c:pt idx="99">
                  <c:v>3674.1131594807493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93-41DD-A637-A280AECB4BFA}"/>
            </c:ext>
          </c:extLst>
        </c:ser>
        <c:ser>
          <c:idx val="51"/>
          <c:order val="51"/>
          <c:tx>
            <c:strRef>
              <c:f>KPlot!$EP$54</c:f>
              <c:strCache>
                <c:ptCount val="1"/>
                <c:pt idx="0">
                  <c:v>1y 83d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KPlot!$AT$54:$EO$54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3784.235115614988</c:v>
                </c:pt>
                <c:pt idx="70">
                  <c:v>3586.9701530341054</c:v>
                </c:pt>
                <c:pt idx="71">
                  <c:v>3416.2578062768453</c:v>
                </c:pt>
                <c:pt idx="72">
                  <c:v>3269.2052631897363</c:v>
                </c:pt>
                <c:pt idx="73">
                  <c:v>3143.3309208060264</c:v>
                </c:pt>
                <c:pt idx="74">
                  <c:v>3036.5042505193187</c:v>
                </c:pt>
                <c:pt idx="75">
                  <c:v>2946.8760233073881</c:v>
                </c:pt>
                <c:pt idx="76">
                  <c:v>2872.8388720490038</c:v>
                </c:pt>
                <c:pt idx="77">
                  <c:v>2812.9861008267435</c:v>
                </c:pt>
                <c:pt idx="78">
                  <c:v>2766.0796170997405</c:v>
                </c:pt>
                <c:pt idx="79">
                  <c:v>2731.0240250172128</c:v>
                </c:pt>
                <c:pt idx="80">
                  <c:v>2706.8460049040632</c:v>
                </c:pt>
                <c:pt idx="81">
                  <c:v>2692.6781820505739</c:v>
                </c:pt>
                <c:pt idx="82">
                  <c:v>2687.7467435934159</c:v>
                </c:pt>
                <c:pt idx="83">
                  <c:v>2691.3621119077043</c:v>
                </c:pt>
                <c:pt idx="84">
                  <c:v>2702.9120421507632</c:v>
                </c:pt>
                <c:pt idx="85">
                  <c:v>2721.8565914026176</c:v>
                </c:pt>
                <c:pt idx="86">
                  <c:v>2747.7245046063408</c:v>
                </c:pt>
                <c:pt idx="87">
                  <c:v>2780.1106547914846</c:v>
                </c:pt>
                <c:pt idx="88">
                  <c:v>2818.6742281359734</c:v>
                </c:pt>
                <c:pt idx="89">
                  <c:v>2863.1373468182628</c:v>
                </c:pt>
                <c:pt idx="90">
                  <c:v>2913.2838079105068</c:v>
                </c:pt>
                <c:pt idx="91">
                  <c:v>2968.9576385342407</c:v>
                </c:pt>
                <c:pt idx="92">
                  <c:v>3030.0612472291273</c:v>
                </c:pt>
                <c:pt idx="93">
                  <c:v>3096.5530604982951</c:v>
                </c:pt>
                <c:pt idx="94">
                  <c:v>3168.4446289928096</c:v>
                </c:pt>
                <c:pt idx="95">
                  <c:v>3245.7972512863785</c:v>
                </c:pt>
                <c:pt idx="96">
                  <c:v>3328.7182061925778</c:v>
                </c:pt>
                <c:pt idx="97">
                  <c:v>3417.3567346658583</c:v>
                </c:pt>
                <c:pt idx="98">
                  <c:v>3511.9020236333799</c:v>
                </c:pt>
                <c:pt idx="99">
                  <c:v>3612.5711869006241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93-41DD-A637-A280AECB4BFA}"/>
            </c:ext>
          </c:extLst>
        </c:ser>
        <c:ser>
          <c:idx val="52"/>
          <c:order val="52"/>
          <c:tx>
            <c:strRef>
              <c:f>KPlot!$EP$55</c:f>
              <c:strCache>
                <c:ptCount val="1"/>
                <c:pt idx="0">
                  <c:v>1y 91d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KPlot!$AT$55:$EO$55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3849.0018659645093</c:v>
                </c:pt>
                <c:pt idx="71">
                  <c:v>3655.8860621993799</c:v>
                </c:pt>
                <c:pt idx="72">
                  <c:v>3489.1493216422814</c:v>
                </c:pt>
                <c:pt idx="73">
                  <c:v>3345.8410417069804</c:v>
                </c:pt>
                <c:pt idx="74">
                  <c:v>3223.4339320115309</c:v>
                </c:pt>
                <c:pt idx="75">
                  <c:v>3119.7417157673804</c:v>
                </c:pt>
                <c:pt idx="76">
                  <c:v>3032.8711970298068</c:v>
                </c:pt>
                <c:pt idx="77">
                  <c:v>2961.1734141933684</c:v>
                </c:pt>
                <c:pt idx="78">
                  <c:v>2903.2054815961646</c:v>
                </c:pt>
                <c:pt idx="79">
                  <c:v>2857.6996657074737</c:v>
                </c:pt>
                <c:pt idx="80">
                  <c:v>2823.5385732924883</c:v>
                </c:pt>
                <c:pt idx="81">
                  <c:v>2799.7354641813313</c:v>
                </c:pt>
                <c:pt idx="82">
                  <c:v>2785.4188062133817</c:v>
                </c:pt>
                <c:pt idx="83">
                  <c:v>2779.8202783050365</c:v>
                </c:pt>
                <c:pt idx="84">
                  <c:v>2782.2655119938281</c:v>
                </c:pt>
                <c:pt idx="85">
                  <c:v>2792.1669526451765</c:v>
                </c:pt>
                <c:pt idx="86">
                  <c:v>2809.018323147875</c:v>
                </c:pt>
                <c:pt idx="87">
                  <c:v>2832.3902774926455</c:v>
                </c:pt>
                <c:pt idx="88">
                  <c:v>2861.9269170917132</c:v>
                </c:pt>
                <c:pt idx="89">
                  <c:v>2897.3428857326353</c:v>
                </c:pt>
                <c:pt idx="90">
                  <c:v>2938.4207605085562</c:v>
                </c:pt>
                <c:pt idx="91">
                  <c:v>2985.008452008562</c:v>
                </c:pt>
                <c:pt idx="92">
                  <c:v>3037.0163619855352</c:v>
                </c:pt>
                <c:pt idx="93">
                  <c:v>3094.4141314617691</c:v>
                </c:pt>
                <c:pt idx="94">
                  <c:v>3157.2269161431414</c:v>
                </c:pt>
                <c:pt idx="95">
                  <c:v>3225.5312105378289</c:v>
                </c:pt>
                <c:pt idx="96">
                  <c:v>3299.4502934824218</c:v>
                </c:pt>
                <c:pt idx="97">
                  <c:v>3379.149399378216</c:v>
                </c:pt>
                <c:pt idx="98">
                  <c:v>3464.8307580992446</c:v>
                </c:pt>
                <c:pt idx="99">
                  <c:v>3556.7306667700491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93-41DD-A637-A280AECB4BFA}"/>
            </c:ext>
          </c:extLst>
        </c:ser>
        <c:ser>
          <c:idx val="53"/>
          <c:order val="53"/>
          <c:tx>
            <c:strRef>
              <c:f>KPlot!$EP$56</c:f>
              <c:strCache>
                <c:ptCount val="1"/>
                <c:pt idx="0">
                  <c:v>1y 99d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KPlot!$AT$56:$EO$56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3930.3732133076173</c:v>
                </c:pt>
                <c:pt idx="72">
                  <c:v>3740.2356474735629</c:v>
                </c:pt>
                <c:pt idx="73">
                  <c:v>3576.28441016223</c:v>
                </c:pt>
                <c:pt idx="74">
                  <c:v>3435.5073971650509</c:v>
                </c:pt>
                <c:pt idx="75">
                  <c:v>3315.3175461084052</c:v>
                </c:pt>
                <c:pt idx="76">
                  <c:v>3213.4819570829723</c:v>
                </c:pt>
                <c:pt idx="77">
                  <c:v>3128.065407469895</c:v>
                </c:pt>
                <c:pt idx="78">
                  <c:v>3057.3841958798494</c:v>
                </c:pt>
                <c:pt idx="79">
                  <c:v>2999.9686431289756</c:v>
                </c:pt>
                <c:pt idx="80">
                  <c:v>2954.5328230248078</c:v>
                </c:pt>
                <c:pt idx="81">
                  <c:v>2919.9502941133997</c:v>
                </c:pt>
                <c:pt idx="82">
                  <c:v>2895.2347644465326</c:v>
                </c:pt>
                <c:pt idx="83">
                  <c:v>2879.5247557707298</c:v>
                </c:pt>
                <c:pt idx="84">
                  <c:v>2872.0714518416717</c:v>
                </c:pt>
                <c:pt idx="85">
                  <c:v>2872.2290270940966</c:v>
                </c:pt>
                <c:pt idx="86">
                  <c:v>2879.4468635132621</c:v>
                </c:pt>
                <c:pt idx="87">
                  <c:v>2893.2631764522434</c:v>
                </c:pt>
                <c:pt idx="88">
                  <c:v>2913.2996755689978</c:v>
                </c:pt>
                <c:pt idx="89">
                  <c:v>2939.2569665447677</c:v>
                </c:pt>
                <c:pt idx="90">
                  <c:v>2970.9104365813582</c:v>
                </c:pt>
                <c:pt idx="91">
                  <c:v>3008.1063681175838</c:v>
                </c:pt>
                <c:pt idx="92">
                  <c:v>3050.7580258731405</c:v>
                </c:pt>
                <c:pt idx="93">
                  <c:v>3098.8415015532032</c:v>
                </c:pt>
                <c:pt idx="94">
                  <c:v>3152.3911855448719</c:v>
                </c:pt>
                <c:pt idx="95">
                  <c:v>3211.4948351547137</c:v>
                </c:pt>
                <c:pt idx="96">
                  <c:v>3276.2882871976635</c:v>
                </c:pt>
                <c:pt idx="97">
                  <c:v>3346.949906240005</c:v>
                </c:pt>
                <c:pt idx="98">
                  <c:v>3423.6948825788841</c:v>
                </c:pt>
                <c:pt idx="99">
                  <c:v>3506.7695225534208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93-41DD-A637-A280AECB4BFA}"/>
            </c:ext>
          </c:extLst>
        </c:ser>
        <c:ser>
          <c:idx val="54"/>
          <c:order val="54"/>
          <c:tx>
            <c:strRef>
              <c:f>KPlot!$EP$57</c:f>
              <c:strCache>
                <c:ptCount val="1"/>
                <c:pt idx="0">
                  <c:v>1y 107d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KPlot!$AT$57:$EO$57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3839.7767853929818</c:v>
                </c:pt>
                <c:pt idx="74">
                  <c:v>3677.2007997243309</c:v>
                </c:pt>
                <c:pt idx="75">
                  <c:v>3537.5348420688019</c:v>
                </c:pt>
                <c:pt idx="76">
                  <c:v>3418.136072809275</c:v>
                </c:pt>
                <c:pt idx="77">
                  <c:v>3316.7256752690291</c:v>
                </c:pt>
                <c:pt idx="78">
                  <c:v>3231.3322417467116</c:v>
                </c:pt>
                <c:pt idx="79">
                  <c:v>3160.2456783303005</c:v>
                </c:pt>
                <c:pt idx="80">
                  <c:v>3101.9798311046179</c:v>
                </c:pt>
                <c:pt idx="81">
                  <c:v>3055.2423008677888</c:v>
                </c:pt>
                <c:pt idx="82">
                  <c:v>3018.9101371926868</c:v>
                </c:pt>
                <c:pt idx="83">
                  <c:v>2992.0102913178243</c:v>
                </c:pt>
                <c:pt idx="84">
                  <c:v>2973.7038689043793</c:v>
                </c:pt>
                <c:pt idx="85">
                  <c:v>2963.273366191348</c:v>
                </c:pt>
                <c:pt idx="86">
                  <c:v>2960.1122037051291</c:v>
                </c:pt>
                <c:pt idx="87">
                  <c:v>2963.715995608607</c:v>
                </c:pt>
                <c:pt idx="88">
                  <c:v>2973.6751104395407</c:v>
                </c:pt>
                <c:pt idx="89">
                  <c:v>2989.6681827118973</c:v>
                </c:pt>
                <c:pt idx="90">
                  <c:v>3011.4563095500394</c:v>
                </c:pt>
                <c:pt idx="91">
                  <c:v>3038.8777000117711</c:v>
                </c:pt>
                <c:pt idx="92">
                  <c:v>3071.8425449969582</c:v>
                </c:pt>
                <c:pt idx="93">
                  <c:v>3110.3278763829348</c:v>
                </c:pt>
                <c:pt idx="94">
                  <c:v>3154.3722229209329</c:v>
                </c:pt>
                <c:pt idx="95">
                  <c:v>3204.0699547674508</c:v>
                </c:pt>
                <c:pt idx="96">
                  <c:v>3259.5653081586715</c:v>
                </c:pt>
                <c:pt idx="97">
                  <c:v>3321.0461581875861</c:v>
                </c:pt>
                <c:pt idx="98">
                  <c:v>3388.7376466044034</c:v>
                </c:pt>
                <c:pt idx="99">
                  <c:v>3462.8957870531394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93-41DD-A637-A280AECB4BFA}"/>
            </c:ext>
          </c:extLst>
        </c:ser>
        <c:ser>
          <c:idx val="55"/>
          <c:order val="55"/>
          <c:tx>
            <c:strRef>
              <c:f>KPlot!$EP$58</c:f>
              <c:strCache>
                <c:ptCount val="1"/>
                <c:pt idx="0">
                  <c:v>1y 116d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KPlot!$AT$58:$EO$58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3953.9930890606292</c:v>
                </c:pt>
                <c:pt idx="75">
                  <c:v>3791.1724258552049</c:v>
                </c:pt>
                <c:pt idx="76">
                  <c:v>3651.0159629203927</c:v>
                </c:pt>
                <c:pt idx="77">
                  <c:v>3530.8261720776054</c:v>
                </c:pt>
                <c:pt idx="78">
                  <c:v>3428.2825572569845</c:v>
                </c:pt>
                <c:pt idx="79">
                  <c:v>3341.3843347045849</c:v>
                </c:pt>
                <c:pt idx="80">
                  <c:v>3268.4037992050471</c:v>
                </c:pt>
                <c:pt idx="81">
                  <c:v>3207.8484680183128</c:v>
                </c:pt>
                <c:pt idx="82">
                  <c:v>3158.4303840312205</c:v>
                </c:pt>
                <c:pt idx="83">
                  <c:v>3119.0412104991401</c:v>
                </c:pt>
                <c:pt idx="84">
                  <c:v>3088.7319644271465</c:v>
                </c:pt>
                <c:pt idx="85">
                  <c:v>3066.6964199216991</c:v>
                </c:pt>
                <c:pt idx="86">
                  <c:v>3052.2573733093923</c:v>
                </c:pt>
                <c:pt idx="87">
                  <c:v>3044.8551047803157</c:v>
                </c:pt>
                <c:pt idx="88">
                  <c:v>3044.0375016570847</c:v>
                </c:pt>
                <c:pt idx="89">
                  <c:v>3049.4514270404225</c:v>
                </c:pt>
                <c:pt idx="90">
                  <c:v>3060.8350186199004</c:v>
                </c:pt>
                <c:pt idx="91">
                  <c:v>3078.0106732868589</c:v>
                </c:pt>
                <c:pt idx="92">
                  <c:v>3100.8785036715153</c:v>
                </c:pt>
                <c:pt idx="93">
                  <c:v>3129.4100507480985</c:v>
                </c:pt>
                <c:pt idx="94">
                  <c:v>3163.6420350446715</c:v>
                </c:pt>
                <c:pt idx="95">
                  <c:v>3203.6699659798433</c:v>
                </c:pt>
                <c:pt idx="96">
                  <c:v>3249.6415138491434</c:v>
                </c:pt>
                <c:pt idx="97">
                  <c:v>3301.7496515618855</c:v>
                </c:pt>
                <c:pt idx="98">
                  <c:v>3360.2256515709823</c:v>
                </c:pt>
                <c:pt idx="99">
                  <c:v>3425.3320599936687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93-41DD-A637-A280AECB4BFA}"/>
            </c:ext>
          </c:extLst>
        </c:ser>
        <c:ser>
          <c:idx val="56"/>
          <c:order val="56"/>
          <c:tx>
            <c:strRef>
              <c:f>KPlot!$EP$59</c:f>
              <c:strCache>
                <c:ptCount val="1"/>
                <c:pt idx="0">
                  <c:v>1y 124d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KPlot!$AT$59:$EO$59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3917.1917588909823</c:v>
                </c:pt>
                <c:pt idx="77">
                  <c:v>3774.7855915177593</c:v>
                </c:pt>
                <c:pt idx="78">
                  <c:v>3652.0969954050811</c:v>
                </c:pt>
                <c:pt idx="79">
                  <c:v>3546.768372639784</c:v>
                </c:pt>
                <c:pt idx="80">
                  <c:v>3456.7762235173946</c:v>
                </c:pt>
                <c:pt idx="81">
                  <c:v>3380.3833082127358</c:v>
                </c:pt>
                <c:pt idx="82">
                  <c:v>3316.0996812879057</c:v>
                </c:pt>
                <c:pt idx="83">
                  <c:v>3262.6509104814154</c:v>
                </c:pt>
                <c:pt idx="84">
                  <c:v>3218.9520678913004</c:v>
                </c:pt>
                <c:pt idx="85">
                  <c:v>3184.0863187911632</c:v>
                </c:pt>
                <c:pt idx="86">
                  <c:v>3157.2871353976097</c:v>
                </c:pt>
                <c:pt idx="87">
                  <c:v>3137.9233359612699</c:v>
                </c:pt>
                <c:pt idx="88">
                  <c:v>3125.4862999232691</c:v>
                </c:pt>
                <c:pt idx="89">
                  <c:v>3119.5788429335462</c:v>
                </c:pt>
                <c:pt idx="90">
                  <c:v>3119.9053533137712</c:v>
                </c:pt>
                <c:pt idx="91">
                  <c:v>3126.2628898403536</c:v>
                </c:pt>
                <c:pt idx="92">
                  <c:v>3138.5330087870652</c:v>
                </c:pt>
                <c:pt idx="93">
                  <c:v>3156.6741165175786</c:v>
                </c:pt>
                <c:pt idx="94">
                  <c:v>3180.7141397507585</c:v>
                </c:pt>
                <c:pt idx="95">
                  <c:v>3210.7433012882038</c:v>
                </c:pt>
                <c:pt idx="96">
                  <c:v>3246.9068247939822</c:v>
                </c:pt>
                <c:pt idx="97">
                  <c:v>3289.3974802980415</c:v>
                </c:pt>
                <c:pt idx="98">
                  <c:v>3338.447990991112</c:v>
                </c:pt>
                <c:pt idx="99">
                  <c:v>3394.3234045943473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93-41DD-A637-A280AECB4BFA}"/>
            </c:ext>
          </c:extLst>
        </c:ser>
        <c:ser>
          <c:idx val="57"/>
          <c:order val="57"/>
          <c:tx>
            <c:strRef>
              <c:f>KPlot!$EP$60</c:f>
              <c:strCache>
                <c:ptCount val="1"/>
                <c:pt idx="0">
                  <c:v>1y 132d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KPlot!$AT$60:$EO$60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3907.4068796131141</c:v>
                </c:pt>
                <c:pt idx="79">
                  <c:v>3780.4250274003371</c:v>
                </c:pt>
                <c:pt idx="80">
                  <c:v>3670.6071383402978</c:v>
                </c:pt>
                <c:pt idx="81">
                  <c:v>3575.912316285292</c:v>
                </c:pt>
                <c:pt idx="82">
                  <c:v>3494.6000162388045</c:v>
                </c:pt>
                <c:pt idx="83">
                  <c:v>3425.1893684636043</c:v>
                </c:pt>
                <c:pt idx="84">
                  <c:v>3366.425799162012</c:v>
                </c:pt>
                <c:pt idx="85">
                  <c:v>3317.2534964714223</c:v>
                </c:pt>
                <c:pt idx="86">
                  <c:v>3276.7925261836954</c:v>
                </c:pt>
                <c:pt idx="87">
                  <c:v>3244.3196172643393</c:v>
                </c:pt>
                <c:pt idx="88">
                  <c:v>3219.2518190196279</c:v>
                </c:pt>
                <c:pt idx="89">
                  <c:v>3201.1323865325608</c:v>
                </c:pt>
                <c:pt idx="90">
                  <c:v>3189.6183850091561</c:v>
                </c:pt>
                <c:pt idx="91">
                  <c:v>3184.4696202448436</c:v>
                </c:pt>
                <c:pt idx="92">
                  <c:v>3185.53859881892</c:v>
                </c:pt>
                <c:pt idx="93">
                  <c:v>3192.7612883245829</c:v>
                </c:pt>
                <c:pt idx="94">
                  <c:v>3206.1484755415613</c:v>
                </c:pt>
                <c:pt idx="95">
                  <c:v>3225.7775151633764</c:v>
                </c:pt>
                <c:pt idx="96">
                  <c:v>3251.784255963521</c:v>
                </c:pt>
                <c:pt idx="97">
                  <c:v>3284.3549681454651</c:v>
                </c:pt>
                <c:pt idx="98">
                  <c:v>3323.7181898447484</c:v>
                </c:pt>
                <c:pt idx="99">
                  <c:v>3370.1365285909396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93-41DD-A637-A280AECB4BFA}"/>
            </c:ext>
          </c:extLst>
        </c:ser>
        <c:ser>
          <c:idx val="58"/>
          <c:order val="58"/>
          <c:tx>
            <c:strRef>
              <c:f>KPlot!$EP$61</c:f>
              <c:strCache>
                <c:ptCount val="1"/>
                <c:pt idx="0">
                  <c:v>1y 141d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KPlot!$AT$61:$EO$61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3914.0576640585696</c:v>
                </c:pt>
                <c:pt idx="81">
                  <c:v>3798.041921367259</c:v>
                </c:pt>
                <c:pt idx="82">
                  <c:v>3697.0630543770289</c:v>
                </c:pt>
                <c:pt idx="83">
                  <c:v>3609.380544744954</c:v>
                </c:pt>
                <c:pt idx="84">
                  <c:v>3533.5259086317219</c:v>
                </c:pt>
                <c:pt idx="85">
                  <c:v>3468.2672876171828</c:v>
                </c:pt>
                <c:pt idx="86">
                  <c:v>3412.5800619566508</c:v>
                </c:pt>
                <c:pt idx="87">
                  <c:v>3365.6222620315989</c:v>
                </c:pt>
                <c:pt idx="88">
                  <c:v>3326.7137802996522</c:v>
                </c:pt>
                <c:pt idx="89">
                  <c:v>3295.3185744843313</c:v>
                </c:pt>
                <c:pt idx="90">
                  <c:v>3271.0292108161811</c:v>
                </c:pt>
                <c:pt idx="91">
                  <c:v>3253.5532311137795</c:v>
                </c:pt>
                <c:pt idx="92">
                  <c:v>3242.7009438187624</c:v>
                </c:pt>
                <c:pt idx="93">
                  <c:v>3238.3743352754182</c:v>
                </c:pt>
                <c:pt idx="94">
                  <c:v>3240.5568647925174</c:v>
                </c:pt>
                <c:pt idx="95">
                  <c:v>3249.3039356926629</c:v>
                </c:pt>
                <c:pt idx="96">
                  <c:v>3264.7338300232177</c:v>
                </c:pt>
                <c:pt idx="97">
                  <c:v>3287.0188899796822</c:v>
                </c:pt>
                <c:pt idx="98">
                  <c:v>3316.3767703274152</c:v>
                </c:pt>
                <c:pt idx="99">
                  <c:v>3353.0616896997562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93-41DD-A637-A280AECB4BFA}"/>
            </c:ext>
          </c:extLst>
        </c:ser>
        <c:ser>
          <c:idx val="59"/>
          <c:order val="59"/>
          <c:tx>
            <c:strRef>
              <c:f>KPlot!$EP$62</c:f>
              <c:strCache>
                <c:ptCount val="1"/>
                <c:pt idx="0">
                  <c:v>1y 149d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KPlot!$AT$62:$EO$62</c:f>
              <c:numCache>
                <c:formatCode>0</c:formatCode>
                <c:ptCount val="100"/>
                <c:pt idx="0">
                  <c:v>3975.4659798488715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3927.1577931280308</c:v>
                </c:pt>
                <c:pt idx="83">
                  <c:v>3818.3919897787555</c:v>
                </c:pt>
                <c:pt idx="84">
                  <c:v>3722.9915732853678</c:v>
                </c:pt>
                <c:pt idx="85">
                  <c:v>3639.4998804510024</c:v>
                </c:pt>
                <c:pt idx="86">
                  <c:v>3566.7066988602314</c:v>
                </c:pt>
                <c:pt idx="87">
                  <c:v>3503.6167906149976</c:v>
                </c:pt>
                <c:pt idx="88">
                  <c:v>3449.4234531695965</c:v>
                </c:pt>
                <c:pt idx="89">
                  <c:v>3403.4860861178195</c:v>
                </c:pt>
                <c:pt idx="90">
                  <c:v>3365.3109276704395</c:v>
                </c:pt>
                <c:pt idx="91">
                  <c:v>3334.5342866081892</c:v>
                </c:pt>
                <c:pt idx="92">
                  <c:v>3310.9077328814546</c:v>
                </c:pt>
                <c:pt idx="93">
                  <c:v>3294.2848281961251</c:v>
                </c:pt>
                <c:pt idx="94">
                  <c:v>3284.6090762081185</c:v>
                </c:pt>
                <c:pt idx="95">
                  <c:v>3281.9028419992665</c:v>
                </c:pt>
                <c:pt idx="96">
                  <c:v>3286.2570222932823</c:v>
                </c:pt>
                <c:pt idx="97">
                  <c:v>3297.8212464561302</c:v>
                </c:pt>
                <c:pt idx="98">
                  <c:v>3316.7943880695157</c:v>
                </c:pt>
                <c:pt idx="99">
                  <c:v>3343.4152164685584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93-41DD-A637-A280AECB4BFA}"/>
            </c:ext>
          </c:extLst>
        </c:ser>
        <c:ser>
          <c:idx val="60"/>
          <c:order val="60"/>
          <c:tx>
            <c:strRef>
              <c:f>KPlot!$EP$63</c:f>
              <c:strCache>
                <c:ptCount val="1"/>
                <c:pt idx="0">
                  <c:v>1y 157d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KPlot!$AT$63:$EO$63</c:f>
              <c:numCache>
                <c:formatCode>0</c:formatCode>
                <c:ptCount val="100"/>
                <c:pt idx="0">
                  <c:v>3906.6774642712294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3937.9953041155832</c:v>
                </c:pt>
                <c:pt idx="85">
                  <c:v>3833.6792963155804</c:v>
                </c:pt>
                <c:pt idx="86">
                  <c:v>3741.5218497356245</c:v>
                </c:pt>
                <c:pt idx="87">
                  <c:v>3660.3293126914541</c:v>
                </c:pt>
                <c:pt idx="88">
                  <c:v>3589.1302218539695</c:v>
                </c:pt>
                <c:pt idx="89">
                  <c:v>3527.146926778948</c:v>
                </c:pt>
                <c:pt idx="90">
                  <c:v>3473.7714852117042</c:v>
                </c:pt>
                <c:pt idx="91">
                  <c:v>3428.5449489984144</c:v>
                </c:pt>
                <c:pt idx="92">
                  <c:v>3391.1393285601253</c:v>
                </c:pt>
                <c:pt idx="93">
                  <c:v>3361.3416662915001</c:v>
                </c:pt>
                <c:pt idx="94">
                  <c:v>3339.0397720711871</c:v>
                </c:pt>
                <c:pt idx="95">
                  <c:v>3324.209277194494</c:v>
                </c:pt>
                <c:pt idx="96">
                  <c:v>3316.9017381957801</c:v>
                </c:pt>
                <c:pt idx="97">
                  <c:v>3317.2335589941504</c:v>
                </c:pt>
                <c:pt idx="98">
                  <c:v>3325.3755040086917</c:v>
                </c:pt>
                <c:pt idx="99">
                  <c:v>3341.5425827629388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93-41DD-A637-A280AECB4BFA}"/>
            </c:ext>
          </c:extLst>
        </c:ser>
        <c:ser>
          <c:idx val="61"/>
          <c:order val="61"/>
          <c:tx>
            <c:strRef>
              <c:f>KPlot!$EP$64</c:f>
              <c:strCache>
                <c:ptCount val="1"/>
                <c:pt idx="0">
                  <c:v>1y 165d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KPlot!$AT$64:$EO$64</c:f>
              <c:numCache>
                <c:formatCode>0</c:formatCode>
                <c:ptCount val="100"/>
                <c:pt idx="0">
                  <c:v>3844.8960035084988</c:v>
                </c:pt>
                <c:pt idx="1">
                  <c:v>3932.2638411371745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3939.7180222789866</c:v>
                </c:pt>
                <c:pt idx="87">
                  <c:v>3838.0666958464581</c:v>
                </c:pt>
                <c:pt idx="88">
                  <c:v>3747.813542638728</c:v>
                </c:pt>
                <c:pt idx="89">
                  <c:v>3668.0019245129679</c:v>
                </c:pt>
                <c:pt idx="90">
                  <c:v>3597.8740688421371</c:v>
                </c:pt>
                <c:pt idx="91">
                  <c:v>3536.8452791131103</c:v>
                </c:pt>
                <c:pt idx="92">
                  <c:v>3484.481784196254</c:v>
                </c:pt>
                <c:pt idx="93">
                  <c:v>3440.4814636336564</c:v>
                </c:pt>
                <c:pt idx="94">
                  <c:v>3404.6568369930083</c:v>
                </c:pt>
                <c:pt idx="95">
                  <c:v>3376.9198360213668</c:v>
                </c:pt>
                <c:pt idx="96">
                  <c:v>3357.2679890523441</c:v>
                </c:pt>
                <c:pt idx="97">
                  <c:v>3345.7717295337566</c:v>
                </c:pt>
                <c:pt idx="98">
                  <c:v>3342.5625845296345</c:v>
                </c:pt>
                <c:pt idx="99">
                  <c:v>3347.8220114757059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93-41DD-A637-A280AECB4BFA}"/>
            </c:ext>
          </c:extLst>
        </c:ser>
        <c:ser>
          <c:idx val="62"/>
          <c:order val="62"/>
          <c:tx>
            <c:strRef>
              <c:f>KPlot!$EP$65</c:f>
              <c:strCache>
                <c:ptCount val="1"/>
                <c:pt idx="0">
                  <c:v>1y 174d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KPlot!$AT$65:$EO$65</c:f>
              <c:numCache>
                <c:formatCode>0</c:formatCode>
                <c:ptCount val="100"/>
                <c:pt idx="0">
                  <c:v>3790.3810378997182</c:v>
                </c:pt>
                <c:pt idx="1">
                  <c:v>3868.7050816155433</c:v>
                </c:pt>
                <c:pt idx="2">
                  <c:v>3954.2622598363714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3927.7214389005785</c:v>
                </c:pt>
                <c:pt idx="89">
                  <c:v>3827.9714597583643</c:v>
                </c:pt>
                <c:pt idx="90">
                  <c:v>3739.2617240031545</c:v>
                </c:pt>
                <c:pt idx="91">
                  <c:v>3660.8430250239076</c:v>
                </c:pt>
                <c:pt idx="92">
                  <c:v>3592.1427617630243</c:v>
                </c:pt>
                <c:pt idx="93">
                  <c:v>3532.7413373101053</c:v>
                </c:pt>
                <c:pt idx="94">
                  <c:v>3482.3516365339929</c:v>
                </c:pt>
                <c:pt idx="95">
                  <c:v>3440.8009222116948</c:v>
                </c:pt>
                <c:pt idx="96">
                  <c:v>3408.0146308492258</c:v>
                </c:pt>
                <c:pt idx="97">
                  <c:v>3384.001670251092</c:v>
                </c:pt>
                <c:pt idx="98">
                  <c:v>3368.8409123409319</c:v>
                </c:pt>
                <c:pt idx="99">
                  <c:v>3362.6686273553273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93-41DD-A637-A280AECB4BFA}"/>
            </c:ext>
          </c:extLst>
        </c:ser>
        <c:ser>
          <c:idx val="63"/>
          <c:order val="63"/>
          <c:tx>
            <c:strRef>
              <c:f>KPlot!$EP$66</c:f>
              <c:strCache>
                <c:ptCount val="1"/>
                <c:pt idx="0">
                  <c:v>1y 182d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KPlot!$AT$66:$EO$66</c:f>
              <c:numCache>
                <c:formatCode>0</c:formatCode>
                <c:ptCount val="100"/>
                <c:pt idx="0">
                  <c:v>3743.4145673007165</c:v>
                </c:pt>
                <c:pt idx="1">
                  <c:v>3812.4594363417987</c:v>
                </c:pt>
                <c:pt idx="2">
                  <c:v>3889.0252375635373</c:v>
                </c:pt>
                <c:pt idx="3">
                  <c:v>3973.3619465326201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3899.787061195243</c:v>
                </c:pt>
                <c:pt idx="91">
                  <c:v>3802.1175536514006</c:v>
                </c:pt>
                <c:pt idx="92">
                  <c:v>3715.4708788247635</c:v>
                </c:pt>
                <c:pt idx="93">
                  <c:v>3639.274569975456</c:v>
                </c:pt>
                <c:pt idx="94">
                  <c:v>3573.1116832935018</c:v>
                </c:pt>
                <c:pt idx="95">
                  <c:v>3516.698972237748</c:v>
                </c:pt>
                <c:pt idx="96">
                  <c:v>3469.8676334860693</c:v>
                </c:pt>
                <c:pt idx="97">
                  <c:v>3432.5460680073588</c:v>
                </c:pt>
                <c:pt idx="98">
                  <c:v>3404.7442338930632</c:v>
                </c:pt>
                <c:pt idx="99">
                  <c:v>3386.5392694445322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93-41DD-A637-A280AECB4BFA}"/>
            </c:ext>
          </c:extLst>
        </c:ser>
        <c:ser>
          <c:idx val="64"/>
          <c:order val="64"/>
          <c:tx>
            <c:strRef>
              <c:f>KPlot!$EP$67</c:f>
              <c:strCache>
                <c:ptCount val="1"/>
                <c:pt idx="0">
                  <c:v>1y 190d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KPlot!$AT$67:$EO$67</c:f>
              <c:numCache>
                <c:formatCode>0</c:formatCode>
                <c:ptCount val="100"/>
                <c:pt idx="0">
                  <c:v>3704.3004291009775</c:v>
                </c:pt>
                <c:pt idx="1">
                  <c:v>3763.7872582954133</c:v>
                </c:pt>
                <c:pt idx="2">
                  <c:v>3831.1122207618628</c:v>
                </c:pt>
                <c:pt idx="3">
                  <c:v>3906.5214975002091</c:v>
                </c:pt>
                <c:pt idx="4">
                  <c:v>3990.2602455974147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3962.4487128640094</c:v>
                </c:pt>
                <c:pt idx="92">
                  <c:v>3855.9790930166946</c:v>
                </c:pt>
                <c:pt idx="93">
                  <c:v>3761.3696266649831</c:v>
                </c:pt>
                <c:pt idx="94">
                  <c:v>3678.0361274488537</c:v>
                </c:pt>
                <c:pt idx="95">
                  <c:v>3605.5530620123454</c:v>
                </c:pt>
                <c:pt idx="96">
                  <c:v>3543.6303198182609</c:v>
                </c:pt>
                <c:pt idx="97">
                  <c:v>3492.0927096086784</c:v>
                </c:pt>
                <c:pt idx="98">
                  <c:v>3450.8615906443115</c:v>
                </c:pt>
                <c:pt idx="99">
                  <c:v>3419.938193875756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93-41DD-A637-A280AECB4BFA}"/>
            </c:ext>
          </c:extLst>
        </c:ser>
        <c:ser>
          <c:idx val="65"/>
          <c:order val="65"/>
          <c:tx>
            <c:strRef>
              <c:f>KPlot!$EP$68</c:f>
              <c:strCache>
                <c:ptCount val="1"/>
                <c:pt idx="0">
                  <c:v>1y 198d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KPlot!$AT$68:$EO$68</c:f>
              <c:numCache>
                <c:formatCode>0</c:formatCode>
                <c:ptCount val="100"/>
                <c:pt idx="0">
                  <c:v>3673.3753884282642</c:v>
                </c:pt>
                <c:pt idx="1">
                  <c:v>3722.9700262046435</c:v>
                </c:pt>
                <c:pt idx="2">
                  <c:v>3780.7628685045152</c:v>
                </c:pt>
                <c:pt idx="3">
                  <c:v>3846.9838932417979</c:v>
                </c:pt>
                <c:pt idx="4">
                  <c:v>3921.8704772803512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3900.4731001851101</c:v>
                </c:pt>
                <c:pt idx="94">
                  <c:v>3798.3545171396131</c:v>
                </c:pt>
                <c:pt idx="95">
                  <c:v>3708.4102723647184</c:v>
                </c:pt>
                <c:pt idx="96">
                  <c:v>3630.1959414830289</c:v>
                </c:pt>
                <c:pt idx="97">
                  <c:v>3563.404754546722</c:v>
                </c:pt>
                <c:pt idx="98">
                  <c:v>3507.8457155310325</c:v>
                </c:pt>
                <c:pt idx="99">
                  <c:v>3463.4239879034712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93-41DD-A637-A280AECB4BFA}"/>
            </c:ext>
          </c:extLst>
        </c:ser>
        <c:ser>
          <c:idx val="66"/>
          <c:order val="66"/>
          <c:tx>
            <c:strRef>
              <c:f>KPlot!$EP$69</c:f>
              <c:strCache>
                <c:ptCount val="1"/>
                <c:pt idx="0">
                  <c:v>1y 207d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KPlot!$AT$69:$EO$69</c:f>
              <c:numCache>
                <c:formatCode>0</c:formatCode>
                <c:ptCount val="100"/>
                <c:pt idx="0">
                  <c:v>3650.9987006952952</c:v>
                </c:pt>
                <c:pt idx="1">
                  <c:v>3690.3208393865343</c:v>
                </c:pt>
                <c:pt idx="2">
                  <c:v>3738.2395912551892</c:v>
                </c:pt>
                <c:pt idx="3">
                  <c:v>3794.9695665150398</c:v>
                </c:pt>
                <c:pt idx="4">
                  <c:v>3860.7344971989914</c:v>
                </c:pt>
                <c:pt idx="5">
                  <c:v>3935.7511759849367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3935.4493808093939</c:v>
                </c:pt>
                <c:pt idx="95">
                  <c:v>3826.4442382443635</c:v>
                </c:pt>
                <c:pt idx="96">
                  <c:v>3730.5629417000741</c:v>
                </c:pt>
                <c:pt idx="97">
                  <c:v>3647.3332872197443</c:v>
                </c:pt>
                <c:pt idx="98">
                  <c:v>3576.4233389669498</c:v>
                </c:pt>
                <c:pt idx="99">
                  <c:v>3517.6180356873651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93-41DD-A637-A280AECB4BFA}"/>
            </c:ext>
          </c:extLst>
        </c:ser>
        <c:ser>
          <c:idx val="67"/>
          <c:order val="67"/>
          <c:tx>
            <c:strRef>
              <c:f>KPlot!$EP$70</c:f>
              <c:strCache>
                <c:ptCount val="1"/>
                <c:pt idx="0">
                  <c:v>1y 215d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KPlot!$AT$70:$EO$70</c:f>
              <c:numCache>
                <c:formatCode>0</c:formatCode>
                <c:ptCount val="100"/>
                <c:pt idx="0">
                  <c:v>3637.56355257515</c:v>
                </c:pt>
                <c:pt idx="1">
                  <c:v>3666.174891286224</c:v>
                </c:pt>
                <c:pt idx="2">
                  <c:v>3703.8273755976716</c:v>
                </c:pt>
                <c:pt idx="3">
                  <c:v>3750.721425909891</c:v>
                </c:pt>
                <c:pt idx="4">
                  <c:v>3807.0553482985169</c:v>
                </c:pt>
                <c:pt idx="5">
                  <c:v>3873.0304073651532</c:v>
                </c:pt>
                <c:pt idx="6">
                  <c:v>3948.8358983661728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3960.9774218929279</c:v>
                </c:pt>
                <c:pt idx="96">
                  <c:v>3845.8533213844894</c:v>
                </c:pt>
                <c:pt idx="97">
                  <c:v>3744.8324867754959</c:v>
                </c:pt>
                <c:pt idx="98">
                  <c:v>3657.4077153835124</c:v>
                </c:pt>
                <c:pt idx="99">
                  <c:v>3583.2148496809004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93-41DD-A637-A280AECB4BFA}"/>
            </c:ext>
          </c:extLst>
        </c:ser>
        <c:ser>
          <c:idx val="68"/>
          <c:order val="68"/>
          <c:tx>
            <c:strRef>
              <c:f>KPlot!$EP$71</c:f>
              <c:strCache>
                <c:ptCount val="1"/>
                <c:pt idx="0">
                  <c:v>1y 223d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KPlot!$AT$71:$EO$71</c:f>
              <c:numCache>
                <c:formatCode>0</c:formatCode>
                <c:ptCount val="100"/>
                <c:pt idx="0">
                  <c:v>3633.4987610882022</c:v>
                </c:pt>
                <c:pt idx="1">
                  <c:v>3650.9003536418968</c:v>
                </c:pt>
                <c:pt idx="2">
                  <c:v>3677.8453442979589</c:v>
                </c:pt>
                <c:pt idx="3">
                  <c:v>3714.5049290359048</c:v>
                </c:pt>
                <c:pt idx="4">
                  <c:v>3761.0585069638564</c:v>
                </c:pt>
                <c:pt idx="5">
                  <c:v>3817.6785733827919</c:v>
                </c:pt>
                <c:pt idx="6">
                  <c:v>3884.5349638785019</c:v>
                </c:pt>
                <c:pt idx="7">
                  <c:v>3961.7812186717547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3977.3346453545605</c:v>
                </c:pt>
                <c:pt idx="97">
                  <c:v>3856.9778313701026</c:v>
                </c:pt>
                <c:pt idx="98">
                  <c:v>3751.7137069140781</c:v>
                </c:pt>
                <c:pt idx="99">
                  <c:v>3660.9945691649455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93-41DD-A637-A280AECB4BFA}"/>
            </c:ext>
          </c:extLst>
        </c:ser>
        <c:ser>
          <c:idx val="69"/>
          <c:order val="69"/>
          <c:tx>
            <c:strRef>
              <c:f>KPlot!$EP$72</c:f>
              <c:strCache>
                <c:ptCount val="1"/>
                <c:pt idx="0">
                  <c:v>1y 232d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KPlot!$AT$72:$EO$72</c:f>
              <c:numCache>
                <c:formatCode>0</c:formatCode>
                <c:ptCount val="100"/>
                <c:pt idx="0">
                  <c:v>3639.2731719589947</c:v>
                </c:pt>
                <c:pt idx="1">
                  <c:v>3644.900233580971</c:v>
                </c:pt>
                <c:pt idx="2">
                  <c:v>3660.6369629356022</c:v>
                </c:pt>
                <c:pt idx="3">
                  <c:v>3686.6189056431076</c:v>
                </c:pt>
                <c:pt idx="4">
                  <c:v>3722.9941242737673</c:v>
                </c:pt>
                <c:pt idx="5">
                  <c:v>3769.9059766246401</c:v>
                </c:pt>
                <c:pt idx="6">
                  <c:v>3827.4981136737624</c:v>
                </c:pt>
                <c:pt idx="7">
                  <c:v>3895.8989556625293</c:v>
                </c:pt>
                <c:pt idx="8">
                  <c:v>3975.2190040282294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3984.9878768571257</c:v>
                </c:pt>
                <c:pt idx="98">
                  <c:v>3860.3758480763445</c:v>
                </c:pt>
                <c:pt idx="99">
                  <c:v>3751.8379685006548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93-41DD-A637-A280AECB4BFA}"/>
            </c:ext>
          </c:extLst>
        </c:ser>
        <c:ser>
          <c:idx val="70"/>
          <c:order val="70"/>
          <c:tx>
            <c:strRef>
              <c:f>KPlot!$EP$73</c:f>
              <c:strCache>
                <c:ptCount val="1"/>
                <c:pt idx="0">
                  <c:v>1y 240d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KPlot!$AT$73:$EO$73</c:f>
              <c:numCache>
                <c:formatCode>0</c:formatCode>
                <c:ptCount val="100"/>
                <c:pt idx="0">
                  <c:v>3655.4008847591572</c:v>
                </c:pt>
                <c:pt idx="1">
                  <c:v>3648.6168047429569</c:v>
                </c:pt>
                <c:pt idx="2">
                  <c:v>3652.582131532321</c:v>
                </c:pt>
                <c:pt idx="3">
                  <c:v>3667.3869531535829</c:v>
                </c:pt>
                <c:pt idx="4">
                  <c:v>3693.1375757495448</c:v>
                </c:pt>
                <c:pt idx="5">
                  <c:v>3729.947803368972</c:v>
                </c:pt>
                <c:pt idx="6">
                  <c:v>3777.9228116756099</c:v>
                </c:pt>
                <c:pt idx="7">
                  <c:v>3837.1632154714353</c:v>
                </c:pt>
                <c:pt idx="8">
                  <c:v>3907.7510571380594</c:v>
                </c:pt>
                <c:pt idx="9">
                  <c:v>3989.7476012498246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3984.5699400334856</c:v>
                </c:pt>
                <c:pt idx="99">
                  <c:v>3856.7444107240281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93-41DD-A637-A280AECB4BFA}"/>
            </c:ext>
          </c:extLst>
        </c:ser>
        <c:ser>
          <c:idx val="71"/>
          <c:order val="71"/>
          <c:tx>
            <c:strRef>
              <c:f>KPlot!$EP$74</c:f>
              <c:strCache>
                <c:ptCount val="1"/>
                <c:pt idx="0">
                  <c:v>1y 248d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KPlot!$AT$74:$EO$74</c:f>
              <c:numCache>
                <c:formatCode>0</c:formatCode>
                <c:ptCount val="100"/>
                <c:pt idx="0">
                  <c:v>3682.447533574561</c:v>
                </c:pt>
                <c:pt idx="1">
                  <c:v>3662.5368968038747</c:v>
                </c:pt>
                <c:pt idx="2">
                  <c:v>3654.0996602491005</c:v>
                </c:pt>
                <c:pt idx="3">
                  <c:v>3657.1688411174437</c:v>
                </c:pt>
                <c:pt idx="4">
                  <c:v>3671.8011274992305</c:v>
                </c:pt>
                <c:pt idx="5">
                  <c:v>3698.0669077248931</c:v>
                </c:pt>
                <c:pt idx="6">
                  <c:v>3736.031768946892</c:v>
                </c:pt>
                <c:pt idx="7">
                  <c:v>3785.7609494583348</c:v>
                </c:pt>
                <c:pt idx="8">
                  <c:v>3847.3032606380802</c:v>
                </c:pt>
                <c:pt idx="9">
                  <c:v>3920.6883939295412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3976.8533080309653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A293-41DD-A637-A280AECB4BFA}"/>
            </c:ext>
          </c:extLst>
        </c:ser>
        <c:ser>
          <c:idx val="72"/>
          <c:order val="72"/>
          <c:tx>
            <c:strRef>
              <c:f>KPlot!$EP$75</c:f>
              <c:strCache>
                <c:ptCount val="1"/>
                <c:pt idx="0">
                  <c:v>1y 256d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KPlot!$AT$75:$EO$75</c:f>
              <c:numCache>
                <c:formatCode>0</c:formatCode>
                <c:ptCount val="100"/>
                <c:pt idx="0">
                  <c:v>3721.037961174442</c:v>
                </c:pt>
                <c:pt idx="1">
                  <c:v>3687.1982791410228</c:v>
                </c:pt>
                <c:pt idx="2">
                  <c:v>3665.652640519017</c:v>
                </c:pt>
                <c:pt idx="3">
                  <c:v>3656.363234655887</c:v>
                </c:pt>
                <c:pt idx="4">
                  <c:v>3659.3256106258773</c:v>
                </c:pt>
                <c:pt idx="5">
                  <c:v>3674.5549471085451</c:v>
                </c:pt>
                <c:pt idx="6">
                  <c:v>3702.0757988936957</c:v>
                </c:pt>
                <c:pt idx="7">
                  <c:v>3741.9048406562088</c:v>
                </c:pt>
                <c:pt idx="8">
                  <c:v>3794.0543103726354</c:v>
                </c:pt>
                <c:pt idx="9">
                  <c:v>3858.517666461054</c:v>
                </c:pt>
                <c:pt idx="10">
                  <c:v>3935.2674549737799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A293-41DD-A637-A280AECB4BFA}"/>
            </c:ext>
          </c:extLst>
        </c:ser>
        <c:ser>
          <c:idx val="73"/>
          <c:order val="73"/>
          <c:tx>
            <c:strRef>
              <c:f>KPlot!$EP$76</c:f>
              <c:strCache>
                <c:ptCount val="1"/>
                <c:pt idx="0">
                  <c:v>1y 265d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KPlot!$AT$76:$EO$76</c:f>
              <c:numCache>
                <c:formatCode>0</c:formatCode>
                <c:ptCount val="100"/>
                <c:pt idx="0">
                  <c:v>3771.8656974642804</c:v>
                </c:pt>
                <c:pt idx="1">
                  <c:v>3723.1974615343734</c:v>
                </c:pt>
                <c:pt idx="2">
                  <c:v>3687.7549380377477</c:v>
                </c:pt>
                <c:pt idx="3">
                  <c:v>3665.4131562703337</c:v>
                </c:pt>
                <c:pt idx="4">
                  <c:v>3656.0929219139562</c:v>
                </c:pt>
                <c:pt idx="5">
                  <c:v>3659.7448238877141</c:v>
                </c:pt>
                <c:pt idx="6">
                  <c:v>3676.3372149768593</c:v>
                </c:pt>
                <c:pt idx="7">
                  <c:v>3705.8362395819609</c:v>
                </c:pt>
                <c:pt idx="8">
                  <c:v>3748.2092146182044</c:v>
                </c:pt>
                <c:pt idx="9">
                  <c:v>3803.408010311121</c:v>
                </c:pt>
                <c:pt idx="10">
                  <c:v>3871.3661869072121</c:v>
                </c:pt>
                <c:pt idx="11">
                  <c:v>3951.9955822094207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A293-41DD-A637-A280AECB4BFA}"/>
            </c:ext>
          </c:extLst>
        </c:ser>
        <c:ser>
          <c:idx val="74"/>
          <c:order val="74"/>
          <c:tx>
            <c:strRef>
              <c:f>KPlot!$EP$77</c:f>
              <c:strCache>
                <c:ptCount val="1"/>
                <c:pt idx="0">
                  <c:v>1y 273d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KPlot!$AT$77:$EO$77</c:f>
              <c:numCache>
                <c:formatCode>0</c:formatCode>
                <c:ptCount val="100"/>
                <c:pt idx="0">
                  <c:v>3835.7046711058492</c:v>
                </c:pt>
                <c:pt idx="1">
                  <c:v>3771.1992909306559</c:v>
                </c:pt>
                <c:pt idx="2">
                  <c:v>3720.9791137476359</c:v>
                </c:pt>
                <c:pt idx="3">
                  <c:v>3684.8125885233717</c:v>
                </c:pt>
                <c:pt idx="4">
                  <c:v>3662.529679612916</c:v>
                </c:pt>
                <c:pt idx="5">
                  <c:v>3654.0030583178741</c:v>
                </c:pt>
                <c:pt idx="6">
                  <c:v>3659.1317140761703</c:v>
                </c:pt>
                <c:pt idx="7">
                  <c:v>3677.8286492662933</c:v>
                </c:pt>
                <c:pt idx="8">
                  <c:v>3710.0023218477891</c:v>
                </c:pt>
                <c:pt idx="9">
                  <c:v>3755.5589900514387</c:v>
                </c:pt>
                <c:pt idx="10">
                  <c:v>3814.3880603226989</c:v>
                </c:pt>
                <c:pt idx="11">
                  <c:v>3886.3598750800352</c:v>
                </c:pt>
                <c:pt idx="12">
                  <c:v>3971.3232590930666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A293-41DD-A637-A280AECB4BFA}"/>
            </c:ext>
          </c:extLst>
        </c:ser>
        <c:ser>
          <c:idx val="75"/>
          <c:order val="75"/>
          <c:tx>
            <c:strRef>
              <c:f>KPlot!$EP$78</c:f>
              <c:strCache>
                <c:ptCount val="1"/>
                <c:pt idx="0">
                  <c:v>1y 281d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KPlot!$AT$78:$EO$78</c:f>
              <c:numCache>
                <c:formatCode>0</c:formatCode>
                <c:ptCount val="100"/>
                <c:pt idx="0">
                  <c:v>3913.4235816287701</c:v>
                </c:pt>
                <c:pt idx="1">
                  <c:v>3831.9487430359322</c:v>
                </c:pt>
                <c:pt idx="2">
                  <c:v>3765.9661261317606</c:v>
                </c:pt>
                <c:pt idx="3">
                  <c:v>3715.1145086990291</c:v>
                </c:pt>
                <c:pt idx="4">
                  <c:v>3679.1139360570496</c:v>
                </c:pt>
                <c:pt idx="5">
                  <c:v>3657.7434279565073</c:v>
                </c:pt>
                <c:pt idx="6">
                  <c:v>3650.8215815980802</c:v>
                </c:pt>
                <c:pt idx="7">
                  <c:v>3658.1918627211176</c:v>
                </c:pt>
                <c:pt idx="8">
                  <c:v>3679.7009065352204</c:v>
                </c:pt>
                <c:pt idx="9">
                  <c:v>3715.200276588238</c:v>
                </c:pt>
                <c:pt idx="10">
                  <c:v>3764.5292955321738</c:v>
                </c:pt>
                <c:pt idx="11">
                  <c:v>3827.5118320471456</c:v>
                </c:pt>
                <c:pt idx="12">
                  <c:v>3903.9529432663535</c:v>
                </c:pt>
                <c:pt idx="13">
                  <c:v>3993.6373908258815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A293-41DD-A637-A280AECB4BFA}"/>
            </c:ext>
          </c:extLst>
        </c:ser>
        <c:ser>
          <c:idx val="76"/>
          <c:order val="76"/>
          <c:tx>
            <c:strRef>
              <c:f>KPlot!$EP$79</c:f>
              <c:strCache>
                <c:ptCount val="1"/>
                <c:pt idx="0">
                  <c:v>1y 290d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KPlot!$AT$79:$EO$79</c:f>
              <c:numCache>
                <c:formatCode>0</c:formatCode>
                <c:ptCount val="100"/>
                <c:pt idx="0">
                  <c:v>4000</c:v>
                </c:pt>
                <c:pt idx="1">
                  <c:v>3906.2853222367112</c:v>
                </c:pt>
                <c:pt idx="2">
                  <c:v>3823.4371938770983</c:v>
                </c:pt>
                <c:pt idx="3">
                  <c:v>3756.9406901336106</c:v>
                </c:pt>
                <c:pt idx="4">
                  <c:v>3706.3833242818728</c:v>
                </c:pt>
                <c:pt idx="5">
                  <c:v>3671.4318611951421</c:v>
                </c:pt>
                <c:pt idx="6">
                  <c:v>3651.8092388458645</c:v>
                </c:pt>
                <c:pt idx="7">
                  <c:v>3647.2748087187683</c:v>
                </c:pt>
                <c:pt idx="8">
                  <c:v>3657.6094201408905</c:v>
                </c:pt>
                <c:pt idx="9">
                  <c:v>3682.5953498067956</c:v>
                </c:pt>
                <c:pt idx="10">
                  <c:v>3722.0170728281064</c:v>
                </c:pt>
                <c:pt idx="11">
                  <c:v>3775.6463021849213</c:v>
                </c:pt>
                <c:pt idx="12">
                  <c:v>3843.2395321479153</c:v>
                </c:pt>
                <c:pt idx="13">
                  <c:v>3924.5357185056246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A293-41DD-A637-A280AECB4BFA}"/>
            </c:ext>
          </c:extLst>
        </c:ser>
        <c:ser>
          <c:idx val="77"/>
          <c:order val="77"/>
          <c:tx>
            <c:strRef>
              <c:f>KPlot!$EP$80</c:f>
              <c:strCache>
                <c:ptCount val="1"/>
                <c:pt idx="0">
                  <c:v>1y 298d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KPlot!$AT$80:$EO$80</c:f>
              <c:numCache>
                <c:formatCode>0</c:formatCode>
                <c:ptCount val="100"/>
                <c:pt idx="0">
                  <c:v>4000</c:v>
                </c:pt>
                <c:pt idx="1">
                  <c:v>3995.1605304356049</c:v>
                </c:pt>
                <c:pt idx="2">
                  <c:v>3894.2082282890105</c:v>
                </c:pt>
                <c:pt idx="3">
                  <c:v>3810.9936384901739</c:v>
                </c:pt>
                <c:pt idx="4">
                  <c:v>3744.9449616030383</c:v>
                </c:pt>
                <c:pt idx="5">
                  <c:v>3695.5947020478038</c:v>
                </c:pt>
                <c:pt idx="6">
                  <c:v>3662.5521110119766</c:v>
                </c:pt>
                <c:pt idx="7">
                  <c:v>3645.4795720113862</c:v>
                </c:pt>
                <c:pt idx="8">
                  <c:v>3644.0745501651204</c:v>
                </c:pt>
                <c:pt idx="9">
                  <c:v>3658.0458820246395</c:v>
                </c:pt>
                <c:pt idx="10">
                  <c:v>3687.1133709114783</c:v>
                </c:pt>
                <c:pt idx="11">
                  <c:v>3730.9900370651676</c:v>
                </c:pt>
                <c:pt idx="12">
                  <c:v>3789.378365956597</c:v>
                </c:pt>
                <c:pt idx="13">
                  <c:v>3861.9668823230477</c:v>
                </c:pt>
                <c:pt idx="14">
                  <c:v>3948.4288432167796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A293-41DD-A637-A280AECB4BFA}"/>
            </c:ext>
          </c:extLst>
        </c:ser>
        <c:ser>
          <c:idx val="78"/>
          <c:order val="78"/>
          <c:tx>
            <c:strRef>
              <c:f>KPlot!$EP$81</c:f>
              <c:strCache>
                <c:ptCount val="1"/>
                <c:pt idx="0">
                  <c:v>1y 306d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KPlot!$AT$81:$EO$81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3979.207307207178</c:v>
                </c:pt>
                <c:pt idx="3">
                  <c:v>3878.0710755512969</c:v>
                </c:pt>
                <c:pt idx="4">
                  <c:v>3795.4874748801267</c:v>
                </c:pt>
                <c:pt idx="5">
                  <c:v>3730.8287303058551</c:v>
                </c:pt>
                <c:pt idx="6">
                  <c:v>3683.5691038160321</c:v>
                </c:pt>
                <c:pt idx="7">
                  <c:v>3653.2566321189906</c:v>
                </c:pt>
                <c:pt idx="8">
                  <c:v>3639.4912691147269</c:v>
                </c:pt>
                <c:pt idx="9">
                  <c:v>3641.8969490256432</c:v>
                </c:pt>
                <c:pt idx="10">
                  <c:v>3660.1195054376958</c:v>
                </c:pt>
                <c:pt idx="11">
                  <c:v>3693.8056869366624</c:v>
                </c:pt>
                <c:pt idx="12">
                  <c:v>3742.5977264386852</c:v>
                </c:pt>
                <c:pt idx="13">
                  <c:v>3806.1284884458564</c:v>
                </c:pt>
                <c:pt idx="14">
                  <c:v>3884.019147902095</c:v>
                </c:pt>
                <c:pt idx="15">
                  <c:v>3975.8788167130906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A293-41DD-A637-A280AECB4BFA}"/>
            </c:ext>
          </c:extLst>
        </c:ser>
        <c:ser>
          <c:idx val="79"/>
          <c:order val="79"/>
          <c:tx>
            <c:strRef>
              <c:f>KPlot!$EP$82</c:f>
              <c:strCache>
                <c:ptCount val="1"/>
                <c:pt idx="0">
                  <c:v>1y 314d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KPlot!$AT$82:$EO$82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3959.0834584453714</c:v>
                </c:pt>
                <c:pt idx="4">
                  <c:v>3858.7955687178905</c:v>
                </c:pt>
                <c:pt idx="5">
                  <c:v>3777.813304016759</c:v>
                </c:pt>
                <c:pt idx="6">
                  <c:v>3715.4507659081473</c:v>
                </c:pt>
                <c:pt idx="7">
                  <c:v>3671.121110676223</c:v>
                </c:pt>
                <c:pt idx="8">
                  <c:v>3644.3079326420261</c:v>
                </c:pt>
                <c:pt idx="9">
                  <c:v>3634.543254344504</c:v>
                </c:pt>
                <c:pt idx="10">
                  <c:v>3641.3815192053739</c:v>
                </c:pt>
                <c:pt idx="11">
                  <c:v>3664.3965207883912</c:v>
                </c:pt>
                <c:pt idx="12">
                  <c:v>3703.1630158528815</c:v>
                </c:pt>
                <c:pt idx="13">
                  <c:v>3757.2522330834654</c:v>
                </c:pt>
                <c:pt idx="14">
                  <c:v>3826.2282289358373</c:v>
                </c:pt>
                <c:pt idx="15">
                  <c:v>3909.6466013990657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A293-41DD-A637-A280AECB4BFA}"/>
            </c:ext>
          </c:extLst>
        </c:ser>
        <c:ser>
          <c:idx val="80"/>
          <c:order val="80"/>
          <c:tx>
            <c:strRef>
              <c:f>KPlot!$EP$81</c:f>
              <c:strCache>
                <c:ptCount val="1"/>
                <c:pt idx="0">
                  <c:v>1y 306d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KPlot!$AT$83:$EO$83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3935.7676445313336</c:v>
                </c:pt>
                <c:pt idx="5">
                  <c:v>3837.3250584790098</c:v>
                </c:pt>
                <c:pt idx="6">
                  <c:v>3758.8715890227049</c:v>
                </c:pt>
                <c:pt idx="7">
                  <c:v>3699.661242807997</c:v>
                </c:pt>
                <c:pt idx="8">
                  <c:v>3659.0435023258433</c:v>
                </c:pt>
                <c:pt idx="9">
                  <c:v>3636.436596207101</c:v>
                </c:pt>
                <c:pt idx="10">
                  <c:v>3631.2966149493282</c:v>
                </c:pt>
                <c:pt idx="11">
                  <c:v>3643.1120276739839</c:v>
                </c:pt>
                <c:pt idx="12">
                  <c:v>3671.3816888564224</c:v>
                </c:pt>
                <c:pt idx="13">
                  <c:v>3715.6082924664124</c:v>
                </c:pt>
                <c:pt idx="14">
                  <c:v>3775.2930389154453</c:v>
                </c:pt>
                <c:pt idx="15">
                  <c:v>3849.9331422710311</c:v>
                </c:pt>
                <c:pt idx="16">
                  <c:v>3939.0214513347819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A293-41DD-A637-A280AECB4BFA}"/>
            </c:ext>
          </c:extLst>
        </c:ser>
        <c:ser>
          <c:idx val="81"/>
          <c:order val="81"/>
          <c:tx>
            <c:strRef>
              <c:f>KPlot!$EP$84</c:f>
              <c:strCache>
                <c:ptCount val="1"/>
                <c:pt idx="0">
                  <c:v>1y 331d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KPlot!$AT$84:$EO$84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3910.2556929458042</c:v>
                </c:pt>
                <c:pt idx="6">
                  <c:v>3814.604896566133</c:v>
                </c:pt>
                <c:pt idx="7">
                  <c:v>3739.5508869247606</c:v>
                </c:pt>
                <c:pt idx="8">
                  <c:v>3684.2856956653941</c:v>
                </c:pt>
                <c:pt idx="9">
                  <c:v>3648.094856540637</c:v>
                </c:pt>
                <c:pt idx="10">
                  <c:v>3630.320866852604</c:v>
                </c:pt>
                <c:pt idx="11">
                  <c:v>3630.3545971473359</c:v>
                </c:pt>
                <c:pt idx="12">
                  <c:v>3647.6091017519439</c:v>
                </c:pt>
                <c:pt idx="13">
                  <c:v>3681.5105008115179</c:v>
                </c:pt>
                <c:pt idx="14">
                  <c:v>3731.4905283098433</c:v>
                </c:pt>
                <c:pt idx="15">
                  <c:v>3796.9824821705238</c:v>
                </c:pt>
                <c:pt idx="16">
                  <c:v>3877.4197609303988</c:v>
                </c:pt>
                <c:pt idx="17">
                  <c:v>3972.2362148012007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A293-41DD-A637-A280AECB4BFA}"/>
            </c:ext>
          </c:extLst>
        </c:ser>
        <c:ser>
          <c:idx val="82"/>
          <c:order val="82"/>
          <c:tx>
            <c:strRef>
              <c:f>KPlot!$EP$85</c:f>
              <c:strCache>
                <c:ptCount val="1"/>
                <c:pt idx="0">
                  <c:v>1y 339d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KPlot!$AT$85:$EO$85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3997.6335096803587</c:v>
                </c:pt>
                <c:pt idx="6">
                  <c:v>3883.5408781805054</c:v>
                </c:pt>
                <c:pt idx="7">
                  <c:v>3791.564673383059</c:v>
                </c:pt>
                <c:pt idx="8">
                  <c:v>3720.7118530059624</c:v>
                </c:pt>
                <c:pt idx="9">
                  <c:v>3670.110683783711</c:v>
                </c:pt>
                <c:pt idx="10">
                  <c:v>3638.9784997044626</c:v>
                </c:pt>
                <c:pt idx="11">
                  <c:v>3626.5875238695749</c:v>
                </c:pt>
                <c:pt idx="12">
                  <c:v>3632.2554855356757</c:v>
                </c:pt>
                <c:pt idx="13">
                  <c:v>3655.3224891463146</c:v>
                </c:pt>
                <c:pt idx="14">
                  <c:v>3695.1431078173991</c:v>
                </c:pt>
                <c:pt idx="15">
                  <c:v>3751.0803625738822</c:v>
                </c:pt>
                <c:pt idx="16">
                  <c:v>3822.5028415154693</c:v>
                </c:pt>
                <c:pt idx="17">
                  <c:v>3908.7840882337919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A293-41DD-A637-A280AECB4BFA}"/>
            </c:ext>
          </c:extLst>
        </c:ser>
        <c:ser>
          <c:idx val="83"/>
          <c:order val="83"/>
          <c:tx>
            <c:strRef>
              <c:f>KPlot!$EP$86</c:f>
              <c:strCache>
                <c:ptCount val="1"/>
                <c:pt idx="0">
                  <c:v>1y 348d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KPlot!$AT$86:$EO$86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3966.7084713906993</c:v>
                </c:pt>
                <c:pt idx="7">
                  <c:v>3856.5963790960086</c:v>
                </c:pt>
                <c:pt idx="8">
                  <c:v>3769.1024549523218</c:v>
                </c:pt>
                <c:pt idx="9">
                  <c:v>3703.1731280030872</c:v>
                </c:pt>
                <c:pt idx="10">
                  <c:v>3657.8730892271697</c:v>
                </c:pt>
                <c:pt idx="11">
                  <c:v>3632.3446376241518</c:v>
                </c:pt>
                <c:pt idx="12">
                  <c:v>3625.7942990225515</c:v>
                </c:pt>
                <c:pt idx="13">
                  <c:v>3637.4650017906297</c:v>
                </c:pt>
                <c:pt idx="14">
                  <c:v>3666.6251234186552</c:v>
                </c:pt>
                <c:pt idx="15">
                  <c:v>3712.5600128546184</c:v>
                </c:pt>
                <c:pt idx="16">
                  <c:v>3774.5672972773073</c:v>
                </c:pt>
                <c:pt idx="17">
                  <c:v>3851.9549931678343</c:v>
                </c:pt>
                <c:pt idx="18">
                  <c:v>3944.0415264099174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A293-41DD-A637-A280AECB4BFA}"/>
            </c:ext>
          </c:extLst>
        </c:ser>
        <c:ser>
          <c:idx val="84"/>
          <c:order val="84"/>
          <c:tx>
            <c:strRef>
              <c:f>KPlot!$EP$87</c:f>
              <c:strCache>
                <c:ptCount val="1"/>
                <c:pt idx="0">
                  <c:v>1y 356d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KPlot!$AT$87:$EO$87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3935.6812698272352</c:v>
                </c:pt>
                <c:pt idx="8">
                  <c:v>3830.3599412187173</c:v>
                </c:pt>
                <c:pt idx="9">
                  <c:v>3748.0710574156951</c:v>
                </c:pt>
                <c:pt idx="10">
                  <c:v>3687.7011206395773</c:v>
                </c:pt>
                <c:pt idx="11">
                  <c:v>3648.2419295048221</c:v>
                </c:pt>
                <c:pt idx="12">
                  <c:v>3628.7722784408888</c:v>
                </c:pt>
                <c:pt idx="13">
                  <c:v>3628.424660309478</c:v>
                </c:pt>
                <c:pt idx="14">
                  <c:v>3646.3705731094246</c:v>
                </c:pt>
                <c:pt idx="15">
                  <c:v>3681.8090133901123</c:v>
                </c:pt>
                <c:pt idx="16">
                  <c:v>3733.9595056773137</c:v>
                </c:pt>
                <c:pt idx="17">
                  <c:v>3802.0585609242071</c:v>
                </c:pt>
                <c:pt idx="18">
                  <c:v>3885.3585543222589</c:v>
                </c:pt>
                <c:pt idx="19">
                  <c:v>3983.1281315247161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A293-41DD-A637-A280AECB4BFA}"/>
            </c:ext>
          </c:extLst>
        </c:ser>
        <c:ser>
          <c:idx val="85"/>
          <c:order val="85"/>
          <c:tx>
            <c:strRef>
              <c:f>KPlot!$EP$88</c:f>
              <c:strCache>
                <c:ptCount val="1"/>
                <c:pt idx="0">
                  <c:v>1y 364d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KPlot!$AT$88:$EO$88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3905.5316448833919</c:v>
                </c:pt>
                <c:pt idx="9">
                  <c:v>3805.7207082908908</c:v>
                </c:pt>
                <c:pt idx="10">
                  <c:v>3729.2684542642592</c:v>
                </c:pt>
                <c:pt idx="11">
                  <c:v>3674.9916354055622</c:v>
                </c:pt>
                <c:pt idx="12">
                  <c:v>3641.8215748304278</c:v>
                </c:pt>
                <c:pt idx="13">
                  <c:v>3628.764509420992</c:v>
                </c:pt>
                <c:pt idx="14">
                  <c:v>3634.8823510360457</c:v>
                </c:pt>
                <c:pt idx="15">
                  <c:v>3659.2774755805344</c:v>
                </c:pt>
                <c:pt idx="16">
                  <c:v>3701.0829258005469</c:v>
                </c:pt>
                <c:pt idx="17">
                  <c:v>3759.4567744710557</c:v>
                </c:pt>
                <c:pt idx="18">
                  <c:v>3833.5795038946044</c:v>
                </c:pt>
                <c:pt idx="19">
                  <c:v>3922.6533954546412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A293-41DD-A637-A280AECB4BFA}"/>
            </c:ext>
          </c:extLst>
        </c:ser>
        <c:ser>
          <c:idx val="86"/>
          <c:order val="86"/>
          <c:tx>
            <c:strRef>
              <c:f>KPlot!$EP$89</c:f>
              <c:strCache>
                <c:ptCount val="1"/>
                <c:pt idx="0">
                  <c:v>1y 372d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KPlot!$AT$89:$EO$89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3995.8378447225691</c:v>
                </c:pt>
                <c:pt idx="9">
                  <c:v>3877.1873566662634</c:v>
                </c:pt>
                <c:pt idx="10">
                  <c:v>3783.5081643208168</c:v>
                </c:pt>
                <c:pt idx="11">
                  <c:v>3713.4193589396032</c:v>
                </c:pt>
                <c:pt idx="12">
                  <c:v>3665.6744681543814</c:v>
                </c:pt>
                <c:pt idx="13">
                  <c:v>3639.136760329407</c:v>
                </c:pt>
                <c:pt idx="14">
                  <c:v>3632.7433746447427</c:v>
                </c:pt>
                <c:pt idx="15">
                  <c:v>3645.4878428296415</c:v>
                </c:pt>
                <c:pt idx="16">
                  <c:v>3676.4068111233437</c:v>
                </c:pt>
                <c:pt idx="17">
                  <c:v>3724.5717847028254</c:v>
                </c:pt>
                <c:pt idx="18">
                  <c:v>3789.0845877448401</c:v>
                </c:pt>
                <c:pt idx="19">
                  <c:v>3869.0753988748143</c:v>
                </c:pt>
                <c:pt idx="20">
                  <c:v>3963.702387491337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A293-41DD-A637-A280AECB4BFA}"/>
            </c:ext>
          </c:extLst>
        </c:ser>
        <c:ser>
          <c:idx val="87"/>
          <c:order val="87"/>
          <c:tx>
            <c:strRef>
              <c:f>KPlot!$EP$90</c:f>
              <c:strCache>
                <c:ptCount val="1"/>
                <c:pt idx="0">
                  <c:v>1y 381d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KPlot!$AT$90:$EO$90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3963.7143539460449</c:v>
                </c:pt>
                <c:pt idx="10">
                  <c:v>3851.5139082605874</c:v>
                </c:pt>
                <c:pt idx="11">
                  <c:v>3764.4849781168532</c:v>
                </c:pt>
                <c:pt idx="12">
                  <c:v>3701.1812778775538</c:v>
                </c:pt>
                <c:pt idx="13">
                  <c:v>3660.2982523475685</c:v>
                </c:pt>
                <c:pt idx="14">
                  <c:v>3640.6300382516779</c:v>
                </c:pt>
                <c:pt idx="15">
                  <c:v>3641.0466923311424</c:v>
                </c:pt>
                <c:pt idx="16">
                  <c:v>3660.4766515399224</c:v>
                </c:pt>
                <c:pt idx="17">
                  <c:v>3697.8952319420782</c:v>
                </c:pt>
                <c:pt idx="18">
                  <c:v>3752.3176715730606</c:v>
                </c:pt>
                <c:pt idx="19">
                  <c:v>3822.7954103897218</c:v>
                </c:pt>
                <c:pt idx="20">
                  <c:v>3908.414503431482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A293-41DD-A637-A280AECB4BFA}"/>
            </c:ext>
          </c:extLst>
        </c:ser>
        <c:ser>
          <c:idx val="88"/>
          <c:order val="88"/>
          <c:tx>
            <c:strRef>
              <c:f>KPlot!$EP$91</c:f>
              <c:strCache>
                <c:ptCount val="1"/>
                <c:pt idx="0">
                  <c:v>1y 389d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KPlot!$AT$91:$EO$91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3934.5571512724937</c:v>
                </c:pt>
                <c:pt idx="11">
                  <c:v>3829.3082940956283</c:v>
                </c:pt>
                <c:pt idx="12">
                  <c:v>3749.3322658377142</c:v>
                </c:pt>
                <c:pt idx="13">
                  <c:v>3693.1292950876614</c:v>
                </c:pt>
                <c:pt idx="14">
                  <c:v>3659.3285504955684</c:v>
                </c:pt>
                <c:pt idx="15">
                  <c:v>3646.6590129909519</c:v>
                </c:pt>
                <c:pt idx="16">
                  <c:v>3653.9267518643001</c:v>
                </c:pt>
                <c:pt idx="17">
                  <c:v>3679.9994207915443</c:v>
                </c:pt>
                <c:pt idx="18">
                  <c:v>3723.7962867611191</c:v>
                </c:pt>
                <c:pt idx="19">
                  <c:v>3784.2822801585871</c:v>
                </c:pt>
                <c:pt idx="20">
                  <c:v>3860.4648013065544</c:v>
                </c:pt>
                <c:pt idx="21">
                  <c:v>3951.3922408791591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A293-41DD-A637-A280AECB4BFA}"/>
            </c:ext>
          </c:extLst>
        </c:ser>
        <c:ser>
          <c:idx val="89"/>
          <c:order val="89"/>
          <c:tx>
            <c:strRef>
              <c:f>KPlot!$EP$92</c:f>
              <c:strCache>
                <c:ptCount val="1"/>
                <c:pt idx="0">
                  <c:v>1y 397d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KPlot!$AT$92:$EO$92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3909.2006590272513</c:v>
                </c:pt>
                <c:pt idx="12">
                  <c:v>3811.2845608803859</c:v>
                </c:pt>
                <c:pt idx="13">
                  <c:v>3738.6567446308995</c:v>
                </c:pt>
                <c:pt idx="14">
                  <c:v>3689.7548660288735</c:v>
                </c:pt>
                <c:pt idx="15">
                  <c:v>3663.1455585609388</c:v>
                </c:pt>
                <c:pt idx="16">
                  <c:v>3657.4954581115371</c:v>
                </c:pt>
                <c:pt idx="17">
                  <c:v>3671.5507860260759</c:v>
                </c:pt>
                <c:pt idx="18">
                  <c:v>3704.123637050126</c:v>
                </c:pt>
                <c:pt idx="19">
                  <c:v>3754.0832317671084</c:v>
                </c:pt>
                <c:pt idx="20">
                  <c:v>3820.3506622436503</c:v>
                </c:pt>
                <c:pt idx="21">
                  <c:v>3901.8959378889926</c:v>
                </c:pt>
                <c:pt idx="22">
                  <c:v>3997.7363695355789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A293-41DD-A637-A280AECB4BFA}"/>
            </c:ext>
          </c:extLst>
        </c:ser>
        <c:ser>
          <c:idx val="90"/>
          <c:order val="90"/>
          <c:tx>
            <c:strRef>
              <c:f>KPlot!$EP$93</c:f>
              <c:strCache>
                <c:ptCount val="1"/>
                <c:pt idx="0">
                  <c:v>1y 405d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KPlot!$AT$93:$EO$93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3888.3954406596381</c:v>
                </c:pt>
                <c:pt idx="13">
                  <c:v>3798.0824225565448</c:v>
                </c:pt>
                <c:pt idx="14">
                  <c:v>3732.9791292783502</c:v>
                </c:pt>
                <c:pt idx="15">
                  <c:v>3691.4640405820069</c:v>
                </c:pt>
                <c:pt idx="16">
                  <c:v>3672.0436774706386</c:v>
                </c:pt>
                <c:pt idx="17">
                  <c:v>3673.3262007812627</c:v>
                </c:pt>
                <c:pt idx="18">
                  <c:v>3694.0030704367664</c:v>
                </c:pt>
                <c:pt idx="19">
                  <c:v>3732.8368059742043</c:v>
                </c:pt>
                <c:pt idx="20">
                  <c:v>3788.6531287601929</c:v>
                </c:pt>
                <c:pt idx="21">
                  <c:v>3860.3360959860838</c:v>
                </c:pt>
                <c:pt idx="22">
                  <c:v>3946.825124290167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A293-41DD-A637-A280AECB4BFA}"/>
            </c:ext>
          </c:extLst>
        </c:ser>
        <c:ser>
          <c:idx val="91"/>
          <c:order val="91"/>
          <c:tx>
            <c:strRef>
              <c:f>KPlot!$EP$94</c:f>
              <c:strCache>
                <c:ptCount val="1"/>
                <c:pt idx="0">
                  <c:v>1y 414d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KPlot!$AT$94:$EO$94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3982.2637055110608</c:v>
                </c:pt>
                <c:pt idx="13">
                  <c:v>3872.818323410308</c:v>
                </c:pt>
                <c:pt idx="14">
                  <c:v>3790.25582756928</c:v>
                </c:pt>
                <c:pt idx="15">
                  <c:v>3732.7351509507375</c:v>
                </c:pt>
                <c:pt idx="16">
                  <c:v>3698.5775174009073</c:v>
                </c:pt>
                <c:pt idx="17">
                  <c:v>3686.2328249748011</c:v>
                </c:pt>
                <c:pt idx="18">
                  <c:v>3694.2556112067605</c:v>
                </c:pt>
                <c:pt idx="19">
                  <c:v>3721.2884635916198</c:v>
                </c:pt>
                <c:pt idx="20">
                  <c:v>3766.0508951615875</c:v>
                </c:pt>
                <c:pt idx="21">
                  <c:v>3827.3320445009713</c:v>
                </c:pt>
                <c:pt idx="22">
                  <c:v>3903.9859162420089</c:v>
                </c:pt>
                <c:pt idx="23">
                  <c:v>3994.9281624561454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A293-41DD-A637-A280AECB4BFA}"/>
            </c:ext>
          </c:extLst>
        </c:ser>
        <c:ser>
          <c:idx val="92"/>
          <c:order val="92"/>
          <c:tx>
            <c:strRef>
              <c:f>KPlot!$EP$95</c:f>
              <c:strCache>
                <c:ptCount val="1"/>
                <c:pt idx="0">
                  <c:v>1y 422d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KPlot!$AT$95:$EO$95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3964.530497861731</c:v>
                </c:pt>
                <c:pt idx="14">
                  <c:v>3863.0612220446965</c:v>
                </c:pt>
                <c:pt idx="15">
                  <c:v>3788.2747095514133</c:v>
                </c:pt>
                <c:pt idx="16">
                  <c:v>3738.2761137518114</c:v>
                </c:pt>
                <c:pt idx="17">
                  <c:v>3711.3323868219418</c:v>
                </c:pt>
                <c:pt idx="18">
                  <c:v>3705.8413068318755</c:v>
                </c:pt>
                <c:pt idx="19">
                  <c:v>3720.3094892374893</c:v>
                </c:pt>
                <c:pt idx="20">
                  <c:v>3753.3371698518577</c:v>
                </c:pt>
                <c:pt idx="21">
                  <c:v>3803.6078339511032</c:v>
                </c:pt>
                <c:pt idx="22">
                  <c:v>3869.8811672804782</c:v>
                </c:pt>
                <c:pt idx="23">
                  <c:v>3950.9881625811086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A293-41DD-A637-A280AECB4BFA}"/>
            </c:ext>
          </c:extLst>
        </c:ser>
        <c:ser>
          <c:idx val="93"/>
          <c:order val="93"/>
          <c:tx>
            <c:strRef>
              <c:f>KPlot!$EP$96</c:f>
              <c:strCache>
                <c:ptCount val="1"/>
                <c:pt idx="0">
                  <c:v>2y 4d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KPlot!$AT$96:$EO$96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3953.1401141688775</c:v>
                </c:pt>
                <c:pt idx="15">
                  <c:v>3859.6336416407789</c:v>
                </c:pt>
                <c:pt idx="16">
                  <c:v>3792.526051824666</c:v>
                </c:pt>
                <c:pt idx="17">
                  <c:v>3749.8710558178582</c:v>
                </c:pt>
                <c:pt idx="18">
                  <c:v>3729.8853562420481</c:v>
                </c:pt>
                <c:pt idx="19">
                  <c:v>3730.9200114279665</c:v>
                </c:pt>
                <c:pt idx="20">
                  <c:v>3751.4401003488715</c:v>
                </c:pt>
                <c:pt idx="21">
                  <c:v>3790.0104850154057</c:v>
                </c:pt>
                <c:pt idx="22">
                  <c:v>3845.2858551066111</c:v>
                </c:pt>
                <c:pt idx="23">
                  <c:v>3916.0036652131976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A293-41DD-A637-A280AECB4BFA}"/>
            </c:ext>
          </c:extLst>
        </c:ser>
        <c:ser>
          <c:idx val="94"/>
          <c:order val="94"/>
          <c:tx>
            <c:strRef>
              <c:f>KPlot!$EP$97</c:f>
              <c:strCache>
                <c:ptCount val="1"/>
                <c:pt idx="0">
                  <c:v>2y 13d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KPlot!$AT$97:$EO$97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3948.6480324517643</c:v>
                </c:pt>
                <c:pt idx="16">
                  <c:v>3862.9642351776638</c:v>
                </c:pt>
                <c:pt idx="17">
                  <c:v>3803.3164300089566</c:v>
                </c:pt>
                <c:pt idx="18">
                  <c:v>3767.7102741736353</c:v>
                </c:pt>
                <c:pt idx="19">
                  <c:v>3754.3171842627025</c:v>
                </c:pt>
                <c:pt idx="20">
                  <c:v>3761.4476397426556</c:v>
                </c:pt>
                <c:pt idx="21">
                  <c:v>3787.5320792826851</c:v>
                </c:pt>
                <c:pt idx="22">
                  <c:v>3831.1072678784049</c:v>
                </c:pt>
                <c:pt idx="23">
                  <c:v>3890.8064616412994</c:v>
                </c:pt>
                <c:pt idx="24">
                  <c:v>3965.3521187365459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A293-41DD-A637-A280AECB4BFA}"/>
            </c:ext>
          </c:extLst>
        </c:ser>
        <c:ser>
          <c:idx val="95"/>
          <c:order val="95"/>
          <c:tx>
            <c:strRef>
              <c:f>KPlot!$EP$98</c:f>
              <c:strCache>
                <c:ptCount val="1"/>
                <c:pt idx="0">
                  <c:v>2y 21d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KPlot!$AT$98:$EO$98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3951.5316588798887</c:v>
                </c:pt>
                <c:pt idx="17">
                  <c:v>3873.4036563494838</c:v>
                </c:pt>
                <c:pt idx="18">
                  <c:v>3820.8757433356277</c:v>
                </c:pt>
                <c:pt idx="19">
                  <c:v>3791.9098883204401</c:v>
                </c:pt>
                <c:pt idx="20">
                  <c:v>3784.6379817691704</c:v>
                </c:pt>
                <c:pt idx="21">
                  <c:v>3797.3366341809924</c:v>
                </c:pt>
                <c:pt idx="22">
                  <c:v>3828.4088902442063</c:v>
                </c:pt>
                <c:pt idx="23">
                  <c:v>3876.3708672781213</c:v>
                </c:pt>
                <c:pt idx="24">
                  <c:v>3939.8417980614131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A293-41DD-A637-A280AECB4BFA}"/>
            </c:ext>
          </c:extLst>
        </c:ser>
        <c:ser>
          <c:idx val="96"/>
          <c:order val="96"/>
          <c:tx>
            <c:strRef>
              <c:f>KPlot!$EP$99</c:f>
              <c:strCache>
                <c:ptCount val="1"/>
                <c:pt idx="0">
                  <c:v>2y 29d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KPlot!$AT$99:$EO$99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3962.1933692947018</c:v>
                </c:pt>
                <c:pt idx="18">
                  <c:v>3891.2283501798138</c:v>
                </c:pt>
                <c:pt idx="19">
                  <c:v>3845.3617398733286</c:v>
                </c:pt>
                <c:pt idx="20">
                  <c:v>3822.5170292225343</c:v>
                </c:pt>
                <c:pt idx="21">
                  <c:v>3820.7929714496995</c:v>
                </c:pt>
                <c:pt idx="22">
                  <c:v>3838.4394241956443</c:v>
                </c:pt>
                <c:pt idx="23">
                  <c:v>3873.8395040542905</c:v>
                </c:pt>
                <c:pt idx="24">
                  <c:v>3925.4962166346504</c:v>
                </c:pt>
                <c:pt idx="25">
                  <c:v>3992.022191174653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A293-41DD-A637-A280AECB4BFA}"/>
            </c:ext>
          </c:extLst>
        </c:ser>
        <c:ser>
          <c:idx val="97"/>
          <c:order val="97"/>
          <c:tx>
            <c:strRef>
              <c:f>KPlot!$EP$100</c:f>
              <c:strCache>
                <c:ptCount val="1"/>
                <c:pt idx="0">
                  <c:v>2y 37d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KPlot!$AT$100:$EO$100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3980.9641356039647</c:v>
                </c:pt>
                <c:pt idx="19">
                  <c:v>3916.6447921690451</c:v>
                </c:pt>
                <c:pt idx="20">
                  <c:v>3876.8648277439024</c:v>
                </c:pt>
                <c:pt idx="21">
                  <c:v>3859.5151514979179</c:v>
                </c:pt>
                <c:pt idx="22">
                  <c:v>3862.6682325396951</c:v>
                </c:pt>
                <c:pt idx="23">
                  <c:v>3884.5545617341959</c:v>
                </c:pt>
                <c:pt idx="24">
                  <c:v>3923.5449209261592</c:v>
                </c:pt>
                <c:pt idx="25">
                  <c:v>3978.1367813729976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A293-41DD-A637-A280AECB4BFA}"/>
            </c:ext>
          </c:extLst>
        </c:ser>
        <c:ser>
          <c:idx val="98"/>
          <c:order val="98"/>
          <c:tx>
            <c:strRef>
              <c:f>KPlot!$EP$101</c:f>
              <c:strCache>
                <c:ptCount val="1"/>
                <c:pt idx="0">
                  <c:v>2y 46d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KPlot!$AT$101:$EO$101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3949.7935440297042</c:v>
                </c:pt>
                <c:pt idx="21">
                  <c:v>3915.4125497481323</c:v>
                </c:pt>
                <c:pt idx="22">
                  <c:v>3902.8288804843214</c:v>
                </c:pt>
                <c:pt idx="23">
                  <c:v>3910.0958955286642</c:v>
                </c:pt>
                <c:pt idx="24">
                  <c:v>3935.4322743249986</c:v>
                </c:pt>
                <c:pt idx="25">
                  <c:v>3977.20413057417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A293-41DD-A637-A280AECB4BFA}"/>
            </c:ext>
          </c:extLst>
        </c:ser>
        <c:ser>
          <c:idx val="99"/>
          <c:order val="99"/>
          <c:tx>
            <c:strRef>
              <c:f>KPlot!$EP$102</c:f>
              <c:strCache>
                <c:ptCount val="1"/>
                <c:pt idx="0">
                  <c:v>2y 54d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y8 d220</c:v>
                </c:pt>
                <c:pt idx="1">
                  <c:v>y8 d229</c:v>
                </c:pt>
                <c:pt idx="2">
                  <c:v>y8 d237</c:v>
                </c:pt>
                <c:pt idx="3">
                  <c:v>y8 d246</c:v>
                </c:pt>
                <c:pt idx="4">
                  <c:v>y8 d254</c:v>
                </c:pt>
                <c:pt idx="5">
                  <c:v>y8 d263</c:v>
                </c:pt>
                <c:pt idx="6">
                  <c:v>y8 d272</c:v>
                </c:pt>
                <c:pt idx="7">
                  <c:v>y8 d280</c:v>
                </c:pt>
                <c:pt idx="8">
                  <c:v>y8 d289</c:v>
                </c:pt>
                <c:pt idx="9">
                  <c:v>y8 d297</c:v>
                </c:pt>
                <c:pt idx="10">
                  <c:v>y8 d306</c:v>
                </c:pt>
                <c:pt idx="11">
                  <c:v>y8 d315</c:v>
                </c:pt>
                <c:pt idx="12">
                  <c:v>y8 d323</c:v>
                </c:pt>
                <c:pt idx="13">
                  <c:v>y8 d332</c:v>
                </c:pt>
                <c:pt idx="14">
                  <c:v>y8 d341</c:v>
                </c:pt>
                <c:pt idx="15">
                  <c:v>y8 d349</c:v>
                </c:pt>
                <c:pt idx="16">
                  <c:v>y8 d358</c:v>
                </c:pt>
                <c:pt idx="17">
                  <c:v>y8 d366</c:v>
                </c:pt>
                <c:pt idx="18">
                  <c:v>y8 d375</c:v>
                </c:pt>
                <c:pt idx="19">
                  <c:v>y8 d384</c:v>
                </c:pt>
                <c:pt idx="20">
                  <c:v>y8 d392</c:v>
                </c:pt>
                <c:pt idx="21">
                  <c:v>y8 d401</c:v>
                </c:pt>
                <c:pt idx="22">
                  <c:v>y8 d409</c:v>
                </c:pt>
                <c:pt idx="23">
                  <c:v>y8 d418</c:v>
                </c:pt>
                <c:pt idx="24">
                  <c:v>y8 d427</c:v>
                </c:pt>
                <c:pt idx="25">
                  <c:v>y9 d9</c:v>
                </c:pt>
                <c:pt idx="26">
                  <c:v>y9 d18</c:v>
                </c:pt>
                <c:pt idx="27">
                  <c:v>y9 d26</c:v>
                </c:pt>
                <c:pt idx="28">
                  <c:v>y9 d35</c:v>
                </c:pt>
                <c:pt idx="29">
                  <c:v>y9 d44</c:v>
                </c:pt>
                <c:pt idx="30">
                  <c:v>y9 d52</c:v>
                </c:pt>
                <c:pt idx="31">
                  <c:v>y9 d61</c:v>
                </c:pt>
                <c:pt idx="32">
                  <c:v>y9 d69</c:v>
                </c:pt>
                <c:pt idx="33">
                  <c:v>y9 d78</c:v>
                </c:pt>
                <c:pt idx="34">
                  <c:v>y9 d87</c:v>
                </c:pt>
                <c:pt idx="35">
                  <c:v>y9 d95</c:v>
                </c:pt>
                <c:pt idx="36">
                  <c:v>y9 d104</c:v>
                </c:pt>
                <c:pt idx="37">
                  <c:v>y9 d112</c:v>
                </c:pt>
                <c:pt idx="38">
                  <c:v>y9 d121</c:v>
                </c:pt>
                <c:pt idx="39">
                  <c:v>y9 d130</c:v>
                </c:pt>
                <c:pt idx="40">
                  <c:v>y9 d138</c:v>
                </c:pt>
                <c:pt idx="41">
                  <c:v>y9 d147</c:v>
                </c:pt>
                <c:pt idx="42">
                  <c:v>y9 d155</c:v>
                </c:pt>
                <c:pt idx="43">
                  <c:v>y9 d164</c:v>
                </c:pt>
                <c:pt idx="44">
                  <c:v>y9 d173</c:v>
                </c:pt>
                <c:pt idx="45">
                  <c:v>y9 d181</c:v>
                </c:pt>
                <c:pt idx="46">
                  <c:v>y9 d190</c:v>
                </c:pt>
                <c:pt idx="47">
                  <c:v>y9 d198</c:v>
                </c:pt>
                <c:pt idx="48">
                  <c:v>y9 d207</c:v>
                </c:pt>
                <c:pt idx="49">
                  <c:v>y9 d216</c:v>
                </c:pt>
                <c:pt idx="50">
                  <c:v>y9 d224</c:v>
                </c:pt>
                <c:pt idx="51">
                  <c:v>y9 d233</c:v>
                </c:pt>
                <c:pt idx="52">
                  <c:v>y9 d242</c:v>
                </c:pt>
                <c:pt idx="53">
                  <c:v>y9 d250</c:v>
                </c:pt>
                <c:pt idx="54">
                  <c:v>y9 d259</c:v>
                </c:pt>
                <c:pt idx="55">
                  <c:v>y9 d267</c:v>
                </c:pt>
                <c:pt idx="56">
                  <c:v>y9 d276</c:v>
                </c:pt>
                <c:pt idx="57">
                  <c:v>y9 d285</c:v>
                </c:pt>
                <c:pt idx="58">
                  <c:v>y9 d293</c:v>
                </c:pt>
                <c:pt idx="59">
                  <c:v>y9 d302</c:v>
                </c:pt>
                <c:pt idx="60">
                  <c:v>y9 d310</c:v>
                </c:pt>
                <c:pt idx="61">
                  <c:v>y9 d319</c:v>
                </c:pt>
                <c:pt idx="62">
                  <c:v>y9 d328</c:v>
                </c:pt>
                <c:pt idx="63">
                  <c:v>y9 d336</c:v>
                </c:pt>
                <c:pt idx="64">
                  <c:v>y9 d345</c:v>
                </c:pt>
                <c:pt idx="65">
                  <c:v>y9 d353</c:v>
                </c:pt>
                <c:pt idx="66">
                  <c:v>y9 d362</c:v>
                </c:pt>
                <c:pt idx="67">
                  <c:v>y9 d371</c:v>
                </c:pt>
                <c:pt idx="68">
                  <c:v>y9 d379</c:v>
                </c:pt>
                <c:pt idx="69">
                  <c:v>y9 d388</c:v>
                </c:pt>
                <c:pt idx="70">
                  <c:v>y9 d396</c:v>
                </c:pt>
                <c:pt idx="71">
                  <c:v>y9 d405</c:v>
                </c:pt>
                <c:pt idx="72">
                  <c:v>y9 d414</c:v>
                </c:pt>
                <c:pt idx="73">
                  <c:v>y9 d422</c:v>
                </c:pt>
                <c:pt idx="74">
                  <c:v>y10 d5</c:v>
                </c:pt>
                <c:pt idx="75">
                  <c:v>y10 d13</c:v>
                </c:pt>
                <c:pt idx="76">
                  <c:v>y10 d22</c:v>
                </c:pt>
                <c:pt idx="77">
                  <c:v>y10 d31</c:v>
                </c:pt>
                <c:pt idx="78">
                  <c:v>y10 d39</c:v>
                </c:pt>
                <c:pt idx="79">
                  <c:v>y10 d48</c:v>
                </c:pt>
                <c:pt idx="80">
                  <c:v>y10 d56</c:v>
                </c:pt>
                <c:pt idx="81">
                  <c:v>y10 d65</c:v>
                </c:pt>
                <c:pt idx="82">
                  <c:v>y10 d74</c:v>
                </c:pt>
                <c:pt idx="83">
                  <c:v>y10 d82</c:v>
                </c:pt>
                <c:pt idx="84">
                  <c:v>y10 d91</c:v>
                </c:pt>
                <c:pt idx="85">
                  <c:v>y10 d99</c:v>
                </c:pt>
                <c:pt idx="86">
                  <c:v>y10 d108</c:v>
                </c:pt>
                <c:pt idx="87">
                  <c:v>y10 d117</c:v>
                </c:pt>
                <c:pt idx="88">
                  <c:v>y10 d125</c:v>
                </c:pt>
                <c:pt idx="89">
                  <c:v>y10 d134</c:v>
                </c:pt>
                <c:pt idx="90">
                  <c:v>y10 d143</c:v>
                </c:pt>
                <c:pt idx="91">
                  <c:v>y10 d151</c:v>
                </c:pt>
                <c:pt idx="92">
                  <c:v>y10 d160</c:v>
                </c:pt>
                <c:pt idx="93">
                  <c:v>y10 d168</c:v>
                </c:pt>
                <c:pt idx="94">
                  <c:v>y10 d177</c:v>
                </c:pt>
                <c:pt idx="95">
                  <c:v>y10 d186</c:v>
                </c:pt>
                <c:pt idx="96">
                  <c:v>y10 d194</c:v>
                </c:pt>
                <c:pt idx="97">
                  <c:v>y10 d203</c:v>
                </c:pt>
                <c:pt idx="98">
                  <c:v>y10 d211</c:v>
                </c:pt>
                <c:pt idx="99">
                  <c:v>y10 d220</c:v>
                </c:pt>
              </c:strCache>
            </c:strRef>
          </c:cat>
          <c:val>
            <c:numRef>
              <c:f>KPlot!$AT$102:$EO$102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3990.7523511402806</c:v>
                </c:pt>
                <c:pt idx="22">
                  <c:v>3960.972990633154</c:v>
                </c:pt>
                <c:pt idx="23">
                  <c:v>3952.3277280199854</c:v>
                </c:pt>
                <c:pt idx="24">
                  <c:v>3962.8581962548592</c:v>
                </c:pt>
                <c:pt idx="25">
                  <c:v>3990.7789215886401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A293-41DD-A637-A280AECB4BF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765226544"/>
        <c:axId val="1767989376"/>
        <c:axId val="1726672432"/>
      </c:surfaceChart>
      <c:catAx>
        <c:axId val="176522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Launch Date (Kerbal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  <c:auto val="1"/>
        <c:lblAlgn val="ctr"/>
        <c:lblOffset val="100"/>
        <c:noMultiLvlLbl val="0"/>
      </c:catAx>
      <c:valAx>
        <c:axId val="176798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En Route (Kerbal Time)</a:t>
                </a:r>
              </a:p>
            </c:rich>
          </c:tx>
          <c:layout>
            <c:manualLayout>
              <c:xMode val="edge"/>
              <c:yMode val="edge"/>
              <c:x val="0.89619528902170809"/>
              <c:y val="0.33860897690818953"/>
            </c:manualLayout>
          </c:layout>
          <c:overlay val="0"/>
        </c:title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226544"/>
        <c:crosses val="autoZero"/>
        <c:crossBetween val="midCat"/>
      </c:valAx>
      <c:serAx>
        <c:axId val="1726672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086323164828276"/>
          <c:y val="9.7979479837747588E-2"/>
          <c:w val="0.50273671015003718"/>
          <c:h val="4.545486359659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152401</xdr:colOff>
      <xdr:row>0</xdr:row>
      <xdr:rowOff>76200</xdr:rowOff>
    </xdr:from>
    <xdr:to>
      <xdr:col>22</xdr:col>
      <xdr:colOff>1</xdr:colOff>
      <xdr:row>25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76200</xdr:colOff>
      <xdr:row>26</xdr:row>
      <xdr:rowOff>33337</xdr:rowOff>
    </xdr:from>
    <xdr:to>
      <xdr:col>22</xdr:col>
      <xdr:colOff>9525</xdr:colOff>
      <xdr:row>38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</xdr:rowOff>
        </xdr:from>
        <xdr:to>
          <xdr:col>5</xdr:col>
          <xdr:colOff>647700</xdr:colOff>
          <xdr:row>12</xdr:row>
          <xdr:rowOff>180975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Window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104775</xdr:colOff>
      <xdr:row>8</xdr:row>
      <xdr:rowOff>61912</xdr:rowOff>
    </xdr:from>
    <xdr:to>
      <xdr:col>13</xdr:col>
      <xdr:colOff>38100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16</xdr:row>
          <xdr:rowOff>19050</xdr:rowOff>
        </xdr:from>
        <xdr:to>
          <xdr:col>5</xdr:col>
          <xdr:colOff>638175</xdr:colOff>
          <xdr:row>17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114300</xdr:colOff>
      <xdr:row>18</xdr:row>
      <xdr:rowOff>76200</xdr:rowOff>
    </xdr:from>
    <xdr:to>
      <xdr:col>13</xdr:col>
      <xdr:colOff>47625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114299</xdr:colOff>
      <xdr:row>0</xdr:row>
      <xdr:rowOff>114300</xdr:rowOff>
    </xdr:from>
    <xdr:to>
      <xdr:col>29</xdr:col>
      <xdr:colOff>314324</xdr:colOff>
      <xdr:row>25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542925</xdr:colOff>
          <xdr:row>12</xdr:row>
          <xdr:rowOff>95250</xdr:rowOff>
        </xdr:from>
        <xdr:to>
          <xdr:col>154</xdr:col>
          <xdr:colOff>0</xdr:colOff>
          <xdr:row>26</xdr:row>
          <xdr:rowOff>38100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161926</xdr:colOff>
      <xdr:row>0</xdr:row>
      <xdr:rowOff>76200</xdr:rowOff>
    </xdr:from>
    <xdr:to>
      <xdr:col>22</xdr:col>
      <xdr:colOff>9526</xdr:colOff>
      <xdr:row>25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26</xdr:row>
      <xdr:rowOff>33337</xdr:rowOff>
    </xdr:from>
    <xdr:to>
      <xdr:col>22</xdr:col>
      <xdr:colOff>19050</xdr:colOff>
      <xdr:row>38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</xdr:rowOff>
        </xdr:from>
        <xdr:to>
          <xdr:col>5</xdr:col>
          <xdr:colOff>647700</xdr:colOff>
          <xdr:row>12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Window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114300</xdr:colOff>
      <xdr:row>8</xdr:row>
      <xdr:rowOff>61912</xdr:rowOff>
    </xdr:from>
    <xdr:to>
      <xdr:col>13</xdr:col>
      <xdr:colOff>47625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16</xdr:row>
          <xdr:rowOff>19050</xdr:rowOff>
        </xdr:from>
        <xdr:to>
          <xdr:col>5</xdr:col>
          <xdr:colOff>638175</xdr:colOff>
          <xdr:row>17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123825</xdr:colOff>
      <xdr:row>18</xdr:row>
      <xdr:rowOff>76200</xdr:rowOff>
    </xdr:from>
    <xdr:to>
      <xdr:col>13</xdr:col>
      <xdr:colOff>57150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114299</xdr:colOff>
      <xdr:row>0</xdr:row>
      <xdr:rowOff>114300</xdr:rowOff>
    </xdr:from>
    <xdr:to>
      <xdr:col>29</xdr:col>
      <xdr:colOff>314324</xdr:colOff>
      <xdr:row>25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542925</xdr:colOff>
          <xdr:row>12</xdr:row>
          <xdr:rowOff>95250</xdr:rowOff>
        </xdr:from>
        <xdr:to>
          <xdr:col>154</xdr:col>
          <xdr:colOff>0</xdr:colOff>
          <xdr:row>26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15DA-B08C-4757-B2C6-C8E60046D9FC}">
  <sheetPr codeName="Sheet14"/>
  <dimension ref="A1:L29"/>
  <sheetViews>
    <sheetView showGridLines="0" zoomScaleNormal="100" workbookViewId="0">
      <selection activeCell="Z29" sqref="Z29"/>
    </sheetView>
  </sheetViews>
  <sheetFormatPr defaultRowHeight="15" x14ac:dyDescent="0.25"/>
  <cols>
    <col min="1" max="1" width="1.28515625" customWidth="1"/>
    <col min="2" max="6" width="9.85546875" customWidth="1"/>
    <col min="7" max="7" width="3.140625" customWidth="1"/>
    <col min="8" max="12" width="9.85546875" customWidth="1"/>
    <col min="60" max="60" width="9.140625" customWidth="1"/>
    <col min="107" max="107" width="9.140625" customWidth="1"/>
  </cols>
  <sheetData>
    <row r="1" spans="1:12" x14ac:dyDescent="0.25">
      <c r="B1" s="177" t="s">
        <v>99</v>
      </c>
      <c r="C1" s="178"/>
      <c r="D1" s="178"/>
      <c r="E1" s="178"/>
      <c r="F1" s="179"/>
      <c r="H1" s="177" t="s">
        <v>110</v>
      </c>
      <c r="I1" s="178"/>
      <c r="J1" s="178"/>
      <c r="K1" s="178"/>
      <c r="L1" s="179"/>
    </row>
    <row r="2" spans="1:12" x14ac:dyDescent="0.25">
      <c r="A2" s="16">
        <f>VLOOKUP(D2,RData!$N$4:$O$12,2)</f>
        <v>3</v>
      </c>
      <c r="B2" s="180" t="s">
        <v>21</v>
      </c>
      <c r="C2" s="181"/>
      <c r="D2" s="161" t="s">
        <v>79</v>
      </c>
      <c r="E2" s="33"/>
      <c r="F2" s="34"/>
      <c r="H2" s="182" t="s">
        <v>107</v>
      </c>
      <c r="I2" s="183"/>
      <c r="J2" s="65">
        <v>18436.554336807265</v>
      </c>
      <c r="K2" s="45"/>
      <c r="L2" s="60"/>
    </row>
    <row r="3" spans="1:12" x14ac:dyDescent="0.25">
      <c r="A3" s="17"/>
      <c r="B3" s="184" t="s">
        <v>41</v>
      </c>
      <c r="C3" s="185"/>
      <c r="D3" s="162">
        <v>90</v>
      </c>
      <c r="E3" s="42" t="s">
        <v>48</v>
      </c>
      <c r="F3" s="43"/>
      <c r="H3" s="186" t="s">
        <v>106</v>
      </c>
      <c r="I3" s="61" t="s">
        <v>43</v>
      </c>
      <c r="J3" s="47">
        <v>1</v>
      </c>
      <c r="K3" s="188"/>
      <c r="L3" s="189"/>
    </row>
    <row r="4" spans="1:12" x14ac:dyDescent="0.25">
      <c r="A4" s="16">
        <f>VLOOKUP(D4,RData!$N$4:$O$12,2)</f>
        <v>6</v>
      </c>
      <c r="B4" s="180" t="s">
        <v>40</v>
      </c>
      <c r="C4" s="181"/>
      <c r="D4" s="163" t="s">
        <v>87</v>
      </c>
      <c r="E4" s="33"/>
      <c r="F4" s="34"/>
      <c r="H4" s="187"/>
      <c r="I4" s="66" t="s">
        <v>44</v>
      </c>
      <c r="J4" s="46">
        <v>192.9</v>
      </c>
      <c r="K4" s="190"/>
      <c r="L4" s="191"/>
    </row>
    <row r="5" spans="1:12" x14ac:dyDescent="0.25">
      <c r="B5" s="184" t="s">
        <v>41</v>
      </c>
      <c r="C5" s="185"/>
      <c r="D5" s="162">
        <v>90</v>
      </c>
      <c r="E5" s="42" t="s">
        <v>48</v>
      </c>
      <c r="F5" s="43"/>
      <c r="H5" s="198" t="s">
        <v>60</v>
      </c>
      <c r="I5" s="61" t="s">
        <v>46</v>
      </c>
      <c r="J5" s="47">
        <v>4</v>
      </c>
      <c r="K5" s="188"/>
      <c r="L5" s="189"/>
    </row>
    <row r="6" spans="1:12" x14ac:dyDescent="0.25">
      <c r="B6" s="59"/>
      <c r="C6" s="44"/>
      <c r="D6" s="44"/>
      <c r="E6" s="45"/>
      <c r="F6" s="60"/>
      <c r="H6" s="199"/>
      <c r="I6" s="66" t="s">
        <v>47</v>
      </c>
      <c r="J6" s="46">
        <v>210.5</v>
      </c>
      <c r="K6" s="190"/>
      <c r="L6" s="191"/>
    </row>
    <row r="7" spans="1:12" ht="15.75" thickBot="1" x14ac:dyDescent="0.3">
      <c r="B7" s="200" t="s">
        <v>42</v>
      </c>
      <c r="C7" s="201"/>
      <c r="D7" s="164">
        <v>30000</v>
      </c>
      <c r="E7" s="202" t="s">
        <v>96</v>
      </c>
      <c r="F7" s="203"/>
      <c r="H7" s="204" t="s">
        <v>100</v>
      </c>
      <c r="I7" s="61" t="s">
        <v>43</v>
      </c>
      <c r="J7" s="63"/>
      <c r="K7" s="188"/>
      <c r="L7" s="189"/>
    </row>
    <row r="8" spans="1:12" ht="15.75" thickBot="1" x14ac:dyDescent="0.3">
      <c r="B8" s="208"/>
      <c r="C8" s="208"/>
      <c r="D8" s="67"/>
      <c r="E8" s="7"/>
      <c r="H8" s="205"/>
      <c r="I8" s="62" t="s">
        <v>44</v>
      </c>
      <c r="J8" s="64"/>
      <c r="K8" s="206"/>
      <c r="L8" s="207"/>
    </row>
    <row r="9" spans="1:12" x14ac:dyDescent="0.25">
      <c r="B9" s="177" t="s">
        <v>132</v>
      </c>
      <c r="C9" s="178"/>
      <c r="D9" s="178"/>
      <c r="E9" s="178"/>
      <c r="F9" s="179"/>
    </row>
    <row r="10" spans="1:12" x14ac:dyDescent="0.25">
      <c r="B10" s="192" t="s">
        <v>24</v>
      </c>
      <c r="C10" s="48" t="s">
        <v>43</v>
      </c>
      <c r="D10" s="165">
        <v>1</v>
      </c>
      <c r="E10" s="194" t="s">
        <v>129</v>
      </c>
      <c r="F10" s="195"/>
    </row>
    <row r="11" spans="1:12" x14ac:dyDescent="0.25">
      <c r="B11" s="193"/>
      <c r="C11" s="49" t="s">
        <v>44</v>
      </c>
      <c r="D11" s="166">
        <v>1</v>
      </c>
      <c r="E11" s="196" t="s">
        <v>130</v>
      </c>
      <c r="F11" s="197"/>
    </row>
    <row r="12" spans="1:12" x14ac:dyDescent="0.25">
      <c r="B12" s="192" t="s">
        <v>45</v>
      </c>
      <c r="C12" s="50" t="s">
        <v>46</v>
      </c>
      <c r="D12" s="167">
        <v>1</v>
      </c>
      <c r="E12" s="40"/>
      <c r="F12" s="38"/>
    </row>
    <row r="13" spans="1:12" ht="15.75" thickBot="1" x14ac:dyDescent="0.3">
      <c r="B13" s="192"/>
      <c r="C13" s="51" t="s">
        <v>47</v>
      </c>
      <c r="D13" s="168">
        <v>0</v>
      </c>
      <c r="E13" s="39"/>
      <c r="F13" s="38"/>
    </row>
    <row r="14" spans="1:12" ht="15" customHeight="1" x14ac:dyDescent="0.25">
      <c r="B14" s="177" t="s">
        <v>133</v>
      </c>
      <c r="C14" s="178"/>
      <c r="D14" s="178"/>
      <c r="E14" s="178"/>
      <c r="F14" s="179"/>
    </row>
    <row r="15" spans="1:12" x14ac:dyDescent="0.25">
      <c r="B15" s="198" t="s">
        <v>59</v>
      </c>
      <c r="C15" s="52" t="s">
        <v>43</v>
      </c>
      <c r="D15" s="169">
        <v>1</v>
      </c>
      <c r="E15" s="188"/>
      <c r="F15" s="189"/>
    </row>
    <row r="16" spans="1:12" x14ac:dyDescent="0.25">
      <c r="B16" s="199"/>
      <c r="C16" s="53" t="s">
        <v>44</v>
      </c>
      <c r="D16" s="170">
        <v>163.30000000000001</v>
      </c>
      <c r="E16" s="190"/>
      <c r="F16" s="191"/>
    </row>
    <row r="17" spans="2:6" x14ac:dyDescent="0.25">
      <c r="B17" s="198" t="s">
        <v>60</v>
      </c>
      <c r="C17" s="54" t="s">
        <v>46</v>
      </c>
      <c r="D17" s="171">
        <v>4</v>
      </c>
      <c r="E17" s="33"/>
      <c r="F17" s="34"/>
    </row>
    <row r="18" spans="2:6" ht="15.75" thickBot="1" x14ac:dyDescent="0.3">
      <c r="B18" s="210"/>
      <c r="C18" s="55" t="s">
        <v>47</v>
      </c>
      <c r="D18" s="172">
        <v>210.5</v>
      </c>
      <c r="E18" s="41"/>
      <c r="F18" s="37"/>
    </row>
    <row r="19" spans="2:6" ht="15.75" thickBot="1" x14ac:dyDescent="0.3">
      <c r="B19" s="211"/>
      <c r="C19" s="211"/>
    </row>
    <row r="20" spans="2:6" x14ac:dyDescent="0.25">
      <c r="B20" s="177" t="s">
        <v>105</v>
      </c>
      <c r="C20" s="178"/>
      <c r="D20" s="178"/>
      <c r="E20" s="178"/>
      <c r="F20" s="179"/>
    </row>
    <row r="21" spans="2:6" x14ac:dyDescent="0.25">
      <c r="B21" s="212" t="s">
        <v>91</v>
      </c>
      <c r="C21" s="56" t="s">
        <v>92</v>
      </c>
      <c r="D21" s="173">
        <v>0</v>
      </c>
      <c r="E21" s="215" t="s">
        <v>103</v>
      </c>
      <c r="F21" s="216"/>
    </row>
    <row r="22" spans="2:6" x14ac:dyDescent="0.25">
      <c r="B22" s="213"/>
      <c r="C22" s="57" t="s">
        <v>94</v>
      </c>
      <c r="D22" s="174">
        <v>0</v>
      </c>
      <c r="E22" s="217"/>
      <c r="F22" s="218"/>
    </row>
    <row r="23" spans="2:6" ht="15" customHeight="1" x14ac:dyDescent="0.25">
      <c r="B23" s="213"/>
      <c r="C23" s="58" t="s">
        <v>93</v>
      </c>
      <c r="D23" s="175">
        <v>0</v>
      </c>
      <c r="E23" s="215" t="s">
        <v>104</v>
      </c>
      <c r="F23" s="216"/>
    </row>
    <row r="24" spans="2:6" x14ac:dyDescent="0.25">
      <c r="B24" s="214"/>
      <c r="C24" s="57" t="s">
        <v>95</v>
      </c>
      <c r="D24" s="174">
        <v>0</v>
      </c>
      <c r="E24" s="217"/>
      <c r="F24" s="218"/>
    </row>
    <row r="25" spans="2:6" x14ac:dyDescent="0.25">
      <c r="B25" s="219" t="s">
        <v>98</v>
      </c>
      <c r="C25" s="220"/>
      <c r="D25" s="32" t="s">
        <v>101</v>
      </c>
      <c r="E25" s="35" t="s">
        <v>102</v>
      </c>
      <c r="F25" s="34"/>
    </row>
    <row r="26" spans="2:6" ht="15.75" thickBot="1" x14ac:dyDescent="0.3">
      <c r="B26" s="221" t="s">
        <v>100</v>
      </c>
      <c r="C26" s="222"/>
      <c r="D26" s="36"/>
      <c r="E26" s="36"/>
      <c r="F26" s="37"/>
    </row>
    <row r="27" spans="2:6" x14ac:dyDescent="0.25">
      <c r="B27" s="209"/>
      <c r="C27" s="209"/>
    </row>
    <row r="28" spans="2:6" x14ac:dyDescent="0.25">
      <c r="B28" s="209"/>
      <c r="C28" s="209"/>
    </row>
    <row r="29" spans="2:6" x14ac:dyDescent="0.25">
      <c r="B29" s="209"/>
      <c r="C29" s="209"/>
    </row>
  </sheetData>
  <sheetProtection selectLockedCells="1"/>
  <mergeCells count="35">
    <mergeCell ref="B15:B16"/>
    <mergeCell ref="E15:F16"/>
    <mergeCell ref="B29:C29"/>
    <mergeCell ref="B17:B18"/>
    <mergeCell ref="B19:C19"/>
    <mergeCell ref="B20:F20"/>
    <mergeCell ref="B21:B24"/>
    <mergeCell ref="E21:F22"/>
    <mergeCell ref="E23:F24"/>
    <mergeCell ref="B25:C25"/>
    <mergeCell ref="B26:C26"/>
    <mergeCell ref="B27:C27"/>
    <mergeCell ref="B28:C28"/>
    <mergeCell ref="B5:C5"/>
    <mergeCell ref="H5:H6"/>
    <mergeCell ref="K5:L6"/>
    <mergeCell ref="B7:C7"/>
    <mergeCell ref="E7:F7"/>
    <mergeCell ref="H7:H8"/>
    <mergeCell ref="K7:L8"/>
    <mergeCell ref="B8:C8"/>
    <mergeCell ref="B9:F9"/>
    <mergeCell ref="B10:B11"/>
    <mergeCell ref="B12:B13"/>
    <mergeCell ref="B14:F14"/>
    <mergeCell ref="E10:F10"/>
    <mergeCell ref="E11:F11"/>
    <mergeCell ref="B1:F1"/>
    <mergeCell ref="H1:L1"/>
    <mergeCell ref="B2:C2"/>
    <mergeCell ref="H2:I2"/>
    <mergeCell ref="B3:C3"/>
    <mergeCell ref="H3:H4"/>
    <mergeCell ref="K3:L4"/>
    <mergeCell ref="B4:C4"/>
  </mergeCells>
  <dataValidations count="1">
    <dataValidation type="list" allowBlank="1" showInputMessage="1" showErrorMessage="1" sqref="D25" xr:uid="{A7BB2DBE-5E66-405B-BBF1-A245578F7068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LWReal">
                <anchor moveWithCells="1" siz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5</xdr:col>
                    <xdr:colOff>647700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TPReal">
                <anchor moveWithCells="1" sizeWithCells="1">
                  <from>
                    <xdr:col>4</xdr:col>
                    <xdr:colOff>9525</xdr:colOff>
                    <xdr:row>16</xdr:row>
                    <xdr:rowOff>19050</xdr:rowOff>
                  </from>
                  <to>
                    <xdr:col>5</xdr:col>
                    <xdr:colOff>638175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62DB0F-34C6-4BE1-B04A-AA213C334859}">
          <x14:formula1>
            <xm:f>RData!$N$4:$N$12</xm:f>
          </x14:formula1>
          <xm:sqref>D4 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03FB-A626-484B-BD76-238C54F8B6E6}">
  <sheetPr codeName="Sheet15"/>
  <dimension ref="B1:EX104"/>
  <sheetViews>
    <sheetView zoomScale="30" zoomScaleNormal="30" workbookViewId="0">
      <selection activeCell="X105" sqref="X105"/>
    </sheetView>
  </sheetViews>
  <sheetFormatPr defaultRowHeight="15" x14ac:dyDescent="0.25"/>
  <cols>
    <col min="1" max="1" width="6.140625" customWidth="1"/>
    <col min="2" max="2" width="6.140625" style="70" customWidth="1"/>
    <col min="3" max="4" width="6.140625" customWidth="1"/>
    <col min="5" max="31" width="6.140625" style="14" customWidth="1"/>
    <col min="32" max="36" width="6.140625" customWidth="1"/>
    <col min="37" max="41" width="6.140625" style="69" customWidth="1"/>
    <col min="42" max="44" width="6.140625" customWidth="1"/>
    <col min="45" max="45" width="9.140625" style="6"/>
    <col min="46" max="70" width="2.7109375" style="28" customWidth="1"/>
    <col min="71" max="145" width="2.7109375" customWidth="1"/>
  </cols>
  <sheetData>
    <row r="1" spans="2:154" x14ac:dyDescent="0.25">
      <c r="AT1" s="236" t="s">
        <v>88</v>
      </c>
      <c r="AU1" s="236"/>
      <c r="AV1" s="236"/>
      <c r="AW1" s="236"/>
      <c r="AX1" s="236"/>
      <c r="AY1" s="236"/>
      <c r="AZ1" s="236"/>
      <c r="BA1" s="236"/>
      <c r="BB1" s="236"/>
      <c r="BC1" s="236"/>
      <c r="BD1" s="236"/>
      <c r="BE1" s="236"/>
      <c r="BF1" s="236"/>
      <c r="BG1" s="236"/>
      <c r="BH1" s="236"/>
      <c r="BI1" s="236"/>
      <c r="BJ1" s="236"/>
      <c r="BK1" s="236"/>
      <c r="BL1" s="236"/>
      <c r="BM1" s="236"/>
      <c r="BN1" s="236"/>
      <c r="BO1" s="236"/>
      <c r="BP1" s="236"/>
      <c r="BQ1" s="236"/>
      <c r="BR1" s="236"/>
      <c r="BS1" s="236"/>
      <c r="BT1" s="236"/>
      <c r="BU1" s="236"/>
      <c r="BV1" s="236"/>
      <c r="BW1" s="236"/>
      <c r="BX1" s="236"/>
      <c r="BY1" s="236"/>
      <c r="BZ1" s="236"/>
      <c r="CA1" s="236"/>
      <c r="CB1" s="236"/>
      <c r="CC1" s="236"/>
      <c r="CD1" s="236"/>
      <c r="CE1" s="236"/>
      <c r="CF1" s="236"/>
      <c r="CG1" s="236"/>
      <c r="CH1" s="236"/>
      <c r="CI1" s="236"/>
      <c r="CJ1" s="236"/>
      <c r="CK1" s="236"/>
    </row>
    <row r="2" spans="2:154" ht="87" customHeight="1" x14ac:dyDescent="0.35">
      <c r="E2" s="223" t="s">
        <v>28</v>
      </c>
      <c r="F2" s="223"/>
      <c r="G2" s="223"/>
      <c r="H2" s="71"/>
      <c r="I2" s="223" t="s">
        <v>30</v>
      </c>
      <c r="J2" s="223"/>
      <c r="K2" s="223"/>
      <c r="L2" s="71"/>
      <c r="M2" s="223" t="s">
        <v>31</v>
      </c>
      <c r="N2" s="223"/>
      <c r="O2" s="223"/>
      <c r="P2" s="71"/>
      <c r="Q2" s="223" t="s">
        <v>38</v>
      </c>
      <c r="R2" s="223"/>
      <c r="S2" s="223"/>
      <c r="T2" s="71"/>
      <c r="U2" s="223" t="s">
        <v>39</v>
      </c>
      <c r="V2" s="223"/>
      <c r="W2" s="223"/>
      <c r="X2" s="71"/>
      <c r="Y2" s="223" t="s">
        <v>32</v>
      </c>
      <c r="Z2" s="223"/>
      <c r="AA2" s="223"/>
      <c r="AB2" s="71"/>
      <c r="AC2" s="223" t="s">
        <v>33</v>
      </c>
      <c r="AD2" s="223"/>
      <c r="AE2" s="223"/>
      <c r="AG2" s="208" t="s">
        <v>34</v>
      </c>
      <c r="AH2" s="208"/>
      <c r="AI2" s="208"/>
      <c r="AK2" s="70" t="s">
        <v>49</v>
      </c>
      <c r="AL2" s="70" t="s">
        <v>54</v>
      </c>
      <c r="AM2" s="70" t="s">
        <v>55</v>
      </c>
      <c r="AN2" s="70" t="s">
        <v>56</v>
      </c>
      <c r="AO2" s="70" t="s">
        <v>57</v>
      </c>
      <c r="AT2" s="29">
        <v>0</v>
      </c>
      <c r="AU2" s="29">
        <v>318769.18953030306</v>
      </c>
      <c r="AV2" s="29">
        <v>637538.37906060612</v>
      </c>
      <c r="AW2" s="29">
        <v>956307.56859090924</v>
      </c>
      <c r="AX2" s="29">
        <v>1275076.7581212122</v>
      </c>
      <c r="AY2" s="29">
        <v>1593845.9476515152</v>
      </c>
      <c r="AZ2" s="29">
        <v>1912615.1371818183</v>
      </c>
      <c r="BA2" s="29">
        <v>2231384.3267121213</v>
      </c>
      <c r="BB2" s="29">
        <v>2550153.5162424245</v>
      </c>
      <c r="BC2" s="29">
        <v>2868922.7057727277</v>
      </c>
      <c r="BD2" s="30">
        <v>3187691.895303031</v>
      </c>
      <c r="BE2" s="30">
        <v>3506461.0848333342</v>
      </c>
      <c r="BF2" s="30">
        <v>3825230.2743636374</v>
      </c>
      <c r="BG2" s="30">
        <v>4143999.4638939407</v>
      </c>
      <c r="BH2" s="30">
        <v>4462768.6534242434</v>
      </c>
      <c r="BI2" s="30">
        <v>4781537.8429545462</v>
      </c>
      <c r="BJ2" s="30">
        <v>5100307.032484849</v>
      </c>
      <c r="BK2" s="30">
        <v>5419076.2220151518</v>
      </c>
      <c r="BL2" s="30">
        <v>5737845.4115454545</v>
      </c>
      <c r="BM2" s="30">
        <v>6056614.6010757573</v>
      </c>
      <c r="BN2" s="30">
        <v>6375383.7906060601</v>
      </c>
      <c r="BO2" s="30">
        <v>6694152.9801363628</v>
      </c>
      <c r="BP2" s="30">
        <v>7012922.1696666656</v>
      </c>
      <c r="BQ2" s="30">
        <v>7331691.3591969684</v>
      </c>
      <c r="BR2" s="30">
        <v>7650460.5487272711</v>
      </c>
      <c r="BS2" s="30">
        <v>7969229.7382575739</v>
      </c>
      <c r="BT2" s="30">
        <v>8287998.9277878767</v>
      </c>
      <c r="BU2" s="30">
        <v>8606768.1173181795</v>
      </c>
      <c r="BV2" s="30">
        <v>8925537.3068484832</v>
      </c>
      <c r="BW2" s="30">
        <v>9244306.4963787869</v>
      </c>
      <c r="BX2" s="30">
        <v>9563075.6859090906</v>
      </c>
      <c r="BY2" s="30">
        <v>9881844.8754393943</v>
      </c>
      <c r="BZ2" s="30">
        <v>10200614.064969698</v>
      </c>
      <c r="CA2" s="30">
        <v>10519383.254500002</v>
      </c>
      <c r="CB2" s="30">
        <v>10838152.444030305</v>
      </c>
      <c r="CC2" s="30">
        <v>11156921.633560609</v>
      </c>
      <c r="CD2" s="30">
        <v>11475690.823090913</v>
      </c>
      <c r="CE2" s="30">
        <v>11794460.012621216</v>
      </c>
      <c r="CF2" s="30">
        <v>12113229.20215152</v>
      </c>
      <c r="CG2" s="30">
        <v>12431998.391681824</v>
      </c>
      <c r="CH2" s="30">
        <v>12750767.581212128</v>
      </c>
      <c r="CI2" s="30">
        <v>13069536.770742431</v>
      </c>
      <c r="CJ2" s="30">
        <v>13388305.960272735</v>
      </c>
      <c r="CK2" s="30">
        <v>13707075.149803039</v>
      </c>
      <c r="CL2" s="30">
        <v>14025844.339333342</v>
      </c>
      <c r="CM2" s="30">
        <v>14344613.528863646</v>
      </c>
      <c r="CN2" s="30">
        <v>14663382.71839395</v>
      </c>
      <c r="CO2" s="30">
        <v>14982151.907924253</v>
      </c>
      <c r="CP2" s="30">
        <v>15300921.097454557</v>
      </c>
      <c r="CQ2" s="30">
        <v>15619690.286984861</v>
      </c>
      <c r="CR2" s="30">
        <v>15938459.476515165</v>
      </c>
      <c r="CS2" s="30">
        <v>16257228.666045468</v>
      </c>
      <c r="CT2" s="30">
        <v>16575997.855575772</v>
      </c>
      <c r="CU2" s="30">
        <v>16894767.045106076</v>
      </c>
      <c r="CV2" s="30">
        <v>17213536.234636378</v>
      </c>
      <c r="CW2" s="30">
        <v>17532305.424166679</v>
      </c>
      <c r="CX2" s="30">
        <v>17851074.613696981</v>
      </c>
      <c r="CY2" s="30">
        <v>18169843.803227283</v>
      </c>
      <c r="CZ2" s="30">
        <v>18488612.992757585</v>
      </c>
      <c r="DA2" s="30">
        <v>18807382.182287887</v>
      </c>
      <c r="DB2" s="30">
        <v>19126151.371818189</v>
      </c>
      <c r="DC2" s="30">
        <v>19444920.56134849</v>
      </c>
      <c r="DD2" s="30">
        <v>19763689.750878792</v>
      </c>
      <c r="DE2" s="30">
        <v>20082458.940409094</v>
      </c>
      <c r="DF2" s="30">
        <v>20401228.129939396</v>
      </c>
      <c r="DG2" s="30">
        <v>20719997.319469698</v>
      </c>
      <c r="DH2" s="30">
        <v>21038766.509</v>
      </c>
      <c r="DI2" s="30">
        <v>21357535.698530301</v>
      </c>
      <c r="DJ2" s="30">
        <v>21676304.888060603</v>
      </c>
      <c r="DK2" s="30">
        <v>21995074.077590905</v>
      </c>
      <c r="DL2" s="30">
        <v>22313843.267121207</v>
      </c>
      <c r="DM2" s="30">
        <v>22632612.456651509</v>
      </c>
      <c r="DN2" s="30">
        <v>22951381.646181811</v>
      </c>
      <c r="DO2" s="30">
        <v>23270150.835712112</v>
      </c>
      <c r="DP2" s="30">
        <v>23588920.025242414</v>
      </c>
      <c r="DQ2" s="30">
        <v>23907689.214772716</v>
      </c>
      <c r="DR2" s="30">
        <v>24226458.404303018</v>
      </c>
      <c r="DS2" s="30">
        <v>24545227.59383332</v>
      </c>
      <c r="DT2" s="30">
        <v>24863996.783363622</v>
      </c>
      <c r="DU2" s="30">
        <v>25182765.972893924</v>
      </c>
      <c r="DV2" s="30">
        <v>25501535.162424225</v>
      </c>
      <c r="DW2" s="30">
        <v>25820304.351954527</v>
      </c>
      <c r="DX2" s="30">
        <v>26139073.541484829</v>
      </c>
      <c r="DY2" s="30">
        <v>26457842.731015131</v>
      </c>
      <c r="DZ2" s="30">
        <v>26776611.920545433</v>
      </c>
      <c r="EA2" s="30">
        <v>27095381.110075735</v>
      </c>
      <c r="EB2" s="30">
        <v>27414150.299606036</v>
      </c>
      <c r="EC2" s="30">
        <v>27732919.489136338</v>
      </c>
      <c r="ED2" s="30">
        <v>28051688.67866664</v>
      </c>
      <c r="EE2" s="30">
        <v>28370457.868196942</v>
      </c>
      <c r="EF2" s="30">
        <v>28689227.057727244</v>
      </c>
      <c r="EG2" s="30">
        <v>29007996.247257546</v>
      </c>
      <c r="EH2" s="30">
        <v>29326765.436787847</v>
      </c>
      <c r="EI2" s="30">
        <v>29645534.626318149</v>
      </c>
      <c r="EJ2" s="30">
        <v>29964303.815848451</v>
      </c>
      <c r="EK2" s="30">
        <v>30283073.005378753</v>
      </c>
      <c r="EL2" s="30">
        <v>30601842.194909055</v>
      </c>
      <c r="EM2" s="30">
        <v>30920611.384439357</v>
      </c>
      <c r="EN2" s="30">
        <v>31239380.573969658</v>
      </c>
      <c r="EO2" s="30">
        <v>31558149.76349996</v>
      </c>
    </row>
    <row r="3" spans="2:154" ht="15" customHeight="1" x14ac:dyDescent="0.25">
      <c r="B3" s="70" t="s">
        <v>29</v>
      </c>
      <c r="D3" s="70" t="s">
        <v>27</v>
      </c>
      <c r="E3" s="71" t="s">
        <v>22</v>
      </c>
      <c r="F3" s="71" t="s">
        <v>23</v>
      </c>
      <c r="G3" s="71" t="s">
        <v>26</v>
      </c>
      <c r="H3" s="71" t="s">
        <v>27</v>
      </c>
      <c r="I3" s="71" t="s">
        <v>22</v>
      </c>
      <c r="J3" s="71" t="s">
        <v>23</v>
      </c>
      <c r="K3" s="71" t="s">
        <v>26</v>
      </c>
      <c r="L3" s="71" t="s">
        <v>27</v>
      </c>
      <c r="M3" s="71" t="s">
        <v>22</v>
      </c>
      <c r="N3" s="71" t="s">
        <v>23</v>
      </c>
      <c r="O3" s="71" t="s">
        <v>26</v>
      </c>
      <c r="P3" s="71" t="s">
        <v>27</v>
      </c>
      <c r="Q3" s="71" t="s">
        <v>22</v>
      </c>
      <c r="R3" s="71" t="s">
        <v>23</v>
      </c>
      <c r="S3" s="71" t="s">
        <v>26</v>
      </c>
      <c r="T3" s="71" t="s">
        <v>27</v>
      </c>
      <c r="U3" s="71" t="s">
        <v>22</v>
      </c>
      <c r="V3" s="71" t="s">
        <v>23</v>
      </c>
      <c r="W3" s="71" t="s">
        <v>26</v>
      </c>
      <c r="X3" s="71" t="s">
        <v>27</v>
      </c>
      <c r="Y3" s="71" t="s">
        <v>22</v>
      </c>
      <c r="Z3" s="71" t="s">
        <v>23</v>
      </c>
      <c r="AA3" s="71" t="s">
        <v>26</v>
      </c>
      <c r="AB3" s="71" t="s">
        <v>27</v>
      </c>
      <c r="AC3" s="71" t="s">
        <v>22</v>
      </c>
      <c r="AD3" s="71" t="s">
        <v>23</v>
      </c>
      <c r="AE3" s="71" t="s">
        <v>26</v>
      </c>
      <c r="AG3" s="70" t="s">
        <v>22</v>
      </c>
      <c r="AH3" s="70" t="s">
        <v>23</v>
      </c>
      <c r="AI3" s="70" t="s">
        <v>26</v>
      </c>
      <c r="AK3" s="70" t="s">
        <v>50</v>
      </c>
      <c r="AL3" s="19">
        <v>9096.8509781538123</v>
      </c>
      <c r="AM3" s="19">
        <v>0</v>
      </c>
      <c r="AN3" s="19">
        <v>11097.935981341456</v>
      </c>
      <c r="AO3" s="19">
        <v>20194.786959495268</v>
      </c>
      <c r="AS3" s="31">
        <v>54885237.725889131</v>
      </c>
      <c r="AT3" s="176">
        <v>30000</v>
      </c>
      <c r="AU3" s="176">
        <v>30000</v>
      </c>
      <c r="AV3" s="176">
        <v>30000</v>
      </c>
      <c r="AW3" s="176">
        <v>30000</v>
      </c>
      <c r="AX3" s="176">
        <v>30000</v>
      </c>
      <c r="AY3" s="176">
        <v>30000</v>
      </c>
      <c r="AZ3" s="176">
        <v>30000</v>
      </c>
      <c r="BA3" s="176">
        <v>30000</v>
      </c>
      <c r="BB3" s="176">
        <v>30000</v>
      </c>
      <c r="BC3" s="176">
        <v>30000</v>
      </c>
      <c r="BD3" s="176">
        <v>30000</v>
      </c>
      <c r="BE3" s="176">
        <v>30000</v>
      </c>
      <c r="BF3" s="176">
        <v>30000</v>
      </c>
      <c r="BG3" s="176">
        <v>30000</v>
      </c>
      <c r="BH3" s="176">
        <v>30000</v>
      </c>
      <c r="BI3" s="176">
        <v>30000</v>
      </c>
      <c r="BJ3" s="176">
        <v>30000</v>
      </c>
      <c r="BK3" s="176">
        <v>30000</v>
      </c>
      <c r="BL3" s="176">
        <v>30000</v>
      </c>
      <c r="BM3" s="176">
        <v>30000</v>
      </c>
      <c r="BN3" s="176">
        <v>30000</v>
      </c>
      <c r="BO3" s="176">
        <v>30000</v>
      </c>
      <c r="BP3" s="176">
        <v>30000</v>
      </c>
      <c r="BQ3" s="176">
        <v>30000</v>
      </c>
      <c r="BR3" s="176">
        <v>30000</v>
      </c>
      <c r="BS3" s="176">
        <v>30000</v>
      </c>
      <c r="BT3" s="176">
        <v>30000</v>
      </c>
      <c r="BU3" s="176">
        <v>30000</v>
      </c>
      <c r="BV3" s="176">
        <v>30000</v>
      </c>
      <c r="BW3" s="176">
        <v>30000</v>
      </c>
      <c r="BX3" s="176">
        <v>30000</v>
      </c>
      <c r="BY3" s="176">
        <v>30000</v>
      </c>
      <c r="BZ3" s="176">
        <v>30000</v>
      </c>
      <c r="CA3" s="176">
        <v>30000</v>
      </c>
      <c r="CB3" s="176">
        <v>30000</v>
      </c>
      <c r="CC3" s="176">
        <v>30000</v>
      </c>
      <c r="CD3" s="176">
        <v>30000</v>
      </c>
      <c r="CE3" s="176">
        <v>30000</v>
      </c>
      <c r="CF3" s="176">
        <v>30000</v>
      </c>
      <c r="CG3" s="176">
        <v>30000</v>
      </c>
      <c r="CH3" s="176">
        <v>30000</v>
      </c>
      <c r="CI3" s="176">
        <v>30000</v>
      </c>
      <c r="CJ3" s="176">
        <v>30000</v>
      </c>
      <c r="CK3" s="176">
        <v>30000</v>
      </c>
      <c r="CL3" s="176">
        <v>30000</v>
      </c>
      <c r="CM3" s="176">
        <v>30000</v>
      </c>
      <c r="CN3" s="176">
        <v>30000</v>
      </c>
      <c r="CO3" s="176">
        <v>30000</v>
      </c>
      <c r="CP3" s="176">
        <v>30000</v>
      </c>
      <c r="CQ3" s="176">
        <v>30000</v>
      </c>
      <c r="CR3" s="176">
        <v>30000</v>
      </c>
      <c r="CS3" s="176">
        <v>30000</v>
      </c>
      <c r="CT3" s="176">
        <v>30000</v>
      </c>
      <c r="CU3" s="176">
        <v>30000</v>
      </c>
      <c r="CV3" s="176">
        <v>30000</v>
      </c>
      <c r="CW3" s="176">
        <v>30000</v>
      </c>
      <c r="CX3" s="176">
        <v>30000</v>
      </c>
      <c r="CY3" s="176">
        <v>30000</v>
      </c>
      <c r="CZ3" s="176">
        <v>30000</v>
      </c>
      <c r="DA3" s="176">
        <v>30000</v>
      </c>
      <c r="DB3" s="176">
        <v>30000</v>
      </c>
      <c r="DC3" s="176">
        <v>30000</v>
      </c>
      <c r="DD3" s="176">
        <v>30000</v>
      </c>
      <c r="DE3" s="176">
        <v>30000</v>
      </c>
      <c r="DF3" s="176">
        <v>30000</v>
      </c>
      <c r="DG3" s="176">
        <v>30000</v>
      </c>
      <c r="DH3" s="176">
        <v>30000</v>
      </c>
      <c r="DI3" s="176">
        <v>30000</v>
      </c>
      <c r="DJ3" s="176">
        <v>30000</v>
      </c>
      <c r="DK3" s="176">
        <v>30000</v>
      </c>
      <c r="DL3" s="176">
        <v>30000</v>
      </c>
      <c r="DM3" s="176">
        <v>30000</v>
      </c>
      <c r="DN3" s="176">
        <v>30000</v>
      </c>
      <c r="DO3" s="176">
        <v>30000</v>
      </c>
      <c r="DP3" s="176">
        <v>30000</v>
      </c>
      <c r="DQ3" s="176">
        <v>30000</v>
      </c>
      <c r="DR3" s="176">
        <v>30000</v>
      </c>
      <c r="DS3" s="176">
        <v>30000</v>
      </c>
      <c r="DT3" s="176">
        <v>30000</v>
      </c>
      <c r="DU3" s="176">
        <v>30000</v>
      </c>
      <c r="DV3" s="176">
        <v>30000</v>
      </c>
      <c r="DW3" s="176">
        <v>30000</v>
      </c>
      <c r="DX3" s="176">
        <v>30000</v>
      </c>
      <c r="DY3" s="176">
        <v>30000</v>
      </c>
      <c r="DZ3" s="176">
        <v>30000</v>
      </c>
      <c r="EA3" s="176">
        <v>30000</v>
      </c>
      <c r="EB3" s="176">
        <v>30000</v>
      </c>
      <c r="EC3" s="176">
        <v>30000</v>
      </c>
      <c r="ED3" s="176">
        <v>30000</v>
      </c>
      <c r="EE3" s="176">
        <v>30000</v>
      </c>
      <c r="EF3" s="176">
        <v>30000</v>
      </c>
      <c r="EG3" s="176">
        <v>30000</v>
      </c>
      <c r="EH3" s="176">
        <v>30000</v>
      </c>
      <c r="EI3" s="176">
        <v>30000</v>
      </c>
      <c r="EJ3" s="176">
        <v>30000</v>
      </c>
      <c r="EK3" s="176">
        <v>30000</v>
      </c>
      <c r="EL3" s="176">
        <v>30000</v>
      </c>
      <c r="EM3" s="176">
        <v>30000</v>
      </c>
      <c r="EN3" s="176">
        <v>30000</v>
      </c>
      <c r="EO3" s="176">
        <v>30000</v>
      </c>
      <c r="EP3" t="str">
        <f>ROUNDDOWN(AS3/$EX$4, 0) &amp; "y " &amp; ROUND(MOD(AS3, $EX$4)/$EX$5, 0) &amp; "d"</f>
        <v>1y 270d</v>
      </c>
      <c r="ES3" s="208" t="s">
        <v>111</v>
      </c>
      <c r="ET3" s="208"/>
      <c r="EU3" s="208"/>
      <c r="EV3" s="208"/>
      <c r="EW3" s="208"/>
      <c r="EX3" s="208"/>
    </row>
    <row r="4" spans="2:154" ht="15" customHeight="1" x14ac:dyDescent="0.25">
      <c r="B4" s="70">
        <v>1</v>
      </c>
      <c r="D4">
        <v>0</v>
      </c>
      <c r="E4" s="12">
        <v>-56950294258.091858</v>
      </c>
      <c r="F4" s="12">
        <v>135627576026.20248</v>
      </c>
      <c r="G4" s="12">
        <v>0</v>
      </c>
      <c r="H4" s="12">
        <v>0</v>
      </c>
      <c r="I4" s="12">
        <v>964955412237.49561</v>
      </c>
      <c r="J4" s="12">
        <v>980126728491.80554</v>
      </c>
      <c r="K4" s="12">
        <v>-55429698486.619026</v>
      </c>
      <c r="L4" s="12">
        <v>0</v>
      </c>
      <c r="M4" s="12">
        <v>9112811906.9567356</v>
      </c>
      <c r="N4" s="12">
        <v>-151656289970.92429</v>
      </c>
      <c r="O4" s="12">
        <v>2.333334123250097E-6</v>
      </c>
      <c r="P4" s="12">
        <v>0</v>
      </c>
      <c r="Q4" s="12">
        <v>9112811906.9546814</v>
      </c>
      <c r="R4" s="12">
        <v>-151656289970.92535</v>
      </c>
      <c r="S4" s="12">
        <v>0</v>
      </c>
      <c r="T4" s="12">
        <v>0</v>
      </c>
      <c r="U4" s="12">
        <v>216976312271.88831</v>
      </c>
      <c r="V4" s="12">
        <v>92688249981.578033</v>
      </c>
      <c r="W4" s="12">
        <v>5.1654751587193459E-8</v>
      </c>
      <c r="X4" s="12">
        <v>3.166496753692627E-7</v>
      </c>
      <c r="Y4" s="12">
        <v>58113367823.43689</v>
      </c>
      <c r="Z4" s="12">
        <v>-132605979678.64886</v>
      </c>
      <c r="AA4" s="12">
        <v>-5.7761190691962838E-4</v>
      </c>
      <c r="AB4" s="12"/>
      <c r="AC4" s="12"/>
      <c r="AD4" s="12"/>
      <c r="AE4" s="12"/>
      <c r="AG4" s="27">
        <v>0</v>
      </c>
      <c r="AH4" s="27">
        <v>0</v>
      </c>
      <c r="AI4" s="27">
        <v>0</v>
      </c>
      <c r="AJ4" s="1"/>
      <c r="AK4" s="18" t="s">
        <v>53</v>
      </c>
      <c r="AL4" s="19">
        <v>9096.7045784081129</v>
      </c>
      <c r="AM4" s="19">
        <v>10.096591430160926</v>
      </c>
      <c r="AN4" s="19">
        <v>11097.876238200908</v>
      </c>
      <c r="AO4" s="19">
        <v>20204.677408039181</v>
      </c>
      <c r="AS4" s="31">
        <v>60152002.962211825</v>
      </c>
      <c r="AT4" s="176">
        <v>30000</v>
      </c>
      <c r="AU4" s="176">
        <v>30000</v>
      </c>
      <c r="AV4" s="176">
        <v>30000</v>
      </c>
      <c r="AW4" s="176">
        <v>30000</v>
      </c>
      <c r="AX4" s="176">
        <v>30000</v>
      </c>
      <c r="AY4" s="176">
        <v>30000</v>
      </c>
      <c r="AZ4" s="176">
        <v>30000</v>
      </c>
      <c r="BA4" s="176">
        <v>30000</v>
      </c>
      <c r="BB4" s="176">
        <v>30000</v>
      </c>
      <c r="BC4" s="176">
        <v>30000</v>
      </c>
      <c r="BD4" s="176">
        <v>30000</v>
      </c>
      <c r="BE4" s="176">
        <v>30000</v>
      </c>
      <c r="BF4" s="176">
        <v>30000</v>
      </c>
      <c r="BG4" s="176">
        <v>30000</v>
      </c>
      <c r="BH4" s="176">
        <v>30000</v>
      </c>
      <c r="BI4" s="176">
        <v>30000</v>
      </c>
      <c r="BJ4" s="176">
        <v>30000</v>
      </c>
      <c r="BK4" s="176">
        <v>30000</v>
      </c>
      <c r="BL4" s="176">
        <v>30000</v>
      </c>
      <c r="BM4" s="176">
        <v>30000</v>
      </c>
      <c r="BN4" s="176">
        <v>30000</v>
      </c>
      <c r="BO4" s="176">
        <v>30000</v>
      </c>
      <c r="BP4" s="176">
        <v>30000</v>
      </c>
      <c r="BQ4" s="176">
        <v>30000</v>
      </c>
      <c r="BR4" s="176">
        <v>30000</v>
      </c>
      <c r="BS4" s="176">
        <v>30000</v>
      </c>
      <c r="BT4" s="176">
        <v>30000</v>
      </c>
      <c r="BU4" s="176">
        <v>30000</v>
      </c>
      <c r="BV4" s="176">
        <v>30000</v>
      </c>
      <c r="BW4" s="176">
        <v>30000</v>
      </c>
      <c r="BX4" s="176">
        <v>30000</v>
      </c>
      <c r="BY4" s="176">
        <v>30000</v>
      </c>
      <c r="BZ4" s="176">
        <v>30000</v>
      </c>
      <c r="CA4" s="176">
        <v>30000</v>
      </c>
      <c r="CB4" s="176">
        <v>30000</v>
      </c>
      <c r="CC4" s="176">
        <v>30000</v>
      </c>
      <c r="CD4" s="176">
        <v>30000</v>
      </c>
      <c r="CE4" s="176">
        <v>30000</v>
      </c>
      <c r="CF4" s="176">
        <v>30000</v>
      </c>
      <c r="CG4" s="176">
        <v>30000</v>
      </c>
      <c r="CH4" s="176">
        <v>30000</v>
      </c>
      <c r="CI4" s="176">
        <v>30000</v>
      </c>
      <c r="CJ4" s="176">
        <v>30000</v>
      </c>
      <c r="CK4" s="176">
        <v>30000</v>
      </c>
      <c r="CL4" s="176">
        <v>30000</v>
      </c>
      <c r="CM4" s="176">
        <v>30000</v>
      </c>
      <c r="CN4" s="176">
        <v>30000</v>
      </c>
      <c r="CO4" s="176">
        <v>30000</v>
      </c>
      <c r="CP4" s="176">
        <v>30000</v>
      </c>
      <c r="CQ4" s="176">
        <v>30000</v>
      </c>
      <c r="CR4" s="176">
        <v>30000</v>
      </c>
      <c r="CS4" s="176">
        <v>30000</v>
      </c>
      <c r="CT4" s="176">
        <v>30000</v>
      </c>
      <c r="CU4" s="176">
        <v>30000</v>
      </c>
      <c r="CV4" s="176">
        <v>30000</v>
      </c>
      <c r="CW4" s="176">
        <v>30000</v>
      </c>
      <c r="CX4" s="176">
        <v>30000</v>
      </c>
      <c r="CY4" s="176">
        <v>30000</v>
      </c>
      <c r="CZ4" s="176">
        <v>30000</v>
      </c>
      <c r="DA4" s="176">
        <v>30000</v>
      </c>
      <c r="DB4" s="176">
        <v>30000</v>
      </c>
      <c r="DC4" s="176">
        <v>30000</v>
      </c>
      <c r="DD4" s="176">
        <v>30000</v>
      </c>
      <c r="DE4" s="176">
        <v>30000</v>
      </c>
      <c r="DF4" s="176">
        <v>30000</v>
      </c>
      <c r="DG4" s="176">
        <v>30000</v>
      </c>
      <c r="DH4" s="176">
        <v>30000</v>
      </c>
      <c r="DI4" s="176">
        <v>30000</v>
      </c>
      <c r="DJ4" s="176">
        <v>30000</v>
      </c>
      <c r="DK4" s="176">
        <v>30000</v>
      </c>
      <c r="DL4" s="176">
        <v>30000</v>
      </c>
      <c r="DM4" s="176">
        <v>30000</v>
      </c>
      <c r="DN4" s="176">
        <v>30000</v>
      </c>
      <c r="DO4" s="176">
        <v>30000</v>
      </c>
      <c r="DP4" s="176">
        <v>30000</v>
      </c>
      <c r="DQ4" s="176">
        <v>30000</v>
      </c>
      <c r="DR4" s="176">
        <v>30000</v>
      </c>
      <c r="DS4" s="176">
        <v>30000</v>
      </c>
      <c r="DT4" s="176">
        <v>30000</v>
      </c>
      <c r="DU4" s="176">
        <v>30000</v>
      </c>
      <c r="DV4" s="176">
        <v>30000</v>
      </c>
      <c r="DW4" s="176">
        <v>30000</v>
      </c>
      <c r="DX4" s="176">
        <v>30000</v>
      </c>
      <c r="DY4" s="176">
        <v>30000</v>
      </c>
      <c r="DZ4" s="176">
        <v>30000</v>
      </c>
      <c r="EA4" s="176">
        <v>30000</v>
      </c>
      <c r="EB4" s="176">
        <v>30000</v>
      </c>
      <c r="EC4" s="176">
        <v>30000</v>
      </c>
      <c r="ED4" s="176">
        <v>30000</v>
      </c>
      <c r="EE4" s="176">
        <v>30000</v>
      </c>
      <c r="EF4" s="176">
        <v>30000</v>
      </c>
      <c r="EG4" s="176">
        <v>30000</v>
      </c>
      <c r="EH4" s="176">
        <v>30000</v>
      </c>
      <c r="EI4" s="176">
        <v>30000</v>
      </c>
      <c r="EJ4" s="176">
        <v>30000</v>
      </c>
      <c r="EK4" s="176">
        <v>30000</v>
      </c>
      <c r="EL4" s="176">
        <v>30000</v>
      </c>
      <c r="EM4" s="176">
        <v>30000</v>
      </c>
      <c r="EN4" s="176">
        <v>30000</v>
      </c>
      <c r="EO4" s="176">
        <v>30000</v>
      </c>
      <c r="EP4" t="str">
        <f t="shared" ref="EP4:EP67" si="0">ROUNDDOWN(AS4/$EX$4, 0) &amp; "y " &amp; ROUND(MOD(AS4, $EX$4)/$EX$5, 0) &amp; "d"</f>
        <v>1y 331d</v>
      </c>
      <c r="ES4" s="72"/>
      <c r="ET4" s="73" t="s">
        <v>112</v>
      </c>
      <c r="EU4" s="69" t="s">
        <v>131</v>
      </c>
      <c r="EV4" s="72"/>
      <c r="EW4" s="73" t="s">
        <v>117</v>
      </c>
      <c r="EX4" s="72">
        <f>IF(EU4="Real", 31558149.7635, 9203545)</f>
        <v>31558149.763500001</v>
      </c>
    </row>
    <row r="5" spans="2:154" ht="15" customHeight="1" x14ac:dyDescent="0.25">
      <c r="B5" s="70">
        <v>2</v>
      </c>
      <c r="D5">
        <v>305239.73482389667</v>
      </c>
      <c r="E5" s="12">
        <v>-65354477309.841003</v>
      </c>
      <c r="F5" s="12">
        <v>131784885566.14709</v>
      </c>
      <c r="G5" s="12">
        <v>0</v>
      </c>
      <c r="H5" s="12">
        <v>8626167.8153619952</v>
      </c>
      <c r="I5" s="12">
        <v>899300422956.03577</v>
      </c>
      <c r="J5" s="12">
        <v>1036322412130.6075</v>
      </c>
      <c r="K5" s="12">
        <v>-53798879989.506882</v>
      </c>
      <c r="L5" s="12">
        <v>135518.31774442809</v>
      </c>
      <c r="M5" s="12">
        <v>14287146709.961565</v>
      </c>
      <c r="N5" s="12">
        <v>-150146085716.02332</v>
      </c>
      <c r="O5" s="12">
        <v>6305113.2246498</v>
      </c>
      <c r="P5" s="12">
        <v>135518.30641685566</v>
      </c>
      <c r="Q5" s="12">
        <v>14287150201.377796</v>
      </c>
      <c r="R5" s="12">
        <v>-150146086141.08521</v>
      </c>
      <c r="S5" s="12">
        <v>0</v>
      </c>
      <c r="T5" s="12">
        <v>150112.12341104168</v>
      </c>
      <c r="U5" s="12">
        <v>217987096519.67398</v>
      </c>
      <c r="V5" s="12">
        <v>97196711027.295975</v>
      </c>
      <c r="W5" s="12">
        <v>-1515564.2474929208</v>
      </c>
      <c r="X5" s="12">
        <v>111239.72745634451</v>
      </c>
      <c r="Y5" s="12">
        <v>62137755710.871429</v>
      </c>
      <c r="Z5" s="12">
        <v>-130520823094.03157</v>
      </c>
      <c r="AA5" s="12">
        <v>-196288891.13200083</v>
      </c>
      <c r="AB5" s="12"/>
      <c r="AC5" s="12"/>
      <c r="AD5" s="12"/>
      <c r="AE5" s="12"/>
      <c r="AG5" s="27">
        <v>9112811906.9527721</v>
      </c>
      <c r="AH5" s="27">
        <v>-151656289970.90024</v>
      </c>
      <c r="AI5" s="27">
        <v>0</v>
      </c>
      <c r="AJ5" s="1"/>
      <c r="AK5" s="18" t="s">
        <v>51</v>
      </c>
      <c r="AL5" s="19">
        <v>9096.7045784081129</v>
      </c>
      <c r="AM5" s="19">
        <v>1765.1317681070616</v>
      </c>
      <c r="AN5" s="19">
        <v>11096.743824598576</v>
      </c>
      <c r="AO5" s="19">
        <v>21958.58017111375</v>
      </c>
      <c r="AS5" s="31">
        <v>65418768.198534518</v>
      </c>
      <c r="AT5" s="176">
        <v>30000</v>
      </c>
      <c r="AU5" s="176">
        <v>30000</v>
      </c>
      <c r="AV5" s="176">
        <v>30000</v>
      </c>
      <c r="AW5" s="176">
        <v>30000</v>
      </c>
      <c r="AX5" s="176">
        <v>30000</v>
      </c>
      <c r="AY5" s="176">
        <v>30000</v>
      </c>
      <c r="AZ5" s="176">
        <v>30000</v>
      </c>
      <c r="BA5" s="176">
        <v>30000</v>
      </c>
      <c r="BB5" s="176">
        <v>30000</v>
      </c>
      <c r="BC5" s="176">
        <v>30000</v>
      </c>
      <c r="BD5" s="176">
        <v>30000</v>
      </c>
      <c r="BE5" s="176">
        <v>30000</v>
      </c>
      <c r="BF5" s="176">
        <v>30000</v>
      </c>
      <c r="BG5" s="176">
        <v>30000</v>
      </c>
      <c r="BH5" s="176">
        <v>30000</v>
      </c>
      <c r="BI5" s="176">
        <v>30000</v>
      </c>
      <c r="BJ5" s="176">
        <v>30000</v>
      </c>
      <c r="BK5" s="176">
        <v>30000</v>
      </c>
      <c r="BL5" s="176">
        <v>30000</v>
      </c>
      <c r="BM5" s="176">
        <v>30000</v>
      </c>
      <c r="BN5" s="176">
        <v>30000</v>
      </c>
      <c r="BO5" s="176">
        <v>30000</v>
      </c>
      <c r="BP5" s="176">
        <v>30000</v>
      </c>
      <c r="BQ5" s="176">
        <v>30000</v>
      </c>
      <c r="BR5" s="176">
        <v>30000</v>
      </c>
      <c r="BS5" s="176">
        <v>30000</v>
      </c>
      <c r="BT5" s="176">
        <v>30000</v>
      </c>
      <c r="BU5" s="176">
        <v>30000</v>
      </c>
      <c r="BV5" s="176">
        <v>30000</v>
      </c>
      <c r="BW5" s="176">
        <v>30000</v>
      </c>
      <c r="BX5" s="176">
        <v>30000</v>
      </c>
      <c r="BY5" s="176">
        <v>30000</v>
      </c>
      <c r="BZ5" s="176">
        <v>30000</v>
      </c>
      <c r="CA5" s="176">
        <v>30000</v>
      </c>
      <c r="CB5" s="176">
        <v>30000</v>
      </c>
      <c r="CC5" s="176">
        <v>30000</v>
      </c>
      <c r="CD5" s="176">
        <v>30000</v>
      </c>
      <c r="CE5" s="176">
        <v>30000</v>
      </c>
      <c r="CF5" s="176">
        <v>30000</v>
      </c>
      <c r="CG5" s="176">
        <v>30000</v>
      </c>
      <c r="CH5" s="176">
        <v>30000</v>
      </c>
      <c r="CI5" s="176">
        <v>30000</v>
      </c>
      <c r="CJ5" s="176">
        <v>30000</v>
      </c>
      <c r="CK5" s="176">
        <v>30000</v>
      </c>
      <c r="CL5" s="176">
        <v>30000</v>
      </c>
      <c r="CM5" s="176">
        <v>30000</v>
      </c>
      <c r="CN5" s="176">
        <v>30000</v>
      </c>
      <c r="CO5" s="176">
        <v>30000</v>
      </c>
      <c r="CP5" s="176">
        <v>30000</v>
      </c>
      <c r="CQ5" s="176">
        <v>30000</v>
      </c>
      <c r="CR5" s="176">
        <v>30000</v>
      </c>
      <c r="CS5" s="176">
        <v>30000</v>
      </c>
      <c r="CT5" s="176">
        <v>30000</v>
      </c>
      <c r="CU5" s="176">
        <v>30000</v>
      </c>
      <c r="CV5" s="176">
        <v>30000</v>
      </c>
      <c r="CW5" s="176">
        <v>30000</v>
      </c>
      <c r="CX5" s="176">
        <v>30000</v>
      </c>
      <c r="CY5" s="176">
        <v>30000</v>
      </c>
      <c r="CZ5" s="176">
        <v>30000</v>
      </c>
      <c r="DA5" s="176">
        <v>30000</v>
      </c>
      <c r="DB5" s="176">
        <v>30000</v>
      </c>
      <c r="DC5" s="176">
        <v>30000</v>
      </c>
      <c r="DD5" s="176">
        <v>30000</v>
      </c>
      <c r="DE5" s="176">
        <v>30000</v>
      </c>
      <c r="DF5" s="176">
        <v>30000</v>
      </c>
      <c r="DG5" s="176">
        <v>30000</v>
      </c>
      <c r="DH5" s="176">
        <v>30000</v>
      </c>
      <c r="DI5" s="176">
        <v>30000</v>
      </c>
      <c r="DJ5" s="176">
        <v>30000</v>
      </c>
      <c r="DK5" s="176">
        <v>30000</v>
      </c>
      <c r="DL5" s="176">
        <v>30000</v>
      </c>
      <c r="DM5" s="176">
        <v>30000</v>
      </c>
      <c r="DN5" s="176">
        <v>30000</v>
      </c>
      <c r="DO5" s="176">
        <v>30000</v>
      </c>
      <c r="DP5" s="176">
        <v>30000</v>
      </c>
      <c r="DQ5" s="176">
        <v>30000</v>
      </c>
      <c r="DR5" s="176">
        <v>30000</v>
      </c>
      <c r="DS5" s="176">
        <v>30000</v>
      </c>
      <c r="DT5" s="176">
        <v>30000</v>
      </c>
      <c r="DU5" s="176">
        <v>30000</v>
      </c>
      <c r="DV5" s="176">
        <v>30000</v>
      </c>
      <c r="DW5" s="176">
        <v>30000</v>
      </c>
      <c r="DX5" s="176">
        <v>30000</v>
      </c>
      <c r="DY5" s="176">
        <v>30000</v>
      </c>
      <c r="DZ5" s="176">
        <v>30000</v>
      </c>
      <c r="EA5" s="176">
        <v>30000</v>
      </c>
      <c r="EB5" s="176">
        <v>30000</v>
      </c>
      <c r="EC5" s="176">
        <v>30000</v>
      </c>
      <c r="ED5" s="176">
        <v>30000</v>
      </c>
      <c r="EE5" s="176">
        <v>30000</v>
      </c>
      <c r="EF5" s="176">
        <v>30000</v>
      </c>
      <c r="EG5" s="176">
        <v>30000</v>
      </c>
      <c r="EH5" s="176">
        <v>30000</v>
      </c>
      <c r="EI5" s="176">
        <v>30000</v>
      </c>
      <c r="EJ5" s="176">
        <v>30000</v>
      </c>
      <c r="EK5" s="176">
        <v>30000</v>
      </c>
      <c r="EL5" s="176">
        <v>30000</v>
      </c>
      <c r="EM5" s="176">
        <v>30000</v>
      </c>
      <c r="EN5" s="176">
        <v>30000</v>
      </c>
      <c r="EO5" s="176">
        <v>30000</v>
      </c>
      <c r="EP5" t="str">
        <f t="shared" si="0"/>
        <v>2y 27d</v>
      </c>
      <c r="ES5" s="72"/>
      <c r="ET5" s="73" t="s">
        <v>21</v>
      </c>
      <c r="EU5" s="69" t="s">
        <v>79</v>
      </c>
      <c r="EV5" s="72"/>
      <c r="EW5" s="73" t="s">
        <v>118</v>
      </c>
      <c r="EX5" s="72">
        <f>IF(EU4="Real", 86400, 21600)</f>
        <v>86400</v>
      </c>
    </row>
    <row r="6" spans="2:154" ht="15" customHeight="1" x14ac:dyDescent="0.25">
      <c r="B6" s="70">
        <v>3</v>
      </c>
      <c r="D6">
        <v>610503.33014433598</v>
      </c>
      <c r="E6" s="12">
        <v>-73505610444.21344</v>
      </c>
      <c r="F6" s="12">
        <v>127430304733.5712</v>
      </c>
      <c r="G6" s="12">
        <v>0</v>
      </c>
      <c r="H6" s="12">
        <v>17211537.91715337</v>
      </c>
      <c r="I6" s="12">
        <v>830553073708.8645</v>
      </c>
      <c r="J6" s="12">
        <v>1088331156489.2892</v>
      </c>
      <c r="K6" s="12">
        <v>-51972207485.73082</v>
      </c>
      <c r="L6" s="12">
        <v>269146.84614408959</v>
      </c>
      <c r="M6" s="12">
        <v>19379398992.182201</v>
      </c>
      <c r="N6" s="12">
        <v>-148552572035.78732</v>
      </c>
      <c r="O6" s="12">
        <v>12517924.631175349</v>
      </c>
      <c r="P6" s="12">
        <v>269146.82473636488</v>
      </c>
      <c r="Q6" s="12">
        <v>19379405967.157745</v>
      </c>
      <c r="R6" s="12">
        <v>-148552572885.00601</v>
      </c>
      <c r="S6" s="12">
        <v>0</v>
      </c>
      <c r="T6" s="12">
        <v>303742.20024942822</v>
      </c>
      <c r="U6" s="12">
        <v>218971954440.79672</v>
      </c>
      <c r="V6" s="12">
        <v>101788706046.29138</v>
      </c>
      <c r="W6" s="12">
        <v>-3066300.8907690956</v>
      </c>
      <c r="X6" s="12">
        <v>222185.0940274134</v>
      </c>
      <c r="Y6" s="12">
        <v>66117869064.602806</v>
      </c>
      <c r="Z6" s="12">
        <v>-128370552851.80713</v>
      </c>
      <c r="AA6" s="12">
        <v>-391952167.59238964</v>
      </c>
      <c r="AB6" s="12"/>
      <c r="AC6" s="12"/>
      <c r="AD6" s="12"/>
      <c r="AE6" s="12"/>
      <c r="AG6" s="27"/>
      <c r="AH6" s="27"/>
      <c r="AI6" s="27"/>
      <c r="AK6" s="70" t="s">
        <v>52</v>
      </c>
      <c r="AL6" s="19"/>
      <c r="AM6" s="19"/>
      <c r="AN6" s="19"/>
      <c r="AO6" s="19"/>
      <c r="AS6" s="31">
        <v>70685533.434857219</v>
      </c>
      <c r="AT6" s="176">
        <v>30000</v>
      </c>
      <c r="AU6" s="176">
        <v>30000</v>
      </c>
      <c r="AV6" s="176">
        <v>30000</v>
      </c>
      <c r="AW6" s="176">
        <v>30000</v>
      </c>
      <c r="AX6" s="176">
        <v>30000</v>
      </c>
      <c r="AY6" s="176">
        <v>30000</v>
      </c>
      <c r="AZ6" s="176">
        <v>30000</v>
      </c>
      <c r="BA6" s="176">
        <v>30000</v>
      </c>
      <c r="BB6" s="176">
        <v>30000</v>
      </c>
      <c r="BC6" s="176">
        <v>30000</v>
      </c>
      <c r="BD6" s="176">
        <v>30000</v>
      </c>
      <c r="BE6" s="176">
        <v>30000</v>
      </c>
      <c r="BF6" s="176">
        <v>30000</v>
      </c>
      <c r="BG6" s="176">
        <v>30000</v>
      </c>
      <c r="BH6" s="176">
        <v>30000</v>
      </c>
      <c r="BI6" s="176">
        <v>30000</v>
      </c>
      <c r="BJ6" s="176">
        <v>30000</v>
      </c>
      <c r="BK6" s="176">
        <v>30000</v>
      </c>
      <c r="BL6" s="176">
        <v>30000</v>
      </c>
      <c r="BM6" s="176">
        <v>30000</v>
      </c>
      <c r="BN6" s="176">
        <v>30000</v>
      </c>
      <c r="BO6" s="176">
        <v>30000</v>
      </c>
      <c r="BP6" s="176">
        <v>30000</v>
      </c>
      <c r="BQ6" s="176">
        <v>30000</v>
      </c>
      <c r="BR6" s="176">
        <v>30000</v>
      </c>
      <c r="BS6" s="176">
        <v>30000</v>
      </c>
      <c r="BT6" s="176">
        <v>30000</v>
      </c>
      <c r="BU6" s="176">
        <v>30000</v>
      </c>
      <c r="BV6" s="176">
        <v>30000</v>
      </c>
      <c r="BW6" s="176">
        <v>30000</v>
      </c>
      <c r="BX6" s="176">
        <v>30000</v>
      </c>
      <c r="BY6" s="176">
        <v>30000</v>
      </c>
      <c r="BZ6" s="176">
        <v>30000</v>
      </c>
      <c r="CA6" s="176">
        <v>30000</v>
      </c>
      <c r="CB6" s="176">
        <v>30000</v>
      </c>
      <c r="CC6" s="176">
        <v>30000</v>
      </c>
      <c r="CD6" s="176">
        <v>30000</v>
      </c>
      <c r="CE6" s="176">
        <v>30000</v>
      </c>
      <c r="CF6" s="176">
        <v>30000</v>
      </c>
      <c r="CG6" s="176">
        <v>30000</v>
      </c>
      <c r="CH6" s="176">
        <v>30000</v>
      </c>
      <c r="CI6" s="176">
        <v>30000</v>
      </c>
      <c r="CJ6" s="176">
        <v>30000</v>
      </c>
      <c r="CK6" s="176">
        <v>30000</v>
      </c>
      <c r="CL6" s="176">
        <v>30000</v>
      </c>
      <c r="CM6" s="176">
        <v>30000</v>
      </c>
      <c r="CN6" s="176">
        <v>30000</v>
      </c>
      <c r="CO6" s="176">
        <v>30000</v>
      </c>
      <c r="CP6" s="176">
        <v>30000</v>
      </c>
      <c r="CQ6" s="176">
        <v>30000</v>
      </c>
      <c r="CR6" s="176">
        <v>30000</v>
      </c>
      <c r="CS6" s="176">
        <v>30000</v>
      </c>
      <c r="CT6" s="176">
        <v>30000</v>
      </c>
      <c r="CU6" s="176">
        <v>30000</v>
      </c>
      <c r="CV6" s="176">
        <v>30000</v>
      </c>
      <c r="CW6" s="176">
        <v>30000</v>
      </c>
      <c r="CX6" s="176">
        <v>30000</v>
      </c>
      <c r="CY6" s="176">
        <v>30000</v>
      </c>
      <c r="CZ6" s="176">
        <v>30000</v>
      </c>
      <c r="DA6" s="176">
        <v>30000</v>
      </c>
      <c r="DB6" s="176">
        <v>30000</v>
      </c>
      <c r="DC6" s="176">
        <v>30000</v>
      </c>
      <c r="DD6" s="176">
        <v>30000</v>
      </c>
      <c r="DE6" s="176">
        <v>30000</v>
      </c>
      <c r="DF6" s="176">
        <v>27196.388257356801</v>
      </c>
      <c r="DG6" s="176">
        <v>27988.461772975839</v>
      </c>
      <c r="DH6" s="176">
        <v>28830.965771770541</v>
      </c>
      <c r="DI6" s="176">
        <v>29719.665596972634</v>
      </c>
      <c r="DJ6" s="176">
        <v>30000</v>
      </c>
      <c r="DK6" s="176">
        <v>30000</v>
      </c>
      <c r="DL6" s="176">
        <v>30000</v>
      </c>
      <c r="DM6" s="176">
        <v>30000</v>
      </c>
      <c r="DN6" s="176">
        <v>30000</v>
      </c>
      <c r="DO6" s="176">
        <v>30000</v>
      </c>
      <c r="DP6" s="176">
        <v>30000</v>
      </c>
      <c r="DQ6" s="176">
        <v>30000</v>
      </c>
      <c r="DR6" s="176">
        <v>30000</v>
      </c>
      <c r="DS6" s="176">
        <v>30000</v>
      </c>
      <c r="DT6" s="176">
        <v>30000</v>
      </c>
      <c r="DU6" s="176">
        <v>30000</v>
      </c>
      <c r="DV6" s="176">
        <v>30000</v>
      </c>
      <c r="DW6" s="176">
        <v>30000</v>
      </c>
      <c r="DX6" s="176">
        <v>30000</v>
      </c>
      <c r="DY6" s="176">
        <v>30000</v>
      </c>
      <c r="DZ6" s="176">
        <v>30000</v>
      </c>
      <c r="EA6" s="176">
        <v>30000</v>
      </c>
      <c r="EB6" s="176">
        <v>30000</v>
      </c>
      <c r="EC6" s="176">
        <v>30000</v>
      </c>
      <c r="ED6" s="176">
        <v>30000</v>
      </c>
      <c r="EE6" s="176">
        <v>30000</v>
      </c>
      <c r="EF6" s="176">
        <v>30000</v>
      </c>
      <c r="EG6" s="176">
        <v>30000</v>
      </c>
      <c r="EH6" s="176">
        <v>30000</v>
      </c>
      <c r="EI6" s="176">
        <v>30000</v>
      </c>
      <c r="EJ6" s="176">
        <v>30000</v>
      </c>
      <c r="EK6" s="176">
        <v>30000</v>
      </c>
      <c r="EL6" s="176">
        <v>30000</v>
      </c>
      <c r="EM6" s="176">
        <v>30000</v>
      </c>
      <c r="EN6" s="176">
        <v>30000</v>
      </c>
      <c r="EO6" s="176">
        <v>30000</v>
      </c>
      <c r="EP6" t="str">
        <f t="shared" si="0"/>
        <v>2y 88d</v>
      </c>
      <c r="ES6" s="72"/>
      <c r="ET6" s="73" t="s">
        <v>40</v>
      </c>
      <c r="EU6" s="69" t="s">
        <v>87</v>
      </c>
      <c r="EV6" s="72"/>
      <c r="EW6" s="72"/>
      <c r="EX6" s="72"/>
    </row>
    <row r="7" spans="2:154" ht="15" customHeight="1" x14ac:dyDescent="0.25">
      <c r="B7" s="70">
        <v>4</v>
      </c>
      <c r="D7">
        <v>915830.29530674999</v>
      </c>
      <c r="E7" s="12">
        <v>-81373046884.347137</v>
      </c>
      <c r="F7" s="12">
        <v>122580067363.39917</v>
      </c>
      <c r="G7" s="12">
        <v>0</v>
      </c>
      <c r="H7" s="12">
        <v>25759101.265100166</v>
      </c>
      <c r="I7" s="12">
        <v>758972376414.17688</v>
      </c>
      <c r="J7" s="12">
        <v>1136001640799.3708</v>
      </c>
      <c r="K7" s="12">
        <v>-49957340519.010185</v>
      </c>
      <c r="L7" s="12">
        <v>401060.32336237346</v>
      </c>
      <c r="M7" s="12">
        <v>24392910856.911854</v>
      </c>
      <c r="N7" s="12">
        <v>-146876884843.06036</v>
      </c>
      <c r="O7" s="12">
        <v>18642354.763688475</v>
      </c>
      <c r="P7" s="12">
        <v>401060.29305424273</v>
      </c>
      <c r="Q7" s="12">
        <v>24392921308.135452</v>
      </c>
      <c r="R7" s="12">
        <v>-146876886114.64215</v>
      </c>
      <c r="S7" s="12">
        <v>0</v>
      </c>
      <c r="T7" s="12">
        <v>461021.87441600946</v>
      </c>
      <c r="U7" s="12">
        <v>219929777233.74771</v>
      </c>
      <c r="V7" s="12">
        <v>106466342622.13071</v>
      </c>
      <c r="W7" s="12">
        <v>-4653169.5456143655</v>
      </c>
      <c r="X7" s="12">
        <v>332934.49877481756</v>
      </c>
      <c r="Y7" s="12">
        <v>70055196857.955322</v>
      </c>
      <c r="Z7" s="12">
        <v>-126154659016.75046</v>
      </c>
      <c r="AA7" s="12">
        <v>-587057897.75506878</v>
      </c>
      <c r="AB7" s="12"/>
      <c r="AC7" s="12"/>
      <c r="AD7" s="12"/>
      <c r="AE7" s="12"/>
      <c r="AG7" s="208" t="s">
        <v>35</v>
      </c>
      <c r="AH7" s="208"/>
      <c r="AI7" s="208"/>
      <c r="AK7" s="70" t="s">
        <v>58</v>
      </c>
      <c r="AL7" s="19">
        <v>9096.8509781538123</v>
      </c>
      <c r="AM7" s="19">
        <v>0</v>
      </c>
      <c r="AN7" s="19">
        <v>11097.935981341456</v>
      </c>
      <c r="AO7" s="19">
        <v>20194.786959495268</v>
      </c>
      <c r="AP7" t="s">
        <v>31</v>
      </c>
      <c r="AS7" s="31">
        <v>75952298.67117992</v>
      </c>
      <c r="AT7" s="176">
        <v>30000</v>
      </c>
      <c r="AU7" s="176">
        <v>30000</v>
      </c>
      <c r="AV7" s="176">
        <v>30000</v>
      </c>
      <c r="AW7" s="176">
        <v>30000</v>
      </c>
      <c r="AX7" s="176">
        <v>30000</v>
      </c>
      <c r="AY7" s="176">
        <v>30000</v>
      </c>
      <c r="AZ7" s="176">
        <v>30000</v>
      </c>
      <c r="BA7" s="176">
        <v>30000</v>
      </c>
      <c r="BB7" s="176">
        <v>30000</v>
      </c>
      <c r="BC7" s="176">
        <v>30000</v>
      </c>
      <c r="BD7" s="176">
        <v>30000</v>
      </c>
      <c r="BE7" s="176">
        <v>30000</v>
      </c>
      <c r="BF7" s="176">
        <v>30000</v>
      </c>
      <c r="BG7" s="176">
        <v>30000</v>
      </c>
      <c r="BH7" s="176">
        <v>30000</v>
      </c>
      <c r="BI7" s="176">
        <v>30000</v>
      </c>
      <c r="BJ7" s="176">
        <v>30000</v>
      </c>
      <c r="BK7" s="176">
        <v>30000</v>
      </c>
      <c r="BL7" s="176">
        <v>30000</v>
      </c>
      <c r="BM7" s="176">
        <v>30000</v>
      </c>
      <c r="BN7" s="176">
        <v>30000</v>
      </c>
      <c r="BO7" s="176">
        <v>30000</v>
      </c>
      <c r="BP7" s="176">
        <v>30000</v>
      </c>
      <c r="BQ7" s="176">
        <v>30000</v>
      </c>
      <c r="BR7" s="176">
        <v>30000</v>
      </c>
      <c r="BS7" s="176">
        <v>30000</v>
      </c>
      <c r="BT7" s="176">
        <v>30000</v>
      </c>
      <c r="BU7" s="176">
        <v>30000</v>
      </c>
      <c r="BV7" s="176">
        <v>30000</v>
      </c>
      <c r="BW7" s="176">
        <v>30000</v>
      </c>
      <c r="BX7" s="176">
        <v>30000</v>
      </c>
      <c r="BY7" s="176">
        <v>30000</v>
      </c>
      <c r="BZ7" s="176">
        <v>30000</v>
      </c>
      <c r="CA7" s="176">
        <v>30000</v>
      </c>
      <c r="CB7" s="176">
        <v>30000</v>
      </c>
      <c r="CC7" s="176">
        <v>29537.840994168579</v>
      </c>
      <c r="CD7" s="176">
        <v>28999.510776401468</v>
      </c>
      <c r="CE7" s="176">
        <v>28539.769483500088</v>
      </c>
      <c r="CF7" s="176">
        <v>28262.53492529118</v>
      </c>
      <c r="CG7" s="176">
        <v>27724.148179393906</v>
      </c>
      <c r="CH7" s="176">
        <v>27138.6944993248</v>
      </c>
      <c r="CI7" s="176">
        <v>26570.830377644259</v>
      </c>
      <c r="CJ7" s="176">
        <v>26023.707144645188</v>
      </c>
      <c r="CK7" s="176">
        <v>25500.865154560113</v>
      </c>
      <c r="CL7" s="176">
        <v>25006.238341610191</v>
      </c>
      <c r="CM7" s="176">
        <v>24527.904010889142</v>
      </c>
      <c r="CN7" s="176">
        <v>23883.844493308919</v>
      </c>
      <c r="CO7" s="176">
        <v>23379.767635420019</v>
      </c>
      <c r="CP7" s="176">
        <v>22970.119355598872</v>
      </c>
      <c r="CQ7" s="176">
        <v>22638.25732209257</v>
      </c>
      <c r="CR7" s="176">
        <v>22378.644957123033</v>
      </c>
      <c r="CS7" s="176">
        <v>22190.476773326423</v>
      </c>
      <c r="CT7" s="176">
        <v>22074.974126867368</v>
      </c>
      <c r="CU7" s="176">
        <v>22034.048293992528</v>
      </c>
      <c r="CV7" s="176">
        <v>22069.54421373026</v>
      </c>
      <c r="CW7" s="176">
        <v>22182.775130043759</v>
      </c>
      <c r="CX7" s="176">
        <v>22374.241375276666</v>
      </c>
      <c r="CY7" s="176">
        <v>22643.493944479604</v>
      </c>
      <c r="CZ7" s="176">
        <v>22989.120800996236</v>
      </c>
      <c r="DA7" s="176">
        <v>23408.830428396388</v>
      </c>
      <c r="DB7" s="176">
        <v>23899.600325742413</v>
      </c>
      <c r="DC7" s="176">
        <v>24457.856651114889</v>
      </c>
      <c r="DD7" s="176">
        <v>25079.656322021907</v>
      </c>
      <c r="DE7" s="176">
        <v>25760.851708706279</v>
      </c>
      <c r="DF7" s="176">
        <v>26497.227180197282</v>
      </c>
      <c r="DG7" s="176">
        <v>27284.604068703142</v>
      </c>
      <c r="DH7" s="176">
        <v>28118.915460348417</v>
      </c>
      <c r="DI7" s="176">
        <v>28996.254854150873</v>
      </c>
      <c r="DJ7" s="176">
        <v>29912.903748564218</v>
      </c>
      <c r="DK7" s="176">
        <v>30000</v>
      </c>
      <c r="DL7" s="176">
        <v>30000</v>
      </c>
      <c r="DM7" s="176">
        <v>30000</v>
      </c>
      <c r="DN7" s="176">
        <v>30000</v>
      </c>
      <c r="DO7" s="176">
        <v>30000</v>
      </c>
      <c r="DP7" s="176">
        <v>30000</v>
      </c>
      <c r="DQ7" s="176">
        <v>30000</v>
      </c>
      <c r="DR7" s="176">
        <v>30000</v>
      </c>
      <c r="DS7" s="176">
        <v>30000</v>
      </c>
      <c r="DT7" s="176">
        <v>30000</v>
      </c>
      <c r="DU7" s="176">
        <v>30000</v>
      </c>
      <c r="DV7" s="176">
        <v>30000</v>
      </c>
      <c r="DW7" s="176">
        <v>30000</v>
      </c>
      <c r="DX7" s="176">
        <v>30000</v>
      </c>
      <c r="DY7" s="176">
        <v>30000</v>
      </c>
      <c r="DZ7" s="176">
        <v>30000</v>
      </c>
      <c r="EA7" s="176">
        <v>30000</v>
      </c>
      <c r="EB7" s="176">
        <v>30000</v>
      </c>
      <c r="EC7" s="176">
        <v>30000</v>
      </c>
      <c r="ED7" s="176">
        <v>30000</v>
      </c>
      <c r="EE7" s="176">
        <v>30000</v>
      </c>
      <c r="EF7" s="176">
        <v>30000</v>
      </c>
      <c r="EG7" s="176">
        <v>30000</v>
      </c>
      <c r="EH7" s="176">
        <v>30000</v>
      </c>
      <c r="EI7" s="176">
        <v>30000</v>
      </c>
      <c r="EJ7" s="176">
        <v>30000</v>
      </c>
      <c r="EK7" s="176">
        <v>30000</v>
      </c>
      <c r="EL7" s="176">
        <v>30000</v>
      </c>
      <c r="EM7" s="176">
        <v>30000</v>
      </c>
      <c r="EN7" s="176">
        <v>30000</v>
      </c>
      <c r="EO7" s="176">
        <v>30000</v>
      </c>
      <c r="EP7" t="str">
        <f t="shared" si="0"/>
        <v>2y 149d</v>
      </c>
      <c r="ES7" s="72"/>
      <c r="ET7" s="73" t="s">
        <v>113</v>
      </c>
      <c r="EU7" s="69" t="str">
        <f>AT103</f>
        <v>y1 d1</v>
      </c>
      <c r="EV7" s="72"/>
      <c r="EW7" s="72"/>
      <c r="EX7" s="72"/>
    </row>
    <row r="8" spans="2:154" ht="15" customHeight="1" x14ac:dyDescent="0.25">
      <c r="B8" s="70">
        <v>5</v>
      </c>
      <c r="D8">
        <v>1221259.9263001352</v>
      </c>
      <c r="E8" s="12">
        <v>-88927130815.213669</v>
      </c>
      <c r="F8" s="12">
        <v>117252182777.72112</v>
      </c>
      <c r="G8" s="12">
        <v>0</v>
      </c>
      <c r="H8" s="12">
        <v>34271940.556634918</v>
      </c>
      <c r="I8" s="12">
        <v>684822238763.89221</v>
      </c>
      <c r="J8" s="12">
        <v>1179197572600.6892</v>
      </c>
      <c r="K8" s="12">
        <v>-47762395024.788208</v>
      </c>
      <c r="L8" s="12">
        <v>531426.68699624611</v>
      </c>
      <c r="M8" s="12">
        <v>29330869516.268719</v>
      </c>
      <c r="N8" s="12">
        <v>-145119951324.36557</v>
      </c>
      <c r="O8" s="12">
        <v>24682153.6984073</v>
      </c>
      <c r="P8" s="12">
        <v>531426.6489059676</v>
      </c>
      <c r="Q8" s="12">
        <v>29330883436.992191</v>
      </c>
      <c r="R8" s="12">
        <v>-145119953015.69958</v>
      </c>
      <c r="S8" s="12">
        <v>0</v>
      </c>
      <c r="T8" s="12">
        <v>622088.55436618091</v>
      </c>
      <c r="U8" s="12">
        <v>220859400680.14755</v>
      </c>
      <c r="V8" s="12">
        <v>111231790600.05551</v>
      </c>
      <c r="W8" s="12">
        <v>-6277161.775340273</v>
      </c>
      <c r="X8" s="12">
        <v>443585.75492580334</v>
      </c>
      <c r="Y8" s="12">
        <v>73951158806.924927</v>
      </c>
      <c r="Z8" s="12">
        <v>-123872520989.6012</v>
      </c>
      <c r="AA8" s="12">
        <v>-781673324.8078717</v>
      </c>
      <c r="AB8" s="12"/>
      <c r="AC8" s="12"/>
      <c r="AD8" s="12"/>
      <c r="AE8" s="12"/>
      <c r="AG8" s="70" t="s">
        <v>22</v>
      </c>
      <c r="AH8" s="70" t="s">
        <v>23</v>
      </c>
      <c r="AI8" s="70" t="s">
        <v>26</v>
      </c>
      <c r="AS8" s="31">
        <v>81219063.907502621</v>
      </c>
      <c r="AT8" s="176">
        <v>30000</v>
      </c>
      <c r="AU8" s="176">
        <v>30000</v>
      </c>
      <c r="AV8" s="176">
        <v>30000</v>
      </c>
      <c r="AW8" s="176">
        <v>30000</v>
      </c>
      <c r="AX8" s="176">
        <v>30000</v>
      </c>
      <c r="AY8" s="176">
        <v>30000</v>
      </c>
      <c r="AZ8" s="176">
        <v>30000</v>
      </c>
      <c r="BA8" s="176">
        <v>30000</v>
      </c>
      <c r="BB8" s="176">
        <v>30000</v>
      </c>
      <c r="BC8" s="176">
        <v>30000</v>
      </c>
      <c r="BD8" s="176">
        <v>30000</v>
      </c>
      <c r="BE8" s="176">
        <v>30000</v>
      </c>
      <c r="BF8" s="176">
        <v>30000</v>
      </c>
      <c r="BG8" s="176">
        <v>30000</v>
      </c>
      <c r="BH8" s="176">
        <v>30000</v>
      </c>
      <c r="BI8" s="176">
        <v>30000</v>
      </c>
      <c r="BJ8" s="176">
        <v>30000</v>
      </c>
      <c r="BK8" s="176">
        <v>30000</v>
      </c>
      <c r="BL8" s="176">
        <v>30000</v>
      </c>
      <c r="BM8" s="176">
        <v>30000</v>
      </c>
      <c r="BN8" s="176">
        <v>30000</v>
      </c>
      <c r="BO8" s="176">
        <v>30000</v>
      </c>
      <c r="BP8" s="176">
        <v>30000</v>
      </c>
      <c r="BQ8" s="176">
        <v>30000</v>
      </c>
      <c r="BR8" s="176">
        <v>30000</v>
      </c>
      <c r="BS8" s="176">
        <v>30000</v>
      </c>
      <c r="BT8" s="176">
        <v>30000</v>
      </c>
      <c r="BU8" s="176">
        <v>30000</v>
      </c>
      <c r="BV8" s="176">
        <v>30000</v>
      </c>
      <c r="BW8" s="176">
        <v>30000</v>
      </c>
      <c r="BX8" s="176">
        <v>30000</v>
      </c>
      <c r="BY8" s="176">
        <v>30000</v>
      </c>
      <c r="BZ8" s="176">
        <v>30000</v>
      </c>
      <c r="CA8" s="176">
        <v>29543.892379284527</v>
      </c>
      <c r="CB8" s="176">
        <v>28937.881477202995</v>
      </c>
      <c r="CC8" s="176">
        <v>28350.840827478689</v>
      </c>
      <c r="CD8" s="176">
        <v>27793.396537769175</v>
      </c>
      <c r="CE8" s="176">
        <v>27287.062946371407</v>
      </c>
      <c r="CF8" s="176">
        <v>26882.64251071414</v>
      </c>
      <c r="CG8" s="176">
        <v>26543.16364158949</v>
      </c>
      <c r="CH8" s="176">
        <v>25974.992804756464</v>
      </c>
      <c r="CI8" s="176">
        <v>25426.594675192642</v>
      </c>
      <c r="CJ8" s="176">
        <v>24901.115726879674</v>
      </c>
      <c r="CK8" s="176">
        <v>24402.065812510125</v>
      </c>
      <c r="CL8" s="176">
        <v>23933.316043981005</v>
      </c>
      <c r="CM8" s="176">
        <v>23499.079912006524</v>
      </c>
      <c r="CN8" s="176">
        <v>23058.907616316246</v>
      </c>
      <c r="CO8" s="176">
        <v>22533.251810992078</v>
      </c>
      <c r="CP8" s="176">
        <v>22129.429695048995</v>
      </c>
      <c r="CQ8" s="176">
        <v>21815.826775466943</v>
      </c>
      <c r="CR8" s="176">
        <v>21580.69648948696</v>
      </c>
      <c r="CS8" s="176">
        <v>21420.154945120059</v>
      </c>
      <c r="CT8" s="176">
        <v>21333.609353293716</v>
      </c>
      <c r="CU8" s="176">
        <v>21321.716799384812</v>
      </c>
      <c r="CV8" s="176">
        <v>21385.342684582087</v>
      </c>
      <c r="CW8" s="176">
        <v>21524.982770318828</v>
      </c>
      <c r="CX8" s="176">
        <v>21740.448049242532</v>
      </c>
      <c r="CY8" s="176">
        <v>22030.72926654225</v>
      </c>
      <c r="CZ8" s="176">
        <v>22393.993945067239</v>
      </c>
      <c r="DA8" s="176">
        <v>22827.675814274065</v>
      </c>
      <c r="DB8" s="176">
        <v>23328.618194798095</v>
      </c>
      <c r="DC8" s="176">
        <v>23893.237829056277</v>
      </c>
      <c r="DD8" s="176">
        <v>24517.68422605854</v>
      </c>
      <c r="DE8" s="176">
        <v>25197.979157066526</v>
      </c>
      <c r="DF8" s="176">
        <v>25930.129163380898</v>
      </c>
      <c r="DG8" s="176">
        <v>26710.20983350715</v>
      </c>
      <c r="DH8" s="176">
        <v>27534.424015838682</v>
      </c>
      <c r="DI8" s="176">
        <v>28399.138353670598</v>
      </c>
      <c r="DJ8" s="176">
        <v>29300.902220711701</v>
      </c>
      <c r="DK8" s="176">
        <v>30000</v>
      </c>
      <c r="DL8" s="176">
        <v>30000</v>
      </c>
      <c r="DM8" s="176">
        <v>30000</v>
      </c>
      <c r="DN8" s="176">
        <v>30000</v>
      </c>
      <c r="DO8" s="176">
        <v>30000</v>
      </c>
      <c r="DP8" s="176">
        <v>30000</v>
      </c>
      <c r="DQ8" s="176">
        <v>30000</v>
      </c>
      <c r="DR8" s="176">
        <v>30000</v>
      </c>
      <c r="DS8" s="176">
        <v>30000</v>
      </c>
      <c r="DT8" s="176">
        <v>30000</v>
      </c>
      <c r="DU8" s="176">
        <v>30000</v>
      </c>
      <c r="DV8" s="176">
        <v>30000</v>
      </c>
      <c r="DW8" s="176">
        <v>30000</v>
      </c>
      <c r="DX8" s="176">
        <v>30000</v>
      </c>
      <c r="DY8" s="176">
        <v>30000</v>
      </c>
      <c r="DZ8" s="176">
        <v>30000</v>
      </c>
      <c r="EA8" s="176">
        <v>30000</v>
      </c>
      <c r="EB8" s="176">
        <v>30000</v>
      </c>
      <c r="EC8" s="176">
        <v>30000</v>
      </c>
      <c r="ED8" s="176">
        <v>30000</v>
      </c>
      <c r="EE8" s="176">
        <v>30000</v>
      </c>
      <c r="EF8" s="176">
        <v>30000</v>
      </c>
      <c r="EG8" s="176">
        <v>30000</v>
      </c>
      <c r="EH8" s="176">
        <v>30000</v>
      </c>
      <c r="EI8" s="176">
        <v>30000</v>
      </c>
      <c r="EJ8" s="176">
        <v>30000</v>
      </c>
      <c r="EK8" s="176">
        <v>30000</v>
      </c>
      <c r="EL8" s="176">
        <v>30000</v>
      </c>
      <c r="EM8" s="176">
        <v>30000</v>
      </c>
      <c r="EN8" s="176">
        <v>30000</v>
      </c>
      <c r="EO8" s="176">
        <v>30000</v>
      </c>
      <c r="EP8" t="str">
        <f t="shared" si="0"/>
        <v>2y 210d</v>
      </c>
      <c r="ES8" s="72"/>
      <c r="ET8" s="73" t="s">
        <v>116</v>
      </c>
      <c r="EU8" s="69" t="str">
        <f>EO103</f>
        <v>y1 d1</v>
      </c>
      <c r="EV8" s="72"/>
      <c r="EW8" s="72"/>
      <c r="EX8" s="72"/>
    </row>
    <row r="9" spans="2:154" ht="15" customHeight="1" x14ac:dyDescent="0.25">
      <c r="B9" s="70">
        <v>6</v>
      </c>
      <c r="D9">
        <v>1526831.1729879519</v>
      </c>
      <c r="E9" s="12">
        <v>-96139293243.464233</v>
      </c>
      <c r="F9" s="12">
        <v>111466381728.80965</v>
      </c>
      <c r="G9" s="12">
        <v>0</v>
      </c>
      <c r="H9" s="12">
        <v>42753220.545005329</v>
      </c>
      <c r="I9" s="12">
        <v>608370749767.69531</v>
      </c>
      <c r="J9" s="12">
        <v>1217797519898.6697</v>
      </c>
      <c r="K9" s="12">
        <v>-45395912007.431091</v>
      </c>
      <c r="L9" s="12">
        <v>660407.80894280423</v>
      </c>
      <c r="M9" s="12">
        <v>34196314315.189957</v>
      </c>
      <c r="N9" s="12">
        <v>-143282497811.47037</v>
      </c>
      <c r="O9" s="12">
        <v>30640908.888706986</v>
      </c>
      <c r="P9" s="12">
        <v>660407.76413238817</v>
      </c>
      <c r="Q9" s="12">
        <v>34196331699.25132</v>
      </c>
      <c r="R9" s="12">
        <v>-143282499919.19</v>
      </c>
      <c r="S9" s="12">
        <v>0</v>
      </c>
      <c r="T9" s="12">
        <v>787085.70706216362</v>
      </c>
      <c r="U9" s="12">
        <v>221759602426.16861</v>
      </c>
      <c r="V9" s="12">
        <v>116087283856.76955</v>
      </c>
      <c r="W9" s="12">
        <v>-7939302.180469228</v>
      </c>
      <c r="X9" s="12">
        <v>554236.38266121759</v>
      </c>
      <c r="Y9" s="12">
        <v>77807106860.387405</v>
      </c>
      <c r="Z9" s="12">
        <v>-121523407365.6657</v>
      </c>
      <c r="AA9" s="12">
        <v>-975864928.45078862</v>
      </c>
      <c r="AB9" s="12"/>
      <c r="AC9" s="12"/>
      <c r="AD9" s="12"/>
      <c r="AE9" s="12"/>
      <c r="AG9" s="27">
        <v>0</v>
      </c>
      <c r="AH9" s="27">
        <v>0</v>
      </c>
      <c r="AI9" s="27">
        <v>0</v>
      </c>
      <c r="AS9" s="31">
        <v>86485829.143825322</v>
      </c>
      <c r="AT9" s="176">
        <v>30000</v>
      </c>
      <c r="AU9" s="176">
        <v>30000</v>
      </c>
      <c r="AV9" s="176">
        <v>30000</v>
      </c>
      <c r="AW9" s="176">
        <v>30000</v>
      </c>
      <c r="AX9" s="176">
        <v>30000</v>
      </c>
      <c r="AY9" s="176">
        <v>30000</v>
      </c>
      <c r="AZ9" s="176">
        <v>30000</v>
      </c>
      <c r="BA9" s="176">
        <v>30000</v>
      </c>
      <c r="BB9" s="176">
        <v>30000</v>
      </c>
      <c r="BC9" s="176">
        <v>30000</v>
      </c>
      <c r="BD9" s="176">
        <v>30000</v>
      </c>
      <c r="BE9" s="176">
        <v>30000</v>
      </c>
      <c r="BF9" s="176">
        <v>30000</v>
      </c>
      <c r="BG9" s="176">
        <v>30000</v>
      </c>
      <c r="BH9" s="176">
        <v>30000</v>
      </c>
      <c r="BI9" s="176">
        <v>30000</v>
      </c>
      <c r="BJ9" s="176">
        <v>30000</v>
      </c>
      <c r="BK9" s="176">
        <v>30000</v>
      </c>
      <c r="BL9" s="176">
        <v>30000</v>
      </c>
      <c r="BM9" s="176">
        <v>30000</v>
      </c>
      <c r="BN9" s="176">
        <v>30000</v>
      </c>
      <c r="BO9" s="176">
        <v>30000</v>
      </c>
      <c r="BP9" s="176">
        <v>30000</v>
      </c>
      <c r="BQ9" s="176">
        <v>30000</v>
      </c>
      <c r="BR9" s="176">
        <v>30000</v>
      </c>
      <c r="BS9" s="176">
        <v>30000</v>
      </c>
      <c r="BT9" s="176">
        <v>30000</v>
      </c>
      <c r="BU9" s="176">
        <v>30000</v>
      </c>
      <c r="BV9" s="176">
        <v>30000</v>
      </c>
      <c r="BW9" s="176">
        <v>30000</v>
      </c>
      <c r="BX9" s="176">
        <v>30000</v>
      </c>
      <c r="BY9" s="176">
        <v>29875.091306705977</v>
      </c>
      <c r="BZ9" s="176">
        <v>29242.905251445831</v>
      </c>
      <c r="CA9" s="176">
        <v>28620.536843871902</v>
      </c>
      <c r="CB9" s="176">
        <v>28010.730809179768</v>
      </c>
      <c r="CC9" s="176">
        <v>27417.682072505893</v>
      </c>
      <c r="CD9" s="176">
        <v>26848.338559556796</v>
      </c>
      <c r="CE9" s="176">
        <v>26315.474568953301</v>
      </c>
      <c r="CF9" s="176">
        <v>25845.928423871857</v>
      </c>
      <c r="CG9" s="176">
        <v>25506.729778420231</v>
      </c>
      <c r="CH9" s="176">
        <v>25047.885617610289</v>
      </c>
      <c r="CI9" s="176">
        <v>24515.276115694927</v>
      </c>
      <c r="CJ9" s="176">
        <v>24007.396733877518</v>
      </c>
      <c r="CK9" s="176">
        <v>23527.707717180656</v>
      </c>
      <c r="CL9" s="176">
        <v>23079.998958365824</v>
      </c>
      <c r="CM9" s="176">
        <v>22668.363263215069</v>
      </c>
      <c r="CN9" s="176">
        <v>22297.147202254837</v>
      </c>
      <c r="CO9" s="176">
        <v>21896.98186971977</v>
      </c>
      <c r="CP9" s="176">
        <v>21482.517163532146</v>
      </c>
      <c r="CQ9" s="176">
        <v>21176.581219975371</v>
      </c>
      <c r="CR9" s="176">
        <v>20957.392022098549</v>
      </c>
      <c r="CS9" s="176">
        <v>20816.67674084894</v>
      </c>
      <c r="CT9" s="176">
        <v>20751.556630522908</v>
      </c>
      <c r="CU9" s="176">
        <v>20761.283725583413</v>
      </c>
      <c r="CV9" s="176">
        <v>20845.732213156465</v>
      </c>
      <c r="CW9" s="176">
        <v>21004.636437281097</v>
      </c>
      <c r="CX9" s="176">
        <v>21237.208496616007</v>
      </c>
      <c r="CY9" s="176">
        <v>21541.983039587147</v>
      </c>
      <c r="CZ9" s="176">
        <v>21916.808969640424</v>
      </c>
      <c r="DA9" s="176">
        <v>22358.932333627316</v>
      </c>
      <c r="DB9" s="176">
        <v>22865.126549444452</v>
      </c>
      <c r="DC9" s="176">
        <v>23431.837321064573</v>
      </c>
      <c r="DD9" s="176">
        <v>24055.320129453386</v>
      </c>
      <c r="DE9" s="176">
        <v>24731.758130084869</v>
      </c>
      <c r="DF9" s="176">
        <v>25457.355455122441</v>
      </c>
      <c r="DG9" s="176">
        <v>26228.40572350131</v>
      </c>
      <c r="DH9" s="176">
        <v>27041.338273857495</v>
      </c>
      <c r="DI9" s="176">
        <v>27892.745863524902</v>
      </c>
      <c r="DJ9" s="176">
        <v>28779.397854587936</v>
      </c>
      <c r="DK9" s="176">
        <v>29698.242650028915</v>
      </c>
      <c r="DL9" s="176">
        <v>30000</v>
      </c>
      <c r="DM9" s="176">
        <v>30000</v>
      </c>
      <c r="DN9" s="176">
        <v>30000</v>
      </c>
      <c r="DO9" s="176">
        <v>30000</v>
      </c>
      <c r="DP9" s="176">
        <v>30000</v>
      </c>
      <c r="DQ9" s="176">
        <v>30000</v>
      </c>
      <c r="DR9" s="176">
        <v>30000</v>
      </c>
      <c r="DS9" s="176">
        <v>30000</v>
      </c>
      <c r="DT9" s="176">
        <v>30000</v>
      </c>
      <c r="DU9" s="176">
        <v>30000</v>
      </c>
      <c r="DV9" s="176">
        <v>30000</v>
      </c>
      <c r="DW9" s="176">
        <v>30000</v>
      </c>
      <c r="DX9" s="176">
        <v>30000</v>
      </c>
      <c r="DY9" s="176">
        <v>30000</v>
      </c>
      <c r="DZ9" s="176">
        <v>30000</v>
      </c>
      <c r="EA9" s="176">
        <v>30000</v>
      </c>
      <c r="EB9" s="176">
        <v>30000</v>
      </c>
      <c r="EC9" s="176">
        <v>30000</v>
      </c>
      <c r="ED9" s="176">
        <v>30000</v>
      </c>
      <c r="EE9" s="176">
        <v>30000</v>
      </c>
      <c r="EF9" s="176">
        <v>30000</v>
      </c>
      <c r="EG9" s="176">
        <v>30000</v>
      </c>
      <c r="EH9" s="176">
        <v>30000</v>
      </c>
      <c r="EI9" s="176">
        <v>30000</v>
      </c>
      <c r="EJ9" s="176">
        <v>30000</v>
      </c>
      <c r="EK9" s="176">
        <v>30000</v>
      </c>
      <c r="EL9" s="176">
        <v>30000</v>
      </c>
      <c r="EM9" s="176">
        <v>30000</v>
      </c>
      <c r="EN9" s="176">
        <v>30000</v>
      </c>
      <c r="EO9" s="176">
        <v>30000</v>
      </c>
      <c r="EP9" t="str">
        <f t="shared" si="0"/>
        <v>2y 270d</v>
      </c>
      <c r="ET9" s="73" t="s">
        <v>114</v>
      </c>
      <c r="EU9" s="69" t="str">
        <f>EP3</f>
        <v>1y 270d</v>
      </c>
    </row>
    <row r="10" spans="2:154" ht="15" customHeight="1" x14ac:dyDescent="0.25">
      <c r="B10" s="70">
        <v>7</v>
      </c>
      <c r="D10">
        <v>1832582.5068482845</v>
      </c>
      <c r="E10" s="12">
        <v>-102982145762.86708</v>
      </c>
      <c r="F10" s="12">
        <v>105244057996.02403</v>
      </c>
      <c r="G10" s="12">
        <v>0</v>
      </c>
      <c r="H10" s="12">
        <v>51206178.73896154</v>
      </c>
      <c r="I10" s="12">
        <v>529889522149.99158</v>
      </c>
      <c r="J10" s="12">
        <v>1251694732402.1362</v>
      </c>
      <c r="K10" s="12">
        <v>-42866828287.069191</v>
      </c>
      <c r="L10" s="12">
        <v>788160.18601592851</v>
      </c>
      <c r="M10" s="12">
        <v>38992143236.970657</v>
      </c>
      <c r="N10" s="12">
        <v>-141365056647.40292</v>
      </c>
      <c r="O10" s="12">
        <v>36522052.461658046</v>
      </c>
      <c r="P10" s="12">
        <v>788160.13549675292</v>
      </c>
      <c r="Q10" s="12">
        <v>38992164078.822136</v>
      </c>
      <c r="R10" s="12">
        <v>-141365059167.439</v>
      </c>
      <c r="S10" s="12">
        <v>0</v>
      </c>
      <c r="T10" s="12">
        <v>956163.16837822401</v>
      </c>
      <c r="U10" s="12">
        <v>222629099123.41367</v>
      </c>
      <c r="V10" s="12">
        <v>121035122097.70482</v>
      </c>
      <c r="W10" s="12">
        <v>-9640649.5209553111</v>
      </c>
      <c r="X10" s="12">
        <v>664983.90028660407</v>
      </c>
      <c r="Y10" s="12">
        <v>81624326472.504715</v>
      </c>
      <c r="Z10" s="12">
        <v>-119106475425.86087</v>
      </c>
      <c r="AA10" s="12">
        <v>-1169698484.3389287</v>
      </c>
      <c r="AB10" s="12"/>
      <c r="AC10" s="12"/>
      <c r="AD10" s="12"/>
      <c r="AE10" s="12"/>
      <c r="AG10" s="27">
        <v>-533060606165.17072</v>
      </c>
      <c r="AH10" s="27">
        <v>1247855305997.5251</v>
      </c>
      <c r="AI10" s="27">
        <v>-548564865.11165714</v>
      </c>
      <c r="AS10" s="31">
        <v>91752594.380148023</v>
      </c>
      <c r="AT10" s="176">
        <v>30000</v>
      </c>
      <c r="AU10" s="176">
        <v>30000</v>
      </c>
      <c r="AV10" s="176">
        <v>30000</v>
      </c>
      <c r="AW10" s="176">
        <v>30000</v>
      </c>
      <c r="AX10" s="176">
        <v>30000</v>
      </c>
      <c r="AY10" s="176">
        <v>30000</v>
      </c>
      <c r="AZ10" s="176">
        <v>30000</v>
      </c>
      <c r="BA10" s="176">
        <v>30000</v>
      </c>
      <c r="BB10" s="176">
        <v>30000</v>
      </c>
      <c r="BC10" s="176">
        <v>30000</v>
      </c>
      <c r="BD10" s="176">
        <v>30000</v>
      </c>
      <c r="BE10" s="176">
        <v>30000</v>
      </c>
      <c r="BF10" s="176">
        <v>30000</v>
      </c>
      <c r="BG10" s="176">
        <v>30000</v>
      </c>
      <c r="BH10" s="176">
        <v>30000</v>
      </c>
      <c r="BI10" s="176">
        <v>30000</v>
      </c>
      <c r="BJ10" s="176">
        <v>30000</v>
      </c>
      <c r="BK10" s="176">
        <v>30000</v>
      </c>
      <c r="BL10" s="176">
        <v>30000</v>
      </c>
      <c r="BM10" s="176">
        <v>30000</v>
      </c>
      <c r="BN10" s="176">
        <v>30000</v>
      </c>
      <c r="BO10" s="176">
        <v>30000</v>
      </c>
      <c r="BP10" s="176">
        <v>30000</v>
      </c>
      <c r="BQ10" s="176">
        <v>30000</v>
      </c>
      <c r="BR10" s="176">
        <v>30000</v>
      </c>
      <c r="BS10" s="176">
        <v>30000</v>
      </c>
      <c r="BT10" s="176">
        <v>30000</v>
      </c>
      <c r="BU10" s="176">
        <v>30000</v>
      </c>
      <c r="BV10" s="176">
        <v>30000</v>
      </c>
      <c r="BW10" s="176">
        <v>30000</v>
      </c>
      <c r="BX10" s="176">
        <v>29805.806480443985</v>
      </c>
      <c r="BY10" s="176">
        <v>29160.703691947208</v>
      </c>
      <c r="BZ10" s="176">
        <v>28524.35327628694</v>
      </c>
      <c r="CA10" s="176">
        <v>27898.350577125926</v>
      </c>
      <c r="CB10" s="176">
        <v>27284.874189243998</v>
      </c>
      <c r="CC10" s="176">
        <v>26687.045735889122</v>
      </c>
      <c r="CD10" s="176">
        <v>26109.649635750378</v>
      </c>
      <c r="CE10" s="176">
        <v>25560.713220891503</v>
      </c>
      <c r="CF10" s="176">
        <v>25055.38179121435</v>
      </c>
      <c r="CG10" s="176">
        <v>24626.849397607046</v>
      </c>
      <c r="CH10" s="176">
        <v>24308.505485040343</v>
      </c>
      <c r="CI10" s="176">
        <v>23788.290872269004</v>
      </c>
      <c r="CJ10" s="176">
        <v>23294.293984016469</v>
      </c>
      <c r="CK10" s="176">
        <v>22829.911334525954</v>
      </c>
      <c r="CL10" s="176">
        <v>22398.840017273254</v>
      </c>
      <c r="CM10" s="176">
        <v>22005.044698814905</v>
      </c>
      <c r="CN10" s="176">
        <v>21652.702717229207</v>
      </c>
      <c r="CO10" s="176">
        <v>21346.123127923631</v>
      </c>
      <c r="CP10" s="176">
        <v>20987.271117097116</v>
      </c>
      <c r="CQ10" s="176">
        <v>20677.606755754769</v>
      </c>
      <c r="CR10" s="176">
        <v>20466.395498088787</v>
      </c>
      <c r="CS10" s="176">
        <v>20338.742477010703</v>
      </c>
      <c r="CT10" s="176">
        <v>20288.729260755121</v>
      </c>
      <c r="CU10" s="176">
        <v>20313.955015103464</v>
      </c>
      <c r="CV10" s="176">
        <v>20413.252040291605</v>
      </c>
      <c r="CW10" s="176">
        <v>20585.62789845356</v>
      </c>
      <c r="CX10" s="176">
        <v>20829.767880657146</v>
      </c>
      <c r="CY10" s="176">
        <v>21143.83437660836</v>
      </c>
      <c r="CZ10" s="176">
        <v>21525.436830430794</v>
      </c>
      <c r="DA10" s="176">
        <v>21971.697551106365</v>
      </c>
      <c r="DB10" s="176">
        <v>22479.363587686632</v>
      </c>
      <c r="DC10" s="176">
        <v>23044.931593111571</v>
      </c>
      <c r="DD10" s="176">
        <v>23664.765511923521</v>
      </c>
      <c r="DE10" s="176">
        <v>24335.196416121704</v>
      </c>
      <c r="DF10" s="176">
        <v>25052.600920450306</v>
      </c>
      <c r="DG10" s="176">
        <v>25813.45771421352</v>
      </c>
      <c r="DH10" s="176">
        <v>26614.385088536234</v>
      </c>
      <c r="DI10" s="176">
        <v>27452.162562630467</v>
      </c>
      <c r="DJ10" s="176">
        <v>28323.74004409527</v>
      </c>
      <c r="DK10" s="176">
        <v>29226.23802257522</v>
      </c>
      <c r="DL10" s="176">
        <v>30000</v>
      </c>
      <c r="DM10" s="176">
        <v>30000</v>
      </c>
      <c r="DN10" s="176">
        <v>30000</v>
      </c>
      <c r="DO10" s="176">
        <v>30000</v>
      </c>
      <c r="DP10" s="176">
        <v>30000</v>
      </c>
      <c r="DQ10" s="176">
        <v>30000</v>
      </c>
      <c r="DR10" s="176">
        <v>30000</v>
      </c>
      <c r="DS10" s="176">
        <v>30000</v>
      </c>
      <c r="DT10" s="176">
        <v>30000</v>
      </c>
      <c r="DU10" s="176">
        <v>30000</v>
      </c>
      <c r="DV10" s="176">
        <v>30000</v>
      </c>
      <c r="DW10" s="176">
        <v>30000</v>
      </c>
      <c r="DX10" s="176">
        <v>30000</v>
      </c>
      <c r="DY10" s="176">
        <v>30000</v>
      </c>
      <c r="DZ10" s="176">
        <v>30000</v>
      </c>
      <c r="EA10" s="176">
        <v>30000</v>
      </c>
      <c r="EB10" s="176">
        <v>30000</v>
      </c>
      <c r="EC10" s="176">
        <v>30000</v>
      </c>
      <c r="ED10" s="176">
        <v>30000</v>
      </c>
      <c r="EE10" s="176">
        <v>30000</v>
      </c>
      <c r="EF10" s="176">
        <v>30000</v>
      </c>
      <c r="EG10" s="176">
        <v>30000</v>
      </c>
      <c r="EH10" s="176">
        <v>30000</v>
      </c>
      <c r="EI10" s="176">
        <v>30000</v>
      </c>
      <c r="EJ10" s="176">
        <v>30000</v>
      </c>
      <c r="EK10" s="176">
        <v>30000</v>
      </c>
      <c r="EL10" s="176">
        <v>30000</v>
      </c>
      <c r="EM10" s="176">
        <v>30000</v>
      </c>
      <c r="EN10" s="176">
        <v>30000</v>
      </c>
      <c r="EO10" s="176">
        <v>30000</v>
      </c>
      <c r="EP10" t="str">
        <f t="shared" si="0"/>
        <v>2y 331d</v>
      </c>
      <c r="ET10" s="73" t="s">
        <v>115</v>
      </c>
      <c r="EU10" s="69" t="str">
        <f>EP102</f>
        <v>18y 95d</v>
      </c>
    </row>
    <row r="11" spans="2:154" ht="15" customHeight="1" x14ac:dyDescent="0.25">
      <c r="B11" s="70">
        <v>8</v>
      </c>
      <c r="D11">
        <v>2138551.7894317899</v>
      </c>
      <c r="E11" s="12">
        <v>-109429572133.00426</v>
      </c>
      <c r="F11" s="12">
        <v>98608205593.143158</v>
      </c>
      <c r="G11" s="12">
        <v>0</v>
      </c>
      <c r="H11" s="12">
        <v>59634116.467369325</v>
      </c>
      <c r="I11" s="12">
        <v>449653087737.5882</v>
      </c>
      <c r="J11" s="12">
        <v>1280796959229.0576</v>
      </c>
      <c r="K11" s="12">
        <v>-40184449291.247978</v>
      </c>
      <c r="L11" s="12">
        <v>914835.59179288603</v>
      </c>
      <c r="M11" s="12">
        <v>43721118910.244347</v>
      </c>
      <c r="N11" s="12">
        <v>-139367972105.52902</v>
      </c>
      <c r="O11" s="12">
        <v>42328867.985663995</v>
      </c>
      <c r="P11" s="12">
        <v>914835.53653036524</v>
      </c>
      <c r="Q11" s="12">
        <v>43721143204.968925</v>
      </c>
      <c r="R11" s="12">
        <v>-139367975033.15924</v>
      </c>
      <c r="S11" s="12">
        <v>0</v>
      </c>
      <c r="T11" s="12">
        <v>1129477.4709392074</v>
      </c>
      <c r="U11" s="12">
        <v>223466543422.13962</v>
      </c>
      <c r="V11" s="12">
        <v>126077672678.82486</v>
      </c>
      <c r="W11" s="12">
        <v>-11382297.870976439</v>
      </c>
      <c r="X11" s="12">
        <v>775926.11539230007</v>
      </c>
      <c r="Y11" s="12">
        <v>85404037656.758194</v>
      </c>
      <c r="Z11" s="12">
        <v>-116620770261.82896</v>
      </c>
      <c r="AA11" s="12">
        <v>-1363239121.2197063</v>
      </c>
      <c r="AB11" s="12"/>
      <c r="AC11" s="12"/>
      <c r="AD11" s="12"/>
      <c r="AE11" s="12"/>
      <c r="AG11" s="27"/>
      <c r="AH11" s="27"/>
      <c r="AI11" s="27"/>
      <c r="AS11" s="31">
        <v>97019359.616470724</v>
      </c>
      <c r="AT11" s="176">
        <v>30000</v>
      </c>
      <c r="AU11" s="176">
        <v>30000</v>
      </c>
      <c r="AV11" s="176">
        <v>30000</v>
      </c>
      <c r="AW11" s="176">
        <v>30000</v>
      </c>
      <c r="AX11" s="176">
        <v>30000</v>
      </c>
      <c r="AY11" s="176">
        <v>30000</v>
      </c>
      <c r="AZ11" s="176">
        <v>30000</v>
      </c>
      <c r="BA11" s="176">
        <v>30000</v>
      </c>
      <c r="BB11" s="176">
        <v>30000</v>
      </c>
      <c r="BC11" s="176">
        <v>30000</v>
      </c>
      <c r="BD11" s="176">
        <v>30000</v>
      </c>
      <c r="BE11" s="176">
        <v>30000</v>
      </c>
      <c r="BF11" s="176">
        <v>30000</v>
      </c>
      <c r="BG11" s="176">
        <v>30000</v>
      </c>
      <c r="BH11" s="176">
        <v>30000</v>
      </c>
      <c r="BI11" s="176">
        <v>30000</v>
      </c>
      <c r="BJ11" s="176">
        <v>30000</v>
      </c>
      <c r="BK11" s="176">
        <v>30000</v>
      </c>
      <c r="BL11" s="176">
        <v>30000</v>
      </c>
      <c r="BM11" s="176">
        <v>30000</v>
      </c>
      <c r="BN11" s="176">
        <v>30000</v>
      </c>
      <c r="BO11" s="176">
        <v>30000</v>
      </c>
      <c r="BP11" s="176">
        <v>30000</v>
      </c>
      <c r="BQ11" s="176">
        <v>30000</v>
      </c>
      <c r="BR11" s="176">
        <v>30000</v>
      </c>
      <c r="BS11" s="176">
        <v>30000</v>
      </c>
      <c r="BT11" s="176">
        <v>30000</v>
      </c>
      <c r="BU11" s="176">
        <v>30000</v>
      </c>
      <c r="BV11" s="176">
        <v>30000</v>
      </c>
      <c r="BW11" s="176">
        <v>29920.883324537979</v>
      </c>
      <c r="BX11" s="176">
        <v>29261.694455661433</v>
      </c>
      <c r="BY11" s="176">
        <v>28611.002606431102</v>
      </c>
      <c r="BZ11" s="176">
        <v>27969.891438258193</v>
      </c>
      <c r="CA11" s="176">
        <v>27339.741869860722</v>
      </c>
      <c r="CB11" s="176">
        <v>26722.355756962686</v>
      </c>
      <c r="CC11" s="176">
        <v>26120.170791221382</v>
      </c>
      <c r="CD11" s="176">
        <v>25536.66492252436</v>
      </c>
      <c r="CE11" s="176">
        <v>24977.187038311633</v>
      </c>
      <c r="CF11" s="176">
        <v>24450.842243730574</v>
      </c>
      <c r="CG11" s="176">
        <v>23975.317456124423</v>
      </c>
      <c r="CH11" s="176">
        <v>23591.295295731528</v>
      </c>
      <c r="CI11" s="176">
        <v>23209.013089926932</v>
      </c>
      <c r="CJ11" s="176">
        <v>22725.501563439761</v>
      </c>
      <c r="CK11" s="176">
        <v>22272.736230988532</v>
      </c>
      <c r="CL11" s="176">
        <v>21854.315199879402</v>
      </c>
      <c r="CM11" s="176">
        <v>21474.073948318495</v>
      </c>
      <c r="CN11" s="176">
        <v>21136.026056710372</v>
      </c>
      <c r="CO11" s="176">
        <v>20844.279548292983</v>
      </c>
      <c r="CP11" s="176">
        <v>20602.928125234048</v>
      </c>
      <c r="CQ11" s="176">
        <v>20287.790613252546</v>
      </c>
      <c r="CR11" s="176">
        <v>20076.791169834745</v>
      </c>
      <c r="CS11" s="176">
        <v>19956.278575250886</v>
      </c>
      <c r="CT11" s="176">
        <v>19916.080456464762</v>
      </c>
      <c r="CU11" s="176">
        <v>19951.762415430258</v>
      </c>
      <c r="CV11" s="176">
        <v>20061.022404294839</v>
      </c>
      <c r="CW11" s="176">
        <v>20242.158721061198</v>
      </c>
      <c r="CX11" s="176">
        <v>20493.389162525451</v>
      </c>
      <c r="CY11" s="176">
        <v>20812.573461982473</v>
      </c>
      <c r="CZ11" s="176">
        <v>21197.14500640941</v>
      </c>
      <c r="DA11" s="176">
        <v>21644.150916872175</v>
      </c>
      <c r="DB11" s="176">
        <v>22150.342218575843</v>
      </c>
      <c r="DC11" s="176">
        <v>22712.279020317012</v>
      </c>
      <c r="DD11" s="176">
        <v>23326.430786161654</v>
      </c>
      <c r="DE11" s="176">
        <v>23989.261742861556</v>
      </c>
      <c r="DF11" s="176">
        <v>24697.297371725304</v>
      </c>
      <c r="DG11" s="176">
        <v>25447.172552534488</v>
      </c>
      <c r="DH11" s="176">
        <v>26235.66272830555</v>
      </c>
      <c r="DI11" s="176">
        <v>27059.701328763655</v>
      </c>
      <c r="DJ11" s="176">
        <v>27916.386364174512</v>
      </c>
      <c r="DK11" s="176">
        <v>28802.979043382024</v>
      </c>
      <c r="DL11" s="176">
        <v>29716.896854962903</v>
      </c>
      <c r="DM11" s="176">
        <v>30000</v>
      </c>
      <c r="DN11" s="176">
        <v>30000</v>
      </c>
      <c r="DO11" s="176">
        <v>30000</v>
      </c>
      <c r="DP11" s="176">
        <v>30000</v>
      </c>
      <c r="DQ11" s="176">
        <v>30000</v>
      </c>
      <c r="DR11" s="176">
        <v>30000</v>
      </c>
      <c r="DS11" s="176">
        <v>30000</v>
      </c>
      <c r="DT11" s="176">
        <v>30000</v>
      </c>
      <c r="DU11" s="176">
        <v>30000</v>
      </c>
      <c r="DV11" s="176">
        <v>30000</v>
      </c>
      <c r="DW11" s="176">
        <v>30000</v>
      </c>
      <c r="DX11" s="176">
        <v>30000</v>
      </c>
      <c r="DY11" s="176">
        <v>30000</v>
      </c>
      <c r="DZ11" s="176">
        <v>30000</v>
      </c>
      <c r="EA11" s="176">
        <v>30000</v>
      </c>
      <c r="EB11" s="176">
        <v>30000</v>
      </c>
      <c r="EC11" s="176">
        <v>30000</v>
      </c>
      <c r="ED11" s="176">
        <v>30000</v>
      </c>
      <c r="EE11" s="176">
        <v>30000</v>
      </c>
      <c r="EF11" s="176">
        <v>30000</v>
      </c>
      <c r="EG11" s="176">
        <v>30000</v>
      </c>
      <c r="EH11" s="176">
        <v>30000</v>
      </c>
      <c r="EI11" s="176">
        <v>30000</v>
      </c>
      <c r="EJ11" s="176">
        <v>30000</v>
      </c>
      <c r="EK11" s="176">
        <v>30000</v>
      </c>
      <c r="EL11" s="176">
        <v>30000</v>
      </c>
      <c r="EM11" s="176">
        <v>30000</v>
      </c>
      <c r="EN11" s="176">
        <v>30000</v>
      </c>
      <c r="EO11" s="176">
        <v>30000</v>
      </c>
      <c r="EP11" t="str">
        <f t="shared" si="0"/>
        <v>3y 27d</v>
      </c>
      <c r="EU11" s="69"/>
    </row>
    <row r="12" spans="2:154" x14ac:dyDescent="0.25">
      <c r="B12" s="70">
        <v>9</v>
      </c>
      <c r="D12">
        <v>2444776.1417583693</v>
      </c>
      <c r="E12" s="12">
        <v>-115456817554.88956</v>
      </c>
      <c r="F12" s="12">
        <v>91583351529.150009</v>
      </c>
      <c r="G12" s="12">
        <v>0</v>
      </c>
      <c r="H12" s="12">
        <v>68040390.285466433</v>
      </c>
      <c r="I12" s="12">
        <v>367938341342.97845</v>
      </c>
      <c r="J12" s="12">
        <v>1305026269690.6213</v>
      </c>
      <c r="K12" s="12">
        <v>-37358423827.86219</v>
      </c>
      <c r="L12" s="12">
        <v>1040581.6947433385</v>
      </c>
      <c r="M12" s="12">
        <v>48385874135.678337</v>
      </c>
      <c r="N12" s="12">
        <v>-137291405412.84825</v>
      </c>
      <c r="O12" s="12">
        <v>48064496.727399878</v>
      </c>
      <c r="P12" s="12">
        <v>1040581.635661333</v>
      </c>
      <c r="Q12" s="12">
        <v>48385901879.009781</v>
      </c>
      <c r="R12" s="12">
        <v>-137291408742.73886</v>
      </c>
      <c r="S12" s="12">
        <v>0</v>
      </c>
      <c r="T12" s="12">
        <v>1307192.19043163</v>
      </c>
      <c r="U12" s="12">
        <v>224270520809.41299</v>
      </c>
      <c r="V12" s="12">
        <v>131217372449.50555</v>
      </c>
      <c r="W12" s="12">
        <v>-13165377.806188909</v>
      </c>
      <c r="X12" s="12">
        <v>887161.41761046543</v>
      </c>
      <c r="Y12" s="12">
        <v>89147395819.476044</v>
      </c>
      <c r="Z12" s="12">
        <v>-114065223535.14368</v>
      </c>
      <c r="AA12" s="12">
        <v>-1556551375.6791401</v>
      </c>
      <c r="AB12" s="12"/>
      <c r="AC12" s="12"/>
      <c r="AD12" s="12"/>
      <c r="AE12" s="12"/>
      <c r="AG12" s="208" t="s">
        <v>36</v>
      </c>
      <c r="AH12" s="208"/>
      <c r="AI12" s="208"/>
      <c r="AS12" s="31">
        <v>102286124.85279343</v>
      </c>
      <c r="AT12" s="176">
        <v>30000</v>
      </c>
      <c r="AU12" s="176">
        <v>30000</v>
      </c>
      <c r="AV12" s="176">
        <v>30000</v>
      </c>
      <c r="AW12" s="176">
        <v>30000</v>
      </c>
      <c r="AX12" s="176">
        <v>30000</v>
      </c>
      <c r="AY12" s="176">
        <v>30000</v>
      </c>
      <c r="AZ12" s="176">
        <v>30000</v>
      </c>
      <c r="BA12" s="176">
        <v>30000</v>
      </c>
      <c r="BB12" s="176">
        <v>30000</v>
      </c>
      <c r="BC12" s="176">
        <v>30000</v>
      </c>
      <c r="BD12" s="176">
        <v>30000</v>
      </c>
      <c r="BE12" s="176">
        <v>30000</v>
      </c>
      <c r="BF12" s="176">
        <v>30000</v>
      </c>
      <c r="BG12" s="176">
        <v>30000</v>
      </c>
      <c r="BH12" s="176">
        <v>30000</v>
      </c>
      <c r="BI12" s="176">
        <v>30000</v>
      </c>
      <c r="BJ12" s="176">
        <v>30000</v>
      </c>
      <c r="BK12" s="176">
        <v>30000</v>
      </c>
      <c r="BL12" s="176">
        <v>30000</v>
      </c>
      <c r="BM12" s="176">
        <v>30000</v>
      </c>
      <c r="BN12" s="176">
        <v>30000</v>
      </c>
      <c r="BO12" s="176">
        <v>30000</v>
      </c>
      <c r="BP12" s="176">
        <v>30000</v>
      </c>
      <c r="BQ12" s="176">
        <v>30000</v>
      </c>
      <c r="BR12" s="176">
        <v>30000</v>
      </c>
      <c r="BS12" s="176">
        <v>30000</v>
      </c>
      <c r="BT12" s="176">
        <v>30000</v>
      </c>
      <c r="BU12" s="176">
        <v>30000</v>
      </c>
      <c r="BV12" s="176">
        <v>30000</v>
      </c>
      <c r="BW12" s="176">
        <v>29520.35359432195</v>
      </c>
      <c r="BX12" s="176">
        <v>28854.077430532052</v>
      </c>
      <c r="BY12" s="176">
        <v>28197.181242547951</v>
      </c>
      <c r="BZ12" s="176">
        <v>27550.660306425365</v>
      </c>
      <c r="CA12" s="176">
        <v>26915.746179420847</v>
      </c>
      <c r="CB12" s="176">
        <v>26293.986897829411</v>
      </c>
      <c r="CC12" s="176">
        <v>25687.377601117856</v>
      </c>
      <c r="CD12" s="176">
        <v>25098.591056985715</v>
      </c>
      <c r="CE12" s="176">
        <v>24531.42103297529</v>
      </c>
      <c r="CF12" s="176">
        <v>23991.719182890545</v>
      </c>
      <c r="CG12" s="176">
        <v>23489.60009408923</v>
      </c>
      <c r="CH12" s="176">
        <v>23045.360250291997</v>
      </c>
      <c r="CI12" s="176">
        <v>22708.352231269819</v>
      </c>
      <c r="CJ12" s="176">
        <v>22273.440008942573</v>
      </c>
      <c r="CK12" s="176">
        <v>21828.953350029737</v>
      </c>
      <c r="CL12" s="176">
        <v>21419.59103181196</v>
      </c>
      <c r="CM12" s="176">
        <v>21049.062391070111</v>
      </c>
      <c r="CN12" s="176">
        <v>20721.227168354351</v>
      </c>
      <c r="CO12" s="176">
        <v>20440.010567113739</v>
      </c>
      <c r="CP12" s="176">
        <v>20209.29510367128</v>
      </c>
      <c r="CQ12" s="176">
        <v>19984.719884087666</v>
      </c>
      <c r="CR12" s="176">
        <v>19765.799405288242</v>
      </c>
      <c r="CS12" s="176">
        <v>19647.159720846128</v>
      </c>
      <c r="CT12" s="176">
        <v>19612.361779688727</v>
      </c>
      <c r="CU12" s="176">
        <v>19654.365455769497</v>
      </c>
      <c r="CV12" s="176">
        <v>19769.595784632227</v>
      </c>
      <c r="CW12" s="176">
        <v>19955.647401352155</v>
      </c>
      <c r="CX12" s="176">
        <v>20210.323048621249</v>
      </c>
      <c r="CY12" s="176">
        <v>20531.241300027192</v>
      </c>
      <c r="CZ12" s="176">
        <v>20915.713184663051</v>
      </c>
      <c r="DA12" s="176">
        <v>21360.749717538009</v>
      </c>
      <c r="DB12" s="176">
        <v>21863.128619603431</v>
      </c>
      <c r="DC12" s="176">
        <v>22419.481036737008</v>
      </c>
      <c r="DD12" s="176">
        <v>23026.377059883132</v>
      </c>
      <c r="DE12" s="176">
        <v>23680.399555266671</v>
      </c>
      <c r="DF12" s="176">
        <v>24378.20217991589</v>
      </c>
      <c r="DG12" s="176">
        <v>25116.551132610683</v>
      </c>
      <c r="DH12" s="176">
        <v>25892.352159565071</v>
      </c>
      <c r="DI12" s="176">
        <v>26702.665133256021</v>
      </c>
      <c r="DJ12" s="176">
        <v>27544.709341496589</v>
      </c>
      <c r="DK12" s="176">
        <v>28415.860938171918</v>
      </c>
      <c r="DL12" s="176">
        <v>29313.645996373998</v>
      </c>
      <c r="DM12" s="176">
        <v>30000</v>
      </c>
      <c r="DN12" s="176">
        <v>30000</v>
      </c>
      <c r="DO12" s="176">
        <v>30000</v>
      </c>
      <c r="DP12" s="176">
        <v>30000</v>
      </c>
      <c r="DQ12" s="176">
        <v>30000</v>
      </c>
      <c r="DR12" s="176">
        <v>30000</v>
      </c>
      <c r="DS12" s="176">
        <v>30000</v>
      </c>
      <c r="DT12" s="176">
        <v>30000</v>
      </c>
      <c r="DU12" s="176">
        <v>30000</v>
      </c>
      <c r="DV12" s="176">
        <v>30000</v>
      </c>
      <c r="DW12" s="176">
        <v>30000</v>
      </c>
      <c r="DX12" s="176">
        <v>30000</v>
      </c>
      <c r="DY12" s="176">
        <v>30000</v>
      </c>
      <c r="DZ12" s="176">
        <v>30000</v>
      </c>
      <c r="EA12" s="176">
        <v>30000</v>
      </c>
      <c r="EB12" s="176">
        <v>30000</v>
      </c>
      <c r="EC12" s="176">
        <v>30000</v>
      </c>
      <c r="ED12" s="176">
        <v>30000</v>
      </c>
      <c r="EE12" s="176">
        <v>30000</v>
      </c>
      <c r="EF12" s="176">
        <v>30000</v>
      </c>
      <c r="EG12" s="176">
        <v>30000</v>
      </c>
      <c r="EH12" s="176">
        <v>30000</v>
      </c>
      <c r="EI12" s="176">
        <v>30000</v>
      </c>
      <c r="EJ12" s="176">
        <v>30000</v>
      </c>
      <c r="EK12" s="176">
        <v>30000</v>
      </c>
      <c r="EL12" s="176">
        <v>30000</v>
      </c>
      <c r="EM12" s="176">
        <v>30000</v>
      </c>
      <c r="EN12" s="176">
        <v>30000</v>
      </c>
      <c r="EO12" s="176">
        <v>30000</v>
      </c>
      <c r="EP12" t="str">
        <f t="shared" si="0"/>
        <v>3y 88d</v>
      </c>
    </row>
    <row r="13" spans="2:154" x14ac:dyDescent="0.25">
      <c r="B13" s="70">
        <v>10</v>
      </c>
      <c r="D13">
        <v>2751291.8148889355</v>
      </c>
      <c r="E13" s="12">
        <v>-121040575500.28777</v>
      </c>
      <c r="F13" s="12">
        <v>84195484055.805328</v>
      </c>
      <c r="G13" s="12">
        <v>0</v>
      </c>
      <c r="H13" s="12">
        <v>76428403.693689927</v>
      </c>
      <c r="I13" s="12">
        <v>285024028113.19092</v>
      </c>
      <c r="J13" s="12">
        <v>1324318882969.9502</v>
      </c>
      <c r="K13" s="12">
        <v>-34398720740.752258</v>
      </c>
      <c r="L13" s="12">
        <v>1165542.6473251549</v>
      </c>
      <c r="M13" s="12">
        <v>52988916948.358421</v>
      </c>
      <c r="N13" s="12">
        <v>-135135338921.98792</v>
      </c>
      <c r="O13" s="12">
        <v>53731943.413981088</v>
      </c>
      <c r="P13" s="12">
        <v>1165542.5853100677</v>
      </c>
      <c r="Q13" s="12">
        <v>52988948136.687096</v>
      </c>
      <c r="R13" s="12">
        <v>-135135342648.23602</v>
      </c>
      <c r="S13" s="12">
        <v>0</v>
      </c>
      <c r="T13" s="12">
        <v>1489478.3114889057</v>
      </c>
      <c r="U13" s="12">
        <v>225039546284.4725</v>
      </c>
      <c r="V13" s="12">
        <v>136456729612.44016</v>
      </c>
      <c r="W13" s="12">
        <v>-14991057.623164373</v>
      </c>
      <c r="X13" s="12">
        <v>998789.07458792208</v>
      </c>
      <c r="Y13" s="12">
        <v>92855492369.826843</v>
      </c>
      <c r="Z13" s="12">
        <v>-111438651868.61139</v>
      </c>
      <c r="AA13" s="12">
        <v>-1749699244.4116514</v>
      </c>
      <c r="AB13" s="12"/>
      <c r="AC13" s="12"/>
      <c r="AD13" s="12"/>
      <c r="AE13" s="12"/>
      <c r="AG13" s="70" t="s">
        <v>22</v>
      </c>
      <c r="AH13" s="70" t="s">
        <v>23</v>
      </c>
      <c r="AI13" s="70" t="s">
        <v>26</v>
      </c>
      <c r="AS13" s="6">
        <v>107552890.08911613</v>
      </c>
      <c r="AT13" s="176">
        <v>30000</v>
      </c>
      <c r="AU13" s="176">
        <v>30000</v>
      </c>
      <c r="AV13" s="176">
        <v>30000</v>
      </c>
      <c r="AW13" s="176">
        <v>30000</v>
      </c>
      <c r="AX13" s="176">
        <v>30000</v>
      </c>
      <c r="AY13" s="176">
        <v>30000</v>
      </c>
      <c r="AZ13" s="176">
        <v>30000</v>
      </c>
      <c r="BA13" s="176">
        <v>30000</v>
      </c>
      <c r="BB13" s="176">
        <v>30000</v>
      </c>
      <c r="BC13" s="176">
        <v>30000</v>
      </c>
      <c r="BD13" s="176">
        <v>30000</v>
      </c>
      <c r="BE13" s="176">
        <v>30000</v>
      </c>
      <c r="BF13" s="176">
        <v>30000</v>
      </c>
      <c r="BG13" s="176">
        <v>30000</v>
      </c>
      <c r="BH13" s="176">
        <v>30000</v>
      </c>
      <c r="BI13" s="176">
        <v>30000</v>
      </c>
      <c r="BJ13" s="176">
        <v>30000</v>
      </c>
      <c r="BK13" s="176">
        <v>30000</v>
      </c>
      <c r="BL13" s="176">
        <v>30000</v>
      </c>
      <c r="BM13" s="176">
        <v>30000</v>
      </c>
      <c r="BN13" s="176">
        <v>30000</v>
      </c>
      <c r="BO13" s="176">
        <v>30000</v>
      </c>
      <c r="BP13" s="176">
        <v>30000</v>
      </c>
      <c r="BQ13" s="176">
        <v>30000</v>
      </c>
      <c r="BR13" s="176">
        <v>30000</v>
      </c>
      <c r="BS13" s="176">
        <v>30000</v>
      </c>
      <c r="BT13" s="176">
        <v>30000</v>
      </c>
      <c r="BU13" s="176">
        <v>30000</v>
      </c>
      <c r="BV13" s="176">
        <v>29917.717203593569</v>
      </c>
      <c r="BW13" s="176">
        <v>29234.384588383891</v>
      </c>
      <c r="BX13" s="176">
        <v>28560.469216542417</v>
      </c>
      <c r="BY13" s="176">
        <v>27896.74556567238</v>
      </c>
      <c r="BZ13" s="176">
        <v>27244.144916356243</v>
      </c>
      <c r="CA13" s="176">
        <v>26603.793473502279</v>
      </c>
      <c r="CB13" s="176">
        <v>25977.066060868165</v>
      </c>
      <c r="CC13" s="176">
        <v>25365.667335051403</v>
      </c>
      <c r="CD13" s="176">
        <v>24771.765708182982</v>
      </c>
      <c r="CE13" s="176">
        <v>24198.232035635741</v>
      </c>
      <c r="CF13" s="176">
        <v>23649.111200161962</v>
      </c>
      <c r="CG13" s="176">
        <v>23130.6485676339</v>
      </c>
      <c r="CH13" s="176">
        <v>22653.804993853453</v>
      </c>
      <c r="CI13" s="176">
        <v>22241.378534612199</v>
      </c>
      <c r="CJ13" s="176">
        <v>21916.978752073002</v>
      </c>
      <c r="CK13" s="176">
        <v>21477.76349502294</v>
      </c>
      <c r="CL13" s="176">
        <v>21074.238315257979</v>
      </c>
      <c r="CM13" s="176">
        <v>20709.99249021845</v>
      </c>
      <c r="CN13" s="176">
        <v>20388.743992381729</v>
      </c>
      <c r="CO13" s="176">
        <v>20114.255096701432</v>
      </c>
      <c r="CP13" s="176">
        <v>19890.225478649478</v>
      </c>
      <c r="CQ13" s="176">
        <v>19720.167905267568</v>
      </c>
      <c r="CR13" s="176">
        <v>19516.464319182658</v>
      </c>
      <c r="CS13" s="176">
        <v>19394.913768696311</v>
      </c>
      <c r="CT13" s="176">
        <v>19361.88038725916</v>
      </c>
      <c r="CU13" s="176">
        <v>19406.858026951177</v>
      </c>
      <c r="CV13" s="176">
        <v>19524.810662809276</v>
      </c>
      <c r="CW13" s="176">
        <v>19712.631337695952</v>
      </c>
      <c r="CX13" s="176">
        <v>19967.761439280599</v>
      </c>
      <c r="CY13" s="176">
        <v>20287.638016929475</v>
      </c>
      <c r="CZ13" s="176">
        <v>20669.49935333927</v>
      </c>
      <c r="DA13" s="176">
        <v>21110.354780285681</v>
      </c>
      <c r="DB13" s="176">
        <v>21607.027748205976</v>
      </c>
      <c r="DC13" s="176">
        <v>22156.226006202091</v>
      </c>
      <c r="DD13" s="176">
        <v>22754.615276035969</v>
      </c>
      <c r="DE13" s="176">
        <v>23398.884305503758</v>
      </c>
      <c r="DF13" s="176">
        <v>24085.796875674081</v>
      </c>
      <c r="DG13" s="176">
        <v>24812.229409123203</v>
      </c>
      <c r="DH13" s="176">
        <v>25575.195326361354</v>
      </c>
      <c r="DI13" s="176">
        <v>26371.858151190932</v>
      </c>
      <c r="DJ13" s="176">
        <v>27199.535700843691</v>
      </c>
      <c r="DK13" s="176">
        <v>28055.697628812464</v>
      </c>
      <c r="DL13" s="176">
        <v>28937.958320858183</v>
      </c>
      <c r="DM13" s="176">
        <v>29844.066797836738</v>
      </c>
      <c r="DN13" s="176">
        <v>30000</v>
      </c>
      <c r="DO13" s="176">
        <v>30000</v>
      </c>
      <c r="DP13" s="176">
        <v>30000</v>
      </c>
      <c r="DQ13" s="176">
        <v>30000</v>
      </c>
      <c r="DR13" s="176">
        <v>30000</v>
      </c>
      <c r="DS13" s="176">
        <v>30000</v>
      </c>
      <c r="DT13" s="176">
        <v>30000</v>
      </c>
      <c r="DU13" s="176">
        <v>30000</v>
      </c>
      <c r="DV13" s="176">
        <v>30000</v>
      </c>
      <c r="DW13" s="176">
        <v>30000</v>
      </c>
      <c r="DX13" s="176">
        <v>30000</v>
      </c>
      <c r="DY13" s="176">
        <v>30000</v>
      </c>
      <c r="DZ13" s="176">
        <v>30000</v>
      </c>
      <c r="EA13" s="176">
        <v>30000</v>
      </c>
      <c r="EB13" s="176">
        <v>30000</v>
      </c>
      <c r="EC13" s="176">
        <v>30000</v>
      </c>
      <c r="ED13" s="176">
        <v>30000</v>
      </c>
      <c r="EE13" s="176">
        <v>30000</v>
      </c>
      <c r="EF13" s="176">
        <v>30000</v>
      </c>
      <c r="EG13" s="176">
        <v>30000</v>
      </c>
      <c r="EH13" s="176">
        <v>30000</v>
      </c>
      <c r="EI13" s="176">
        <v>30000</v>
      </c>
      <c r="EJ13" s="176">
        <v>30000</v>
      </c>
      <c r="EK13" s="176">
        <v>30000</v>
      </c>
      <c r="EL13" s="176">
        <v>30000</v>
      </c>
      <c r="EM13" s="176">
        <v>30000</v>
      </c>
      <c r="EN13" s="176">
        <v>30000</v>
      </c>
      <c r="EO13" s="176">
        <v>30000</v>
      </c>
      <c r="EP13" t="str">
        <f t="shared" si="0"/>
        <v>3y 149d</v>
      </c>
    </row>
    <row r="14" spans="2:154" x14ac:dyDescent="0.25">
      <c r="B14" s="70">
        <v>11</v>
      </c>
      <c r="D14">
        <v>3058134.0619267821</v>
      </c>
      <c r="E14" s="12">
        <v>-126159071922.20216</v>
      </c>
      <c r="F14" s="12">
        <v>76471976329.887375</v>
      </c>
      <c r="G14" s="12">
        <v>0</v>
      </c>
      <c r="H14" s="12">
        <v>84801599.135041609</v>
      </c>
      <c r="I14" s="12">
        <v>201190268869.92636</v>
      </c>
      <c r="J14" s="12">
        <v>1338625011708.6016</v>
      </c>
      <c r="K14" s="12">
        <v>-31315607317.69223</v>
      </c>
      <c r="L14" s="12">
        <v>1289859.6504191554</v>
      </c>
      <c r="M14" s="12">
        <v>57532635229.82132</v>
      </c>
      <c r="N14" s="12">
        <v>-132899579470.05005</v>
      </c>
      <c r="O14" s="12">
        <v>59334081.514332652</v>
      </c>
      <c r="P14" s="12">
        <v>1289859.5863238226</v>
      </c>
      <c r="Q14" s="12">
        <v>57532669860.220093</v>
      </c>
      <c r="R14" s="12">
        <v>-132899583586.21088</v>
      </c>
      <c r="S14" s="12">
        <v>0</v>
      </c>
      <c r="T14" s="12">
        <v>1676514.6143177333</v>
      </c>
      <c r="U14" s="12">
        <v>225772060863.26044</v>
      </c>
      <c r="V14" s="12">
        <v>141798325595.84644</v>
      </c>
      <c r="W14" s="12">
        <v>-16860544.590530064</v>
      </c>
      <c r="X14" s="12">
        <v>1110909.532822978</v>
      </c>
      <c r="Y14" s="12">
        <v>96529355102.109177</v>
      </c>
      <c r="Z14" s="12">
        <v>-108739754865.75258</v>
      </c>
      <c r="AA14" s="12">
        <v>-1942746233.9158244</v>
      </c>
      <c r="AB14" s="12"/>
      <c r="AC14" s="12"/>
      <c r="AD14" s="12"/>
      <c r="AE14" s="12"/>
      <c r="AG14" s="27">
        <v>0</v>
      </c>
      <c r="AH14" s="27">
        <v>0</v>
      </c>
      <c r="AI14" s="27">
        <v>0</v>
      </c>
      <c r="AS14" s="6">
        <v>112819655.32543883</v>
      </c>
      <c r="AT14" s="176">
        <v>30000</v>
      </c>
      <c r="AU14" s="176">
        <v>30000</v>
      </c>
      <c r="AV14" s="176">
        <v>30000</v>
      </c>
      <c r="AW14" s="176">
        <v>30000</v>
      </c>
      <c r="AX14" s="176">
        <v>30000</v>
      </c>
      <c r="AY14" s="176">
        <v>30000</v>
      </c>
      <c r="AZ14" s="176">
        <v>30000</v>
      </c>
      <c r="BA14" s="176">
        <v>30000</v>
      </c>
      <c r="BB14" s="176">
        <v>30000</v>
      </c>
      <c r="BC14" s="176">
        <v>30000</v>
      </c>
      <c r="BD14" s="176">
        <v>30000</v>
      </c>
      <c r="BE14" s="176">
        <v>30000</v>
      </c>
      <c r="BF14" s="176">
        <v>30000</v>
      </c>
      <c r="BG14" s="176">
        <v>30000</v>
      </c>
      <c r="BH14" s="176">
        <v>30000</v>
      </c>
      <c r="BI14" s="176">
        <v>30000</v>
      </c>
      <c r="BJ14" s="176">
        <v>30000</v>
      </c>
      <c r="BK14" s="176">
        <v>30000</v>
      </c>
      <c r="BL14" s="176">
        <v>30000</v>
      </c>
      <c r="BM14" s="176">
        <v>30000</v>
      </c>
      <c r="BN14" s="176">
        <v>30000</v>
      </c>
      <c r="BO14" s="176">
        <v>30000</v>
      </c>
      <c r="BP14" s="176">
        <v>30000</v>
      </c>
      <c r="BQ14" s="176">
        <v>30000</v>
      </c>
      <c r="BR14" s="176">
        <v>30000</v>
      </c>
      <c r="BS14" s="176">
        <v>30000</v>
      </c>
      <c r="BT14" s="176">
        <v>30000</v>
      </c>
      <c r="BU14" s="176">
        <v>30000</v>
      </c>
      <c r="BV14" s="176">
        <v>29737.487004154602</v>
      </c>
      <c r="BW14" s="176">
        <v>29045.205063607737</v>
      </c>
      <c r="BX14" s="176">
        <v>28363.108721822689</v>
      </c>
      <c r="BY14" s="176">
        <v>27691.944394329053</v>
      </c>
      <c r="BZ14" s="176">
        <v>27032.596238541104</v>
      </c>
      <c r="CA14" s="176">
        <v>26386.114919999447</v>
      </c>
      <c r="CB14" s="176">
        <v>25753.755137873253</v>
      </c>
      <c r="CC14" s="176">
        <v>25137.028450315429</v>
      </c>
      <c r="CD14" s="176">
        <v>24537.781756870765</v>
      </c>
      <c r="CE14" s="176">
        <v>23958.328890670113</v>
      </c>
      <c r="CF14" s="176">
        <v>23401.688474223447</v>
      </c>
      <c r="CG14" s="176">
        <v>22872.064527344482</v>
      </c>
      <c r="CH14" s="176">
        <v>22375.929544718885</v>
      </c>
      <c r="CI14" s="176">
        <v>21924.798937977874</v>
      </c>
      <c r="CJ14" s="176">
        <v>21543.579518617731</v>
      </c>
      <c r="CK14" s="176">
        <v>21203.159940030153</v>
      </c>
      <c r="CL14" s="176">
        <v>20802.592781124589</v>
      </c>
      <c r="CM14" s="176">
        <v>20441.57627225043</v>
      </c>
      <c r="CN14" s="176">
        <v>20123.700232081817</v>
      </c>
      <c r="CO14" s="176">
        <v>19852.583513841229</v>
      </c>
      <c r="CP14" s="176">
        <v>19631.770093854826</v>
      </c>
      <c r="CQ14" s="176">
        <v>19464.608369440921</v>
      </c>
      <c r="CR14" s="176">
        <v>19315.98840503937</v>
      </c>
      <c r="CS14" s="176">
        <v>19187.084822844285</v>
      </c>
      <c r="CT14" s="176">
        <v>19152.93382563012</v>
      </c>
      <c r="CU14" s="176">
        <v>19198.255677163383</v>
      </c>
      <c r="CV14" s="176">
        <v>19316.320143031247</v>
      </c>
      <c r="CW14" s="176">
        <v>19503.333774710616</v>
      </c>
      <c r="CX14" s="176">
        <v>19756.443062491584</v>
      </c>
      <c r="CY14" s="176">
        <v>20072.969120033973</v>
      </c>
      <c r="CZ14" s="176">
        <v>20450.12823048425</v>
      </c>
      <c r="DA14" s="176">
        <v>20884.961683283218</v>
      </c>
      <c r="DB14" s="176">
        <v>21374.356785602682</v>
      </c>
      <c r="DC14" s="176">
        <v>21915.103455424629</v>
      </c>
      <c r="DD14" s="176">
        <v>22503.958896181932</v>
      </c>
      <c r="DE14" s="176">
        <v>23137.706941642864</v>
      </c>
      <c r="DF14" s="176">
        <v>23813.20622532647</v>
      </c>
      <c r="DG14" s="176">
        <v>24527.425507056068</v>
      </c>
      <c r="DH14" s="176">
        <v>25277.466745396709</v>
      </c>
      <c r="DI14" s="176">
        <v>26060.577608773496</v>
      </c>
      <c r="DJ14" s="176">
        <v>26874.155524175396</v>
      </c>
      <c r="DK14" s="176">
        <v>27715.745360902525</v>
      </c>
      <c r="DL14" s="176">
        <v>28583.032629637961</v>
      </c>
      <c r="DM14" s="176">
        <v>29473.833767921707</v>
      </c>
      <c r="DN14" s="176">
        <v>30000</v>
      </c>
      <c r="DO14" s="176">
        <v>30000</v>
      </c>
      <c r="DP14" s="176">
        <v>30000</v>
      </c>
      <c r="DQ14" s="176">
        <v>30000</v>
      </c>
      <c r="DR14" s="176">
        <v>30000</v>
      </c>
      <c r="DS14" s="176">
        <v>30000</v>
      </c>
      <c r="DT14" s="176">
        <v>30000</v>
      </c>
      <c r="DU14" s="176">
        <v>30000</v>
      </c>
      <c r="DV14" s="176">
        <v>30000</v>
      </c>
      <c r="DW14" s="176">
        <v>30000</v>
      </c>
      <c r="DX14" s="176">
        <v>30000</v>
      </c>
      <c r="DY14" s="176">
        <v>30000</v>
      </c>
      <c r="DZ14" s="176">
        <v>30000</v>
      </c>
      <c r="EA14" s="176">
        <v>30000</v>
      </c>
      <c r="EB14" s="176">
        <v>30000</v>
      </c>
      <c r="EC14" s="176">
        <v>30000</v>
      </c>
      <c r="ED14" s="176">
        <v>30000</v>
      </c>
      <c r="EE14" s="176">
        <v>30000</v>
      </c>
      <c r="EF14" s="176">
        <v>30000</v>
      </c>
      <c r="EG14" s="176">
        <v>30000</v>
      </c>
      <c r="EH14" s="176">
        <v>30000</v>
      </c>
      <c r="EI14" s="176">
        <v>30000</v>
      </c>
      <c r="EJ14" s="176">
        <v>30000</v>
      </c>
      <c r="EK14" s="176">
        <v>30000</v>
      </c>
      <c r="EL14" s="176">
        <v>30000</v>
      </c>
      <c r="EM14" s="176">
        <v>30000</v>
      </c>
      <c r="EN14" s="176">
        <v>30000</v>
      </c>
      <c r="EO14" s="176">
        <v>30000</v>
      </c>
      <c r="EP14" t="str">
        <f t="shared" si="0"/>
        <v>3y 210d</v>
      </c>
    </row>
    <row r="15" spans="2:154" x14ac:dyDescent="0.25">
      <c r="B15" s="70">
        <v>12</v>
      </c>
      <c r="D15">
        <v>3365337.0117240311</v>
      </c>
      <c r="E15" s="12">
        <v>-130792146642.76733</v>
      </c>
      <c r="F15" s="12">
        <v>68441505417.083649</v>
      </c>
      <c r="G15" s="12">
        <v>0</v>
      </c>
      <c r="H15" s="12">
        <v>93163450.23276405</v>
      </c>
      <c r="I15" s="12">
        <v>116718117605.9527</v>
      </c>
      <c r="J15" s="12">
        <v>1347908723707.6045</v>
      </c>
      <c r="K15" s="12">
        <v>-28119629292.11216</v>
      </c>
      <c r="L15" s="12">
        <v>1413671.4972097685</v>
      </c>
      <c r="M15" s="12">
        <v>62019300881.511589</v>
      </c>
      <c r="N15" s="12">
        <v>-130583760956.60294</v>
      </c>
      <c r="O15" s="12">
        <v>64873658.051538274</v>
      </c>
      <c r="P15" s="12">
        <v>1413671.4318570881</v>
      </c>
      <c r="Q15" s="12">
        <v>62019338951.742943</v>
      </c>
      <c r="R15" s="12">
        <v>-130583765455.72099</v>
      </c>
      <c r="S15" s="12">
        <v>0</v>
      </c>
      <c r="T15" s="12">
        <v>1868488.0833019067</v>
      </c>
      <c r="U15" s="12">
        <v>226466427903.77991</v>
      </c>
      <c r="V15" s="12">
        <v>147244816932.53287</v>
      </c>
      <c r="W15" s="12">
        <v>-18775086.231113974</v>
      </c>
      <c r="X15" s="12">
        <v>1223624.7250530149</v>
      </c>
      <c r="Y15" s="12">
        <v>100169948344.47105</v>
      </c>
      <c r="Z15" s="12">
        <v>-105967112752.97156</v>
      </c>
      <c r="AA15" s="12">
        <v>-2135755407.4786003</v>
      </c>
      <c r="AB15" s="12"/>
      <c r="AC15" s="12"/>
      <c r="AD15" s="12"/>
      <c r="AE15" s="12"/>
      <c r="AG15" s="27">
        <v>61050157549.223602</v>
      </c>
      <c r="AH15" s="27">
        <v>-139307292875.35504</v>
      </c>
      <c r="AI15" s="27">
        <v>0</v>
      </c>
      <c r="AS15" s="6">
        <v>118086420.56176153</v>
      </c>
      <c r="AT15" s="176">
        <v>30000</v>
      </c>
      <c r="AU15" s="176">
        <v>30000</v>
      </c>
      <c r="AV15" s="176">
        <v>30000</v>
      </c>
      <c r="AW15" s="176">
        <v>30000</v>
      </c>
      <c r="AX15" s="176">
        <v>30000</v>
      </c>
      <c r="AY15" s="176">
        <v>30000</v>
      </c>
      <c r="AZ15" s="176">
        <v>30000</v>
      </c>
      <c r="BA15" s="176">
        <v>30000</v>
      </c>
      <c r="BB15" s="176">
        <v>30000</v>
      </c>
      <c r="BC15" s="176">
        <v>30000</v>
      </c>
      <c r="BD15" s="176">
        <v>30000</v>
      </c>
      <c r="BE15" s="176">
        <v>30000</v>
      </c>
      <c r="BF15" s="176">
        <v>30000</v>
      </c>
      <c r="BG15" s="176">
        <v>30000</v>
      </c>
      <c r="BH15" s="176">
        <v>30000</v>
      </c>
      <c r="BI15" s="176">
        <v>30000</v>
      </c>
      <c r="BJ15" s="176">
        <v>30000</v>
      </c>
      <c r="BK15" s="176">
        <v>30000</v>
      </c>
      <c r="BL15" s="176">
        <v>30000</v>
      </c>
      <c r="BM15" s="176">
        <v>30000</v>
      </c>
      <c r="BN15" s="176">
        <v>30000</v>
      </c>
      <c r="BO15" s="176">
        <v>30000</v>
      </c>
      <c r="BP15" s="176">
        <v>30000</v>
      </c>
      <c r="BQ15" s="176">
        <v>30000</v>
      </c>
      <c r="BR15" s="176">
        <v>30000</v>
      </c>
      <c r="BS15" s="176">
        <v>30000</v>
      </c>
      <c r="BT15" s="176">
        <v>30000</v>
      </c>
      <c r="BU15" s="176">
        <v>30000</v>
      </c>
      <c r="BV15" s="176">
        <v>29640.297946540053</v>
      </c>
      <c r="BW15" s="176">
        <v>28938.623611796396</v>
      </c>
      <c r="BX15" s="176">
        <v>28247.826277570482</v>
      </c>
      <c r="BY15" s="176">
        <v>27568.630956234541</v>
      </c>
      <c r="BZ15" s="176">
        <v>26901.88631388258</v>
      </c>
      <c r="CA15" s="176">
        <v>26248.587637209857</v>
      </c>
      <c r="CB15" s="176">
        <v>25609.904755847099</v>
      </c>
      <c r="CC15" s="176">
        <v>24987.217766644426</v>
      </c>
      <c r="CD15" s="176">
        <v>24382.165897083811</v>
      </c>
      <c r="CE15" s="176">
        <v>23796.721064638376</v>
      </c>
      <c r="CF15" s="176">
        <v>23233.308584091079</v>
      </c>
      <c r="CG15" s="176">
        <v>22695.031233571557</v>
      </c>
      <c r="CH15" s="176">
        <v>22186.132629338528</v>
      </c>
      <c r="CI15" s="176">
        <v>21713.081480213732</v>
      </c>
      <c r="CJ15" s="176">
        <v>21287.491895392748</v>
      </c>
      <c r="CK15" s="176">
        <v>20935.546213617898</v>
      </c>
      <c r="CL15" s="176">
        <v>20592.564401111897</v>
      </c>
      <c r="CM15" s="176">
        <v>20232.065717235739</v>
      </c>
      <c r="CN15" s="176">
        <v>19914.717018981795</v>
      </c>
      <c r="CO15" s="176">
        <v>19644.012748922971</v>
      </c>
      <c r="CP15" s="176">
        <v>19423.366133995922</v>
      </c>
      <c r="CQ15" s="176">
        <v>19255.992352676793</v>
      </c>
      <c r="CR15" s="176">
        <v>19144.783251756951</v>
      </c>
      <c r="CS15" s="176">
        <v>19014.031640904785</v>
      </c>
      <c r="CT15" s="176">
        <v>18976.716080910664</v>
      </c>
      <c r="CU15" s="176">
        <v>19020.457757507171</v>
      </c>
      <c r="CV15" s="176">
        <v>19136.586719034516</v>
      </c>
      <c r="CW15" s="176">
        <v>19320.684468725736</v>
      </c>
      <c r="CX15" s="176">
        <v>19569.700048879276</v>
      </c>
      <c r="CY15" s="176">
        <v>19880.919459563418</v>
      </c>
      <c r="CZ15" s="176">
        <v>20251.59406509871</v>
      </c>
      <c r="DA15" s="176">
        <v>20678.833009314538</v>
      </c>
      <c r="DB15" s="176">
        <v>21159.606516745411</v>
      </c>
      <c r="DC15" s="176">
        <v>21690.793043198933</v>
      </c>
      <c r="DD15" s="176">
        <v>22269.238624739497</v>
      </c>
      <c r="DE15" s="176">
        <v>22891.813245017747</v>
      </c>
      <c r="DF15" s="176">
        <v>23555.457469566063</v>
      </c>
      <c r="DG15" s="176">
        <v>24257.217141760026</v>
      </c>
      <c r="DH15" s="176">
        <v>24994.266382446938</v>
      </c>
      <c r="DI15" s="176">
        <v>25763.920355718779</v>
      </c>
      <c r="DJ15" s="176">
        <v>26563.63980539031</v>
      </c>
      <c r="DK15" s="176">
        <v>27391.029047960714</v>
      </c>
      <c r="DL15" s="176">
        <v>28243.829940776654</v>
      </c>
      <c r="DM15" s="176">
        <v>29119.91250547352</v>
      </c>
      <c r="DN15" s="176">
        <v>30000</v>
      </c>
      <c r="DO15" s="176">
        <v>30000</v>
      </c>
      <c r="DP15" s="176">
        <v>30000</v>
      </c>
      <c r="DQ15" s="176">
        <v>30000</v>
      </c>
      <c r="DR15" s="176">
        <v>30000</v>
      </c>
      <c r="DS15" s="176">
        <v>30000</v>
      </c>
      <c r="DT15" s="176">
        <v>30000</v>
      </c>
      <c r="DU15" s="176">
        <v>30000</v>
      </c>
      <c r="DV15" s="176">
        <v>30000</v>
      </c>
      <c r="DW15" s="176">
        <v>30000</v>
      </c>
      <c r="DX15" s="176">
        <v>30000</v>
      </c>
      <c r="DY15" s="176">
        <v>30000</v>
      </c>
      <c r="DZ15" s="176">
        <v>30000</v>
      </c>
      <c r="EA15" s="176">
        <v>30000</v>
      </c>
      <c r="EB15" s="176">
        <v>30000</v>
      </c>
      <c r="EC15" s="176">
        <v>30000</v>
      </c>
      <c r="ED15" s="176">
        <v>30000</v>
      </c>
      <c r="EE15" s="176">
        <v>30000</v>
      </c>
      <c r="EF15" s="176">
        <v>30000</v>
      </c>
      <c r="EG15" s="176">
        <v>30000</v>
      </c>
      <c r="EH15" s="176">
        <v>30000</v>
      </c>
      <c r="EI15" s="176">
        <v>30000</v>
      </c>
      <c r="EJ15" s="176">
        <v>30000</v>
      </c>
      <c r="EK15" s="176">
        <v>30000</v>
      </c>
      <c r="EL15" s="176">
        <v>30000</v>
      </c>
      <c r="EM15" s="176">
        <v>30000</v>
      </c>
      <c r="EN15" s="176">
        <v>30000</v>
      </c>
      <c r="EO15" s="176">
        <v>30000</v>
      </c>
      <c r="EP15" t="str">
        <f t="shared" si="0"/>
        <v>3y 271d</v>
      </c>
    </row>
    <row r="16" spans="2:154" x14ac:dyDescent="0.25">
      <c r="B16" s="70">
        <v>13</v>
      </c>
      <c r="D16">
        <v>3672933.5445916653</v>
      </c>
      <c r="E16" s="12">
        <v>-134921331682.16199</v>
      </c>
      <c r="F16" s="12">
        <v>60133966568.506813</v>
      </c>
      <c r="G16" s="12">
        <v>0</v>
      </c>
      <c r="H16" s="12">
        <v>101517454.2266584</v>
      </c>
      <c r="I16" s="12">
        <v>31889145018.518093</v>
      </c>
      <c r="J16" s="12">
        <v>1352147825144.3918</v>
      </c>
      <c r="K16" s="12">
        <v>-24821592254.571049</v>
      </c>
      <c r="L16" s="12">
        <v>1537115.1004017598</v>
      </c>
      <c r="M16" s="12">
        <v>66451073569.228889</v>
      </c>
      <c r="N16" s="12">
        <v>-128187346167.60316</v>
      </c>
      <c r="O16" s="12">
        <v>70353297.955697164</v>
      </c>
      <c r="P16" s="12">
        <v>1537115.034588062</v>
      </c>
      <c r="Q16" s="12">
        <v>66451115077.75547</v>
      </c>
      <c r="R16" s="12">
        <v>-128187351042.23643</v>
      </c>
      <c r="S16" s="12">
        <v>0</v>
      </c>
      <c r="T16" s="12">
        <v>2065594.3388922927</v>
      </c>
      <c r="U16" s="12">
        <v>227120929243.62256</v>
      </c>
      <c r="V16" s="12">
        <v>152798937139.54211</v>
      </c>
      <c r="W16" s="12">
        <v>-20735971.634133916</v>
      </c>
      <c r="X16" s="12">
        <v>1337038.3859377366</v>
      </c>
      <c r="Y16" s="12">
        <v>103778172867.21458</v>
      </c>
      <c r="Z16" s="12">
        <v>-103119183636.79427</v>
      </c>
      <c r="AA16" s="12">
        <v>-2328789429.3085933</v>
      </c>
      <c r="AB16" s="12"/>
      <c r="AC16" s="12"/>
      <c r="AD16" s="12"/>
      <c r="AE16" s="12"/>
      <c r="AG16" s="27">
        <v>605591898905.75964</v>
      </c>
      <c r="AH16" s="27">
        <v>-1381869783968.4187</v>
      </c>
      <c r="AI16" s="27">
        <v>-6.3074566423892975E-3</v>
      </c>
      <c r="AS16" s="6">
        <v>123353185.79808423</v>
      </c>
      <c r="AT16" s="176">
        <v>30000</v>
      </c>
      <c r="AU16" s="176">
        <v>30000</v>
      </c>
      <c r="AV16" s="176">
        <v>30000</v>
      </c>
      <c r="AW16" s="176">
        <v>30000</v>
      </c>
      <c r="AX16" s="176">
        <v>30000</v>
      </c>
      <c r="AY16" s="176">
        <v>30000</v>
      </c>
      <c r="AZ16" s="176">
        <v>30000</v>
      </c>
      <c r="BA16" s="176">
        <v>30000</v>
      </c>
      <c r="BB16" s="176">
        <v>30000</v>
      </c>
      <c r="BC16" s="176">
        <v>30000</v>
      </c>
      <c r="BD16" s="176">
        <v>30000</v>
      </c>
      <c r="BE16" s="176">
        <v>30000</v>
      </c>
      <c r="BF16" s="176">
        <v>30000</v>
      </c>
      <c r="BG16" s="176">
        <v>30000</v>
      </c>
      <c r="BH16" s="176">
        <v>30000</v>
      </c>
      <c r="BI16" s="176">
        <v>30000</v>
      </c>
      <c r="BJ16" s="176">
        <v>30000</v>
      </c>
      <c r="BK16" s="176">
        <v>30000</v>
      </c>
      <c r="BL16" s="176">
        <v>30000</v>
      </c>
      <c r="BM16" s="176">
        <v>30000</v>
      </c>
      <c r="BN16" s="176">
        <v>30000</v>
      </c>
      <c r="BO16" s="176">
        <v>30000</v>
      </c>
      <c r="BP16" s="176">
        <v>30000</v>
      </c>
      <c r="BQ16" s="176">
        <v>30000</v>
      </c>
      <c r="BR16" s="176">
        <v>30000</v>
      </c>
      <c r="BS16" s="176">
        <v>30000</v>
      </c>
      <c r="BT16" s="176">
        <v>30000</v>
      </c>
      <c r="BU16" s="176">
        <v>30000</v>
      </c>
      <c r="BV16" s="176">
        <v>29614.682721013392</v>
      </c>
      <c r="BW16" s="176">
        <v>28903.198934478562</v>
      </c>
      <c r="BX16" s="176">
        <v>28203.21066190867</v>
      </c>
      <c r="BY16" s="176">
        <v>27515.426187113582</v>
      </c>
      <c r="BZ16" s="176">
        <v>26840.666669535582</v>
      </c>
      <c r="CA16" s="176">
        <v>26179.885585061085</v>
      </c>
      <c r="CB16" s="176">
        <v>25534.190938928085</v>
      </c>
      <c r="CC16" s="176">
        <v>24904.871450427047</v>
      </c>
      <c r="CD16" s="176">
        <v>24293.428935929689</v>
      </c>
      <c r="CE16" s="176">
        <v>23701.62129748708</v>
      </c>
      <c r="CF16" s="176">
        <v>23131.52536990204</v>
      </c>
      <c r="CG16" s="176">
        <v>22585.640261629851</v>
      </c>
      <c r="CH16" s="176">
        <v>22067.080511879649</v>
      </c>
      <c r="CI16" s="176">
        <v>21579.987535226108</v>
      </c>
      <c r="CJ16" s="176">
        <v>21130.533515633026</v>
      </c>
      <c r="CK16" s="176">
        <v>20729.78418683702</v>
      </c>
      <c r="CL16" s="176">
        <v>20403.716933716372</v>
      </c>
      <c r="CM16" s="176">
        <v>20072.381015787611</v>
      </c>
      <c r="CN16" s="176">
        <v>19753.044596698684</v>
      </c>
      <c r="CO16" s="176">
        <v>19480.142852655186</v>
      </c>
      <c r="CP16" s="176">
        <v>19256.980580693402</v>
      </c>
      <c r="CQ16" s="176">
        <v>19086.667191111585</v>
      </c>
      <c r="CR16" s="176">
        <v>18971.995666475894</v>
      </c>
      <c r="CS16" s="176">
        <v>18868.005145715168</v>
      </c>
      <c r="CT16" s="176">
        <v>18826.577476262846</v>
      </c>
      <c r="CU16" s="176">
        <v>18867.565657849835</v>
      </c>
      <c r="CV16" s="176">
        <v>18980.217252569557</v>
      </c>
      <c r="CW16" s="176">
        <v>19159.663389791109</v>
      </c>
      <c r="CX16" s="176">
        <v>19402.811982740535</v>
      </c>
      <c r="CY16" s="176">
        <v>19707.02115844173</v>
      </c>
      <c r="CZ16" s="176">
        <v>20069.645217259778</v>
      </c>
      <c r="DA16" s="176">
        <v>20487.901118979597</v>
      </c>
      <c r="DB16" s="176">
        <v>20958.862655107943</v>
      </c>
      <c r="DC16" s="176">
        <v>21479.504216641733</v>
      </c>
      <c r="DD16" s="176">
        <v>22046.759108440074</v>
      </c>
      <c r="DE16" s="176">
        <v>22657.576006584786</v>
      </c>
      <c r="DF16" s="176">
        <v>23308.966304109323</v>
      </c>
      <c r="DG16" s="176">
        <v>23998.039589748478</v>
      </c>
      <c r="DH16" s="176">
        <v>24722.027879187026</v>
      </c>
      <c r="DI16" s="176">
        <v>25478.299274662</v>
      </c>
      <c r="DJ16" s="176">
        <v>26264.363402992272</v>
      </c>
      <c r="DK16" s="176">
        <v>27077.870425988418</v>
      </c>
      <c r="DL16" s="176">
        <v>27916.605456249268</v>
      </c>
      <c r="DM16" s="176">
        <v>28778.479912915485</v>
      </c>
      <c r="DN16" s="176">
        <v>29661.521050101495</v>
      </c>
      <c r="DO16" s="176">
        <v>30000</v>
      </c>
      <c r="DP16" s="176">
        <v>30000</v>
      </c>
      <c r="DQ16" s="176">
        <v>30000</v>
      </c>
      <c r="DR16" s="176">
        <v>30000</v>
      </c>
      <c r="DS16" s="176">
        <v>30000</v>
      </c>
      <c r="DT16" s="176">
        <v>30000</v>
      </c>
      <c r="DU16" s="176">
        <v>30000</v>
      </c>
      <c r="DV16" s="176">
        <v>30000</v>
      </c>
      <c r="DW16" s="176">
        <v>30000</v>
      </c>
      <c r="DX16" s="176">
        <v>30000</v>
      </c>
      <c r="DY16" s="176">
        <v>30000</v>
      </c>
      <c r="DZ16" s="176">
        <v>30000</v>
      </c>
      <c r="EA16" s="176">
        <v>30000</v>
      </c>
      <c r="EB16" s="176">
        <v>30000</v>
      </c>
      <c r="EC16" s="176">
        <v>30000</v>
      </c>
      <c r="ED16" s="176">
        <v>30000</v>
      </c>
      <c r="EE16" s="176">
        <v>30000</v>
      </c>
      <c r="EF16" s="176">
        <v>30000</v>
      </c>
      <c r="EG16" s="176">
        <v>30000</v>
      </c>
      <c r="EH16" s="176">
        <v>30000</v>
      </c>
      <c r="EI16" s="176">
        <v>30000</v>
      </c>
      <c r="EJ16" s="176">
        <v>30000</v>
      </c>
      <c r="EK16" s="176">
        <v>30000</v>
      </c>
      <c r="EL16" s="176">
        <v>30000</v>
      </c>
      <c r="EM16" s="176">
        <v>30000</v>
      </c>
      <c r="EN16" s="176">
        <v>30000</v>
      </c>
      <c r="EO16" s="176">
        <v>30000</v>
      </c>
      <c r="EP16" t="str">
        <f t="shared" si="0"/>
        <v>3y 332d</v>
      </c>
    </row>
    <row r="17" spans="2:154" x14ac:dyDescent="0.25">
      <c r="B17" s="70">
        <v>14</v>
      </c>
      <c r="D17">
        <v>3980955.1703366735</v>
      </c>
      <c r="E17" s="12">
        <v>-138529926258.73917</v>
      </c>
      <c r="F17" s="12">
        <v>51580382709.924683</v>
      </c>
      <c r="G17" s="12">
        <v>0</v>
      </c>
      <c r="H17" s="12">
        <v>109867124.56363338</v>
      </c>
      <c r="I17" s="12">
        <v>-53014958252.821594</v>
      </c>
      <c r="J17" s="12">
        <v>1351333767905.0928</v>
      </c>
      <c r="K17" s="12">
        <v>-21432544267.546349</v>
      </c>
      <c r="L17" s="12">
        <v>1660326.0064858834</v>
      </c>
      <c r="M17" s="12">
        <v>70830004046.076752</v>
      </c>
      <c r="N17" s="12">
        <v>-125709627866.71523</v>
      </c>
      <c r="O17" s="12">
        <v>75775507.964738801</v>
      </c>
      <c r="P17" s="12">
        <v>1660325.940983986</v>
      </c>
      <c r="Q17" s="12">
        <v>70830048992.066803</v>
      </c>
      <c r="R17" s="12">
        <v>-125709633108.95831</v>
      </c>
      <c r="S17" s="12">
        <v>0</v>
      </c>
      <c r="T17" s="12">
        <v>2268038.0941680302</v>
      </c>
      <c r="U17" s="12">
        <v>227733761140.71106</v>
      </c>
      <c r="V17" s="12">
        <v>158463498591.18076</v>
      </c>
      <c r="W17" s="12">
        <v>-22744532.796179589</v>
      </c>
      <c r="X17" s="12">
        <v>1451256.3778519309</v>
      </c>
      <c r="Y17" s="12">
        <v>107354865542.13918</v>
      </c>
      <c r="Z17" s="12">
        <v>-100194300366.81767</v>
      </c>
      <c r="AA17" s="12">
        <v>-2521910605.6417813</v>
      </c>
      <c r="AB17" s="12"/>
      <c r="AC17" s="12"/>
      <c r="AD17" s="12"/>
      <c r="AE17" s="12"/>
      <c r="AG17" s="208" t="s">
        <v>37</v>
      </c>
      <c r="AH17" s="208"/>
      <c r="AI17" s="208"/>
      <c r="AS17" s="6">
        <v>128619951.03440693</v>
      </c>
      <c r="AT17" s="176">
        <v>30000</v>
      </c>
      <c r="AU17" s="176">
        <v>30000</v>
      </c>
      <c r="AV17" s="176">
        <v>30000</v>
      </c>
      <c r="AW17" s="176">
        <v>30000</v>
      </c>
      <c r="AX17" s="176">
        <v>30000</v>
      </c>
      <c r="AY17" s="176">
        <v>30000</v>
      </c>
      <c r="AZ17" s="176">
        <v>30000</v>
      </c>
      <c r="BA17" s="176">
        <v>30000</v>
      </c>
      <c r="BB17" s="176">
        <v>30000</v>
      </c>
      <c r="BC17" s="176">
        <v>30000</v>
      </c>
      <c r="BD17" s="176">
        <v>30000</v>
      </c>
      <c r="BE17" s="176">
        <v>30000</v>
      </c>
      <c r="BF17" s="176">
        <v>30000</v>
      </c>
      <c r="BG17" s="176">
        <v>30000</v>
      </c>
      <c r="BH17" s="176">
        <v>30000</v>
      </c>
      <c r="BI17" s="176">
        <v>30000</v>
      </c>
      <c r="BJ17" s="176">
        <v>30000</v>
      </c>
      <c r="BK17" s="176">
        <v>30000</v>
      </c>
      <c r="BL17" s="176">
        <v>30000</v>
      </c>
      <c r="BM17" s="176">
        <v>30000</v>
      </c>
      <c r="BN17" s="176">
        <v>30000</v>
      </c>
      <c r="BO17" s="176">
        <v>30000</v>
      </c>
      <c r="BP17" s="176">
        <v>30000</v>
      </c>
      <c r="BQ17" s="176">
        <v>30000</v>
      </c>
      <c r="BR17" s="176">
        <v>30000</v>
      </c>
      <c r="BS17" s="176">
        <v>30000</v>
      </c>
      <c r="BT17" s="176">
        <v>30000</v>
      </c>
      <c r="BU17" s="176">
        <v>30000</v>
      </c>
      <c r="BV17" s="176">
        <v>29651.301116689549</v>
      </c>
      <c r="BW17" s="176">
        <v>28929.622660420602</v>
      </c>
      <c r="BX17" s="176">
        <v>28219.989392483585</v>
      </c>
      <c r="BY17" s="176">
        <v>27523.096180580978</v>
      </c>
      <c r="BZ17" s="176">
        <v>26839.742151830589</v>
      </c>
      <c r="CA17" s="176">
        <v>26170.848054182286</v>
      </c>
      <c r="CB17" s="176">
        <v>25517.47520380608</v>
      </c>
      <c r="CC17" s="176">
        <v>24880.84640300044</v>
      </c>
      <c r="CD17" s="176">
        <v>24262.369522972651</v>
      </c>
      <c r="CE17" s="176">
        <v>23663.665134939511</v>
      </c>
      <c r="CF17" s="176">
        <v>23086.601133668406</v>
      </c>
      <c r="CG17" s="176">
        <v>22533.340940053604</v>
      </c>
      <c r="CH17" s="176">
        <v>22006.420778204723</v>
      </c>
      <c r="CI17" s="176">
        <v>21508.894840318553</v>
      </c>
      <c r="CJ17" s="176">
        <v>21044.654175538497</v>
      </c>
      <c r="CK17" s="176">
        <v>20619.243939148153</v>
      </c>
      <c r="CL17" s="176">
        <v>20242.354399328346</v>
      </c>
      <c r="CM17" s="176">
        <v>19937.413211788888</v>
      </c>
      <c r="CN17" s="176">
        <v>19631.92213011561</v>
      </c>
      <c r="CO17" s="176">
        <v>19354.522175250837</v>
      </c>
      <c r="CP17" s="176">
        <v>19126.48260195343</v>
      </c>
      <c r="CQ17" s="176">
        <v>18950.830851861079</v>
      </c>
      <c r="CR17" s="176">
        <v>18830.288562648122</v>
      </c>
      <c r="CS17" s="176">
        <v>18742.420992913983</v>
      </c>
      <c r="CT17" s="176">
        <v>18697.628115061838</v>
      </c>
      <c r="CU17" s="176">
        <v>18735.523720901245</v>
      </c>
      <c r="CV17" s="176">
        <v>18843.580341003722</v>
      </c>
      <c r="CW17" s="176">
        <v>19016.894718119562</v>
      </c>
      <c r="CX17" s="176">
        <v>19252.587421037551</v>
      </c>
      <c r="CY17" s="176">
        <v>19548.232295236943</v>
      </c>
      <c r="CZ17" s="176">
        <v>19901.366661070162</v>
      </c>
      <c r="DA17" s="176">
        <v>20309.358474380962</v>
      </c>
      <c r="DB17" s="176">
        <v>20769.406046575932</v>
      </c>
      <c r="DC17" s="176">
        <v>21278.586908804311</v>
      </c>
      <c r="DD17" s="176">
        <v>21833.920024158069</v>
      </c>
      <c r="DE17" s="176">
        <v>22432.425819661843</v>
      </c>
      <c r="DF17" s="176">
        <v>23071.176165533467</v>
      </c>
      <c r="DG17" s="176">
        <v>23747.332427527166</v>
      </c>
      <c r="DH17" s="176">
        <v>24458.171509821936</v>
      </c>
      <c r="DI17" s="176">
        <v>25201.101306893885</v>
      </c>
      <c r="DJ17" s="176">
        <v>25973.667481001536</v>
      </c>
      <c r="DK17" s="176">
        <v>26773.553567173287</v>
      </c>
      <c r="DL17" s="176">
        <v>27598.576248631551</v>
      </c>
      <c r="DM17" s="176">
        <v>28446.677373454862</v>
      </c>
      <c r="DN17" s="176">
        <v>29315.913979050467</v>
      </c>
      <c r="DO17" s="176">
        <v>30000</v>
      </c>
      <c r="DP17" s="176">
        <v>30000</v>
      </c>
      <c r="DQ17" s="176">
        <v>30000</v>
      </c>
      <c r="DR17" s="176">
        <v>30000</v>
      </c>
      <c r="DS17" s="176">
        <v>30000</v>
      </c>
      <c r="DT17" s="176">
        <v>30000</v>
      </c>
      <c r="DU17" s="176">
        <v>30000</v>
      </c>
      <c r="DV17" s="176">
        <v>30000</v>
      </c>
      <c r="DW17" s="176">
        <v>30000</v>
      </c>
      <c r="DX17" s="176">
        <v>30000</v>
      </c>
      <c r="DY17" s="176">
        <v>30000</v>
      </c>
      <c r="DZ17" s="176">
        <v>30000</v>
      </c>
      <c r="EA17" s="176">
        <v>30000</v>
      </c>
      <c r="EB17" s="176">
        <v>30000</v>
      </c>
      <c r="EC17" s="176">
        <v>30000</v>
      </c>
      <c r="ED17" s="176">
        <v>30000</v>
      </c>
      <c r="EE17" s="176">
        <v>30000</v>
      </c>
      <c r="EF17" s="176">
        <v>30000</v>
      </c>
      <c r="EG17" s="176">
        <v>30000</v>
      </c>
      <c r="EH17" s="176">
        <v>30000</v>
      </c>
      <c r="EI17" s="176">
        <v>30000</v>
      </c>
      <c r="EJ17" s="176">
        <v>30000</v>
      </c>
      <c r="EK17" s="176">
        <v>30000</v>
      </c>
      <c r="EL17" s="176">
        <v>30000</v>
      </c>
      <c r="EM17" s="176">
        <v>30000</v>
      </c>
      <c r="EN17" s="176">
        <v>30000</v>
      </c>
      <c r="EO17" s="176">
        <v>30000</v>
      </c>
      <c r="EP17" t="str">
        <f t="shared" si="0"/>
        <v>4y 28d</v>
      </c>
    </row>
    <row r="18" spans="2:154" x14ac:dyDescent="0.25">
      <c r="B18" s="70">
        <v>15</v>
      </c>
      <c r="D18">
        <v>4289431.908976065</v>
      </c>
      <c r="E18" s="12">
        <v>-141603068156.97623</v>
      </c>
      <c r="F18" s="12">
        <v>42812809098.248756</v>
      </c>
      <c r="G18" s="12">
        <v>0</v>
      </c>
      <c r="H18" s="12">
        <v>118215983.59601547</v>
      </c>
      <c r="I18" s="12">
        <v>-137712765164.82565</v>
      </c>
      <c r="J18" s="12">
        <v>1345471582834.5955</v>
      </c>
      <c r="K18" s="12">
        <v>-17963759457.32872</v>
      </c>
      <c r="L18" s="12">
        <v>1783438.9006308201</v>
      </c>
      <c r="M18" s="12">
        <v>75158037058.732376</v>
      </c>
      <c r="N18" s="12">
        <v>-123149729170.73927</v>
      </c>
      <c r="O18" s="12">
        <v>81142680.077764675</v>
      </c>
      <c r="P18" s="12">
        <v>1783438.8361930368</v>
      </c>
      <c r="Q18" s="12">
        <v>75158085442.072342</v>
      </c>
      <c r="R18" s="12">
        <v>-123149734772.23773</v>
      </c>
      <c r="S18" s="12">
        <v>0</v>
      </c>
      <c r="T18" s="12">
        <v>2476033.6375337713</v>
      </c>
      <c r="U18" s="12">
        <v>228303030008.01358</v>
      </c>
      <c r="V18" s="12">
        <v>164241394377.21872</v>
      </c>
      <c r="W18" s="12">
        <v>-24802145.989400823</v>
      </c>
      <c r="X18" s="12">
        <v>1566387.0286877963</v>
      </c>
      <c r="Y18" s="12">
        <v>110900798742.83536</v>
      </c>
      <c r="Z18" s="12">
        <v>-97190666993.079056</v>
      </c>
      <c r="AA18" s="12">
        <v>-2715180922.6152945</v>
      </c>
      <c r="AB18" s="12"/>
      <c r="AC18" s="12"/>
      <c r="AD18" s="12"/>
      <c r="AE18" s="12"/>
      <c r="AG18" s="70" t="s">
        <v>22</v>
      </c>
      <c r="AH18" s="70" t="s">
        <v>23</v>
      </c>
      <c r="AI18" s="70" t="s">
        <v>26</v>
      </c>
      <c r="AS18" s="6">
        <v>133886716.27072963</v>
      </c>
      <c r="AT18" s="176">
        <v>30000</v>
      </c>
      <c r="AU18" s="176">
        <v>30000</v>
      </c>
      <c r="AV18" s="176">
        <v>30000</v>
      </c>
      <c r="AW18" s="176">
        <v>30000</v>
      </c>
      <c r="AX18" s="176">
        <v>30000</v>
      </c>
      <c r="AY18" s="176">
        <v>30000</v>
      </c>
      <c r="AZ18" s="176">
        <v>30000</v>
      </c>
      <c r="BA18" s="176">
        <v>30000</v>
      </c>
      <c r="BB18" s="176">
        <v>30000</v>
      </c>
      <c r="BC18" s="176">
        <v>30000</v>
      </c>
      <c r="BD18" s="176">
        <v>30000</v>
      </c>
      <c r="BE18" s="176">
        <v>30000</v>
      </c>
      <c r="BF18" s="176">
        <v>30000</v>
      </c>
      <c r="BG18" s="176">
        <v>30000</v>
      </c>
      <c r="BH18" s="176">
        <v>30000</v>
      </c>
      <c r="BI18" s="176">
        <v>30000</v>
      </c>
      <c r="BJ18" s="176">
        <v>30000</v>
      </c>
      <c r="BK18" s="176">
        <v>30000</v>
      </c>
      <c r="BL18" s="176">
        <v>30000</v>
      </c>
      <c r="BM18" s="176">
        <v>30000</v>
      </c>
      <c r="BN18" s="176">
        <v>30000</v>
      </c>
      <c r="BO18" s="176">
        <v>30000</v>
      </c>
      <c r="BP18" s="176">
        <v>30000</v>
      </c>
      <c r="BQ18" s="176">
        <v>30000</v>
      </c>
      <c r="BR18" s="176">
        <v>30000</v>
      </c>
      <c r="BS18" s="176">
        <v>30000</v>
      </c>
      <c r="BT18" s="176">
        <v>30000</v>
      </c>
      <c r="BU18" s="176">
        <v>30000</v>
      </c>
      <c r="BV18" s="176">
        <v>29742.477520273242</v>
      </c>
      <c r="BW18" s="176">
        <v>29010.254977853776</v>
      </c>
      <c r="BX18" s="176">
        <v>28290.562393188557</v>
      </c>
      <c r="BY18" s="176">
        <v>27584.083620469337</v>
      </c>
      <c r="BZ18" s="176">
        <v>26891.599523733275</v>
      </c>
      <c r="CA18" s="176">
        <v>26214.004169563756</v>
      </c>
      <c r="CB18" s="176">
        <v>25552.32200057826</v>
      </c>
      <c r="CC18" s="176">
        <v>24907.726003699696</v>
      </c>
      <c r="CD18" s="176">
        <v>24281.556894718386</v>
      </c>
      <c r="CE18" s="176">
        <v>23675.343423702518</v>
      </c>
      <c r="CF18" s="176">
        <v>23090.82418878669</v>
      </c>
      <c r="CG18" s="176">
        <v>22529.972131090432</v>
      </c>
      <c r="CH18" s="176">
        <v>21995.024935115554</v>
      </c>
      <c r="CI18" s="176">
        <v>21488.529996782087</v>
      </c>
      <c r="CJ18" s="176">
        <v>21013.427094776089</v>
      </c>
      <c r="CK18" s="176">
        <v>20573.237669110717</v>
      </c>
      <c r="CL18" s="176">
        <v>20172.582147392808</v>
      </c>
      <c r="CM18" s="176">
        <v>19818.895211692397</v>
      </c>
      <c r="CN18" s="176">
        <v>19529.842612141227</v>
      </c>
      <c r="CO18" s="176">
        <v>19262.176702894605</v>
      </c>
      <c r="CP18" s="176">
        <v>19027.17983104345</v>
      </c>
      <c r="CQ18" s="176">
        <v>18844.076702832317</v>
      </c>
      <c r="CR18" s="176">
        <v>18715.540969930345</v>
      </c>
      <c r="CS18" s="176">
        <v>18631.505039967149</v>
      </c>
      <c r="CT18" s="176">
        <v>18586.918556894467</v>
      </c>
      <c r="CU18" s="176">
        <v>18622.185189023941</v>
      </c>
      <c r="CV18" s="176">
        <v>18724.727477002325</v>
      </c>
      <c r="CW18" s="176">
        <v>18890.472240135805</v>
      </c>
      <c r="CX18" s="176">
        <v>19117.134493510755</v>
      </c>
      <c r="CY18" s="176">
        <v>19402.67898520545</v>
      </c>
      <c r="CZ18" s="176">
        <v>19744.909198401212</v>
      </c>
      <c r="DA18" s="176">
        <v>20141.383030221423</v>
      </c>
      <c r="DB18" s="176">
        <v>20589.439266510592</v>
      </c>
      <c r="DC18" s="176">
        <v>21086.261717668916</v>
      </c>
      <c r="DD18" s="176">
        <v>21628.951070596973</v>
      </c>
      <c r="DE18" s="176">
        <v>22214.591093006435</v>
      </c>
      <c r="DF18" s="176">
        <v>22840.303413546208</v>
      </c>
      <c r="DG18" s="176">
        <v>23503.289108003642</v>
      </c>
      <c r="DH18" s="176">
        <v>24200.857523036342</v>
      </c>
      <c r="DI18" s="176">
        <v>24930.443904865795</v>
      </c>
      <c r="DJ18" s="176">
        <v>25689.617867681016</v>
      </c>
      <c r="DK18" s="176">
        <v>26476.084793229325</v>
      </c>
      <c r="DL18" s="176">
        <v>27287.68207844859</v>
      </c>
      <c r="DM18" s="176">
        <v>28122.371864684221</v>
      </c>
      <c r="DN18" s="176">
        <v>28978.231568271007</v>
      </c>
      <c r="DO18" s="176">
        <v>29853.443233505055</v>
      </c>
      <c r="DP18" s="176">
        <v>30000</v>
      </c>
      <c r="DQ18" s="176">
        <v>30000</v>
      </c>
      <c r="DR18" s="176">
        <v>30000</v>
      </c>
      <c r="DS18" s="176">
        <v>30000</v>
      </c>
      <c r="DT18" s="176">
        <v>30000</v>
      </c>
      <c r="DU18" s="176">
        <v>30000</v>
      </c>
      <c r="DV18" s="176">
        <v>30000</v>
      </c>
      <c r="DW18" s="176">
        <v>30000</v>
      </c>
      <c r="DX18" s="176">
        <v>30000</v>
      </c>
      <c r="DY18" s="176">
        <v>30000</v>
      </c>
      <c r="DZ18" s="176">
        <v>30000</v>
      </c>
      <c r="EA18" s="176">
        <v>30000</v>
      </c>
      <c r="EB18" s="176">
        <v>30000</v>
      </c>
      <c r="EC18" s="176">
        <v>30000</v>
      </c>
      <c r="ED18" s="176">
        <v>30000</v>
      </c>
      <c r="EE18" s="176">
        <v>30000</v>
      </c>
      <c r="EF18" s="176">
        <v>30000</v>
      </c>
      <c r="EG18" s="176">
        <v>30000</v>
      </c>
      <c r="EH18" s="176">
        <v>30000</v>
      </c>
      <c r="EI18" s="176">
        <v>30000</v>
      </c>
      <c r="EJ18" s="176">
        <v>30000</v>
      </c>
      <c r="EK18" s="176">
        <v>30000</v>
      </c>
      <c r="EL18" s="176">
        <v>30000</v>
      </c>
      <c r="EM18" s="176">
        <v>30000</v>
      </c>
      <c r="EN18" s="176">
        <v>30000</v>
      </c>
      <c r="EO18" s="176">
        <v>30000</v>
      </c>
      <c r="EP18" t="str">
        <f t="shared" si="0"/>
        <v>4y 89d</v>
      </c>
    </row>
    <row r="19" spans="2:154" x14ac:dyDescent="0.25">
      <c r="B19" s="70">
        <v>16</v>
      </c>
      <c r="D19">
        <v>4598392.1745049842</v>
      </c>
      <c r="E19" s="12">
        <v>-144127801126.7424</v>
      </c>
      <c r="F19" s="12">
        <v>33864233119.740311</v>
      </c>
      <c r="G19" s="12">
        <v>0</v>
      </c>
      <c r="H19" s="12">
        <v>126567555.33974965</v>
      </c>
      <c r="I19" s="12">
        <v>-221923489152.82703</v>
      </c>
      <c r="J19" s="12">
        <v>1334579839914.8262</v>
      </c>
      <c r="K19" s="12">
        <v>-14426722339.583456</v>
      </c>
      <c r="L19" s="12">
        <v>1906588.1056820455</v>
      </c>
      <c r="M19" s="12">
        <v>79437013839.987686</v>
      </c>
      <c r="N19" s="12">
        <v>-120506603220.83862</v>
      </c>
      <c r="O19" s="12">
        <v>86457094.563608795</v>
      </c>
      <c r="P19" s="12">
        <v>1906588.0430431967</v>
      </c>
      <c r="Q19" s="12">
        <v>79437065661.289963</v>
      </c>
      <c r="R19" s="12">
        <v>-120506609172.8028</v>
      </c>
      <c r="S19" s="12">
        <v>0</v>
      </c>
      <c r="T19" s="12">
        <v>2689805.3431015448</v>
      </c>
      <c r="U19" s="12">
        <v>228826747932.70593</v>
      </c>
      <c r="V19" s="12">
        <v>170135600136.90454</v>
      </c>
      <c r="W19" s="12">
        <v>-26910233.154936928</v>
      </c>
      <c r="X19" s="12">
        <v>1682541.4836716491</v>
      </c>
      <c r="Y19" s="12">
        <v>114416679474.17532</v>
      </c>
      <c r="Z19" s="12">
        <v>-94106354804.558441</v>
      </c>
      <c r="AA19" s="12">
        <v>-2908662080.673533</v>
      </c>
      <c r="AB19" s="12"/>
      <c r="AC19" s="12"/>
      <c r="AD19" s="12"/>
      <c r="AE19" s="12"/>
      <c r="AG19" s="27">
        <v>0</v>
      </c>
      <c r="AH19" s="27">
        <v>0</v>
      </c>
      <c r="AI19" s="27">
        <v>0</v>
      </c>
      <c r="AS19" s="6">
        <v>139153481.50705233</v>
      </c>
      <c r="AT19" s="176">
        <v>30000</v>
      </c>
      <c r="AU19" s="176">
        <v>30000</v>
      </c>
      <c r="AV19" s="176">
        <v>30000</v>
      </c>
      <c r="AW19" s="176">
        <v>30000</v>
      </c>
      <c r="AX19" s="176">
        <v>30000</v>
      </c>
      <c r="AY19" s="176">
        <v>30000</v>
      </c>
      <c r="AZ19" s="176">
        <v>30000</v>
      </c>
      <c r="BA19" s="176">
        <v>30000</v>
      </c>
      <c r="BB19" s="176">
        <v>30000</v>
      </c>
      <c r="BC19" s="176">
        <v>30000</v>
      </c>
      <c r="BD19" s="176">
        <v>30000</v>
      </c>
      <c r="BE19" s="176">
        <v>30000</v>
      </c>
      <c r="BF19" s="176">
        <v>30000</v>
      </c>
      <c r="BG19" s="176">
        <v>30000</v>
      </c>
      <c r="BH19" s="176">
        <v>30000</v>
      </c>
      <c r="BI19" s="176">
        <v>30000</v>
      </c>
      <c r="BJ19" s="176">
        <v>30000</v>
      </c>
      <c r="BK19" s="176">
        <v>30000</v>
      </c>
      <c r="BL19" s="176">
        <v>30000</v>
      </c>
      <c r="BM19" s="176">
        <v>30000</v>
      </c>
      <c r="BN19" s="176">
        <v>30000</v>
      </c>
      <c r="BO19" s="176">
        <v>30000</v>
      </c>
      <c r="BP19" s="176">
        <v>30000</v>
      </c>
      <c r="BQ19" s="176">
        <v>30000</v>
      </c>
      <c r="BR19" s="176">
        <v>30000</v>
      </c>
      <c r="BS19" s="176">
        <v>30000</v>
      </c>
      <c r="BT19" s="176">
        <v>30000</v>
      </c>
      <c r="BU19" s="176">
        <v>30000</v>
      </c>
      <c r="BV19" s="176">
        <v>29881.849418787457</v>
      </c>
      <c r="BW19" s="176">
        <v>29138.77171055755</v>
      </c>
      <c r="BX19" s="176">
        <v>28408.647582307098</v>
      </c>
      <c r="BY19" s="176">
        <v>27692.151702179104</v>
      </c>
      <c r="BZ19" s="176">
        <v>26990.049317542667</v>
      </c>
      <c r="CA19" s="176">
        <v>26303.211841922741</v>
      </c>
      <c r="CB19" s="176">
        <v>25632.633149355563</v>
      </c>
      <c r="CC19" s="176">
        <v>24979.44651124861</v>
      </c>
      <c r="CD19" s="176">
        <v>24344.941606929438</v>
      </c>
      <c r="CE19" s="176">
        <v>23730.582098830826</v>
      </c>
      <c r="CF19" s="176">
        <v>23138.022216762962</v>
      </c>
      <c r="CG19" s="176">
        <v>22569.122543292862</v>
      </c>
      <c r="CH19" s="176">
        <v>22025.964129453365</v>
      </c>
      <c r="CI19" s="176">
        <v>21510.860845141913</v>
      </c>
      <c r="CJ19" s="176">
        <v>21026.371397833318</v>
      </c>
      <c r="CK19" s="176">
        <v>20575.317449582748</v>
      </c>
      <c r="CL19" s="176">
        <v>20160.830464897095</v>
      </c>
      <c r="CM19" s="176">
        <v>19786.509305291889</v>
      </c>
      <c r="CN19" s="176">
        <v>19457.040044395377</v>
      </c>
      <c r="CO19" s="176">
        <v>19181.356226088948</v>
      </c>
      <c r="CP19" s="176">
        <v>18955.472658465907</v>
      </c>
      <c r="CQ19" s="176">
        <v>18763.055188091563</v>
      </c>
      <c r="CR19" s="176">
        <v>18624.651026388117</v>
      </c>
      <c r="CS19" s="176">
        <v>18532.393009983756</v>
      </c>
      <c r="CT19" s="176">
        <v>18495.32128793433</v>
      </c>
      <c r="CU19" s="176">
        <v>18528.246772736446</v>
      </c>
      <c r="CV19" s="176">
        <v>18623.782852940683</v>
      </c>
      <c r="CW19" s="176">
        <v>18780.067930185738</v>
      </c>
      <c r="CX19" s="176">
        <v>18995.824558029937</v>
      </c>
      <c r="CY19" s="176">
        <v>19269.543531060343</v>
      </c>
      <c r="CZ19" s="176">
        <v>19599.338456348316</v>
      </c>
      <c r="DA19" s="176">
        <v>19982.967484129033</v>
      </c>
      <c r="DB19" s="176">
        <v>20417.906639021454</v>
      </c>
      <c r="DC19" s="176">
        <v>20901.436890737295</v>
      </c>
      <c r="DD19" s="176">
        <v>21430.728681985267</v>
      </c>
      <c r="DE19" s="176">
        <v>22002.916039758042</v>
      </c>
      <c r="DF19" s="176">
        <v>22615.156816346698</v>
      </c>
      <c r="DG19" s="176">
        <v>23264.678309179501</v>
      </c>
      <c r="DH19" s="176">
        <v>23948.809164918028</v>
      </c>
      <c r="DI19" s="176">
        <v>24664.999380931098</v>
      </c>
      <c r="DJ19" s="176">
        <v>25410.830588743735</v>
      </c>
      <c r="DK19" s="176">
        <v>26184.018818853743</v>
      </c>
      <c r="DL19" s="176">
        <v>26982.41175060979</v>
      </c>
      <c r="DM19" s="176">
        <v>27803.982153790104</v>
      </c>
      <c r="DN19" s="176">
        <v>28646.818963272744</v>
      </c>
      <c r="DO19" s="176">
        <v>29509.116739223722</v>
      </c>
      <c r="DP19" s="176">
        <v>30000</v>
      </c>
      <c r="DQ19" s="176">
        <v>30000</v>
      </c>
      <c r="DR19" s="176">
        <v>30000</v>
      </c>
      <c r="DS19" s="176">
        <v>30000</v>
      </c>
      <c r="DT19" s="176">
        <v>30000</v>
      </c>
      <c r="DU19" s="176">
        <v>30000</v>
      </c>
      <c r="DV19" s="176">
        <v>30000</v>
      </c>
      <c r="DW19" s="176">
        <v>30000</v>
      </c>
      <c r="DX19" s="176">
        <v>30000</v>
      </c>
      <c r="DY19" s="176">
        <v>30000</v>
      </c>
      <c r="DZ19" s="176">
        <v>30000</v>
      </c>
      <c r="EA19" s="176">
        <v>30000</v>
      </c>
      <c r="EB19" s="176">
        <v>30000</v>
      </c>
      <c r="EC19" s="176">
        <v>30000</v>
      </c>
      <c r="ED19" s="176">
        <v>30000</v>
      </c>
      <c r="EE19" s="176">
        <v>30000</v>
      </c>
      <c r="EF19" s="176">
        <v>30000</v>
      </c>
      <c r="EG19" s="176">
        <v>30000</v>
      </c>
      <c r="EH19" s="176">
        <v>30000</v>
      </c>
      <c r="EI19" s="176">
        <v>30000</v>
      </c>
      <c r="EJ19" s="176">
        <v>30000</v>
      </c>
      <c r="EK19" s="176">
        <v>30000</v>
      </c>
      <c r="EL19" s="176">
        <v>30000</v>
      </c>
      <c r="EM19" s="176">
        <v>30000</v>
      </c>
      <c r="EN19" s="176">
        <v>30000</v>
      </c>
      <c r="EO19" s="176">
        <v>30000</v>
      </c>
      <c r="EP19" t="str">
        <f t="shared" si="0"/>
        <v>4y 150d</v>
      </c>
    </row>
    <row r="20" spans="2:154" x14ac:dyDescent="0.25">
      <c r="B20" s="70">
        <v>17</v>
      </c>
      <c r="D20">
        <v>4907862.6621237835</v>
      </c>
      <c r="E20" s="12">
        <v>-146093137945.45966</v>
      </c>
      <c r="F20" s="12">
        <v>24768469229.853001</v>
      </c>
      <c r="G20" s="12">
        <v>0</v>
      </c>
      <c r="H20" s="12">
        <v>134925358.24383363</v>
      </c>
      <c r="I20" s="12">
        <v>-305367360952.27771</v>
      </c>
      <c r="J20" s="12">
        <v>1318690635594.3296</v>
      </c>
      <c r="K20" s="12">
        <v>-10833112620.293022</v>
      </c>
      <c r="L20" s="12">
        <v>2029908.0786842851</v>
      </c>
      <c r="M20" s="12">
        <v>83668674187.808548</v>
      </c>
      <c r="N20" s="12">
        <v>-117779032156.78156</v>
      </c>
      <c r="O20" s="12">
        <v>91720922.524393409</v>
      </c>
      <c r="P20" s="12">
        <v>2029908.018564132</v>
      </c>
      <c r="Q20" s="12">
        <v>83668729448.409164</v>
      </c>
      <c r="R20" s="12">
        <v>-117779038450.00101</v>
      </c>
      <c r="S20" s="12">
        <v>0</v>
      </c>
      <c r="T20" s="12">
        <v>2909588.2103930432</v>
      </c>
      <c r="U20" s="12">
        <v>229302827970.00616</v>
      </c>
      <c r="V20" s="12">
        <v>176149175858.18222</v>
      </c>
      <c r="W20" s="12">
        <v>-29070263.319194</v>
      </c>
      <c r="X20" s="12">
        <v>1799834.0733203341</v>
      </c>
      <c r="Y20" s="12">
        <v>117903148217.37625</v>
      </c>
      <c r="Z20" s="12">
        <v>-90939297933.535477</v>
      </c>
      <c r="AA20" s="12">
        <v>-3102415525.2312326</v>
      </c>
      <c r="AB20" s="12"/>
      <c r="AC20" s="12"/>
      <c r="AD20" s="12"/>
      <c r="AE20" s="12"/>
      <c r="AG20" s="27">
        <v>-59043648241.211052</v>
      </c>
      <c r="AH20" s="27">
        <v>134728739910.88374</v>
      </c>
      <c r="AI20" s="27">
        <v>0</v>
      </c>
      <c r="AS20" s="6">
        <v>144420246.74337503</v>
      </c>
      <c r="AT20" s="176">
        <v>30000</v>
      </c>
      <c r="AU20" s="176">
        <v>30000</v>
      </c>
      <c r="AV20" s="176">
        <v>30000</v>
      </c>
      <c r="AW20" s="176">
        <v>30000</v>
      </c>
      <c r="AX20" s="176">
        <v>30000</v>
      </c>
      <c r="AY20" s="176">
        <v>30000</v>
      </c>
      <c r="AZ20" s="176">
        <v>30000</v>
      </c>
      <c r="BA20" s="176">
        <v>30000</v>
      </c>
      <c r="BB20" s="176">
        <v>30000</v>
      </c>
      <c r="BC20" s="176">
        <v>30000</v>
      </c>
      <c r="BD20" s="176">
        <v>30000</v>
      </c>
      <c r="BE20" s="176">
        <v>30000</v>
      </c>
      <c r="BF20" s="176">
        <v>30000</v>
      </c>
      <c r="BG20" s="176">
        <v>30000</v>
      </c>
      <c r="BH20" s="176">
        <v>30000</v>
      </c>
      <c r="BI20" s="176">
        <v>30000</v>
      </c>
      <c r="BJ20" s="176">
        <v>30000</v>
      </c>
      <c r="BK20" s="176">
        <v>30000</v>
      </c>
      <c r="BL20" s="176">
        <v>30000</v>
      </c>
      <c r="BM20" s="176">
        <v>30000</v>
      </c>
      <c r="BN20" s="176">
        <v>30000</v>
      </c>
      <c r="BO20" s="176">
        <v>30000</v>
      </c>
      <c r="BP20" s="176">
        <v>30000</v>
      </c>
      <c r="BQ20" s="176">
        <v>30000</v>
      </c>
      <c r="BR20" s="176">
        <v>30000</v>
      </c>
      <c r="BS20" s="176">
        <v>30000</v>
      </c>
      <c r="BT20" s="176">
        <v>30000</v>
      </c>
      <c r="BU20" s="176">
        <v>30000</v>
      </c>
      <c r="BV20" s="176">
        <v>30000</v>
      </c>
      <c r="BW20" s="176">
        <v>29309.893612031221</v>
      </c>
      <c r="BX20" s="176">
        <v>28569.009046939376</v>
      </c>
      <c r="BY20" s="176">
        <v>27842.111049099858</v>
      </c>
      <c r="BZ20" s="176">
        <v>27129.951191259195</v>
      </c>
      <c r="CA20" s="176">
        <v>26433.380958396669</v>
      </c>
      <c r="CB20" s="176">
        <v>25753.367683804259</v>
      </c>
      <c r="CC20" s="176">
        <v>25091.010953913119</v>
      </c>
      <c r="CD20" s="176">
        <v>24447.559219580842</v>
      </c>
      <c r="CE20" s="176">
        <v>23824.426195313619</v>
      </c>
      <c r="CF20" s="176">
        <v>23223.206421320298</v>
      </c>
      <c r="CG20" s="176">
        <v>22645.689100510259</v>
      </c>
      <c r="CH20" s="176">
        <v>22093.86900304725</v>
      </c>
      <c r="CI20" s="176">
        <v>21569.952863955503</v>
      </c>
      <c r="CJ20" s="176">
        <v>21076.359310061329</v>
      </c>
      <c r="CK20" s="176">
        <v>20615.709989898642</v>
      </c>
      <c r="CL20" s="176">
        <v>20190.809324625523</v>
      </c>
      <c r="CM20" s="176">
        <v>19804.610278183725</v>
      </c>
      <c r="CN20" s="176">
        <v>19460.164054697561</v>
      </c>
      <c r="CO20" s="176">
        <v>19160.554315435897</v>
      </c>
      <c r="CP20" s="176">
        <v>18908.841134211518</v>
      </c>
      <c r="CQ20" s="176">
        <v>18708.692228008898</v>
      </c>
      <c r="CR20" s="176">
        <v>18565.892391123634</v>
      </c>
      <c r="CS20" s="176">
        <v>18476.697971087473</v>
      </c>
      <c r="CT20" s="176">
        <v>18436.554336807265</v>
      </c>
      <c r="CU20" s="176">
        <v>18460.618795365521</v>
      </c>
      <c r="CV20" s="176">
        <v>18544.322237504333</v>
      </c>
      <c r="CW20" s="176">
        <v>18687.509934701997</v>
      </c>
      <c r="CX20" s="176">
        <v>18889.513534897451</v>
      </c>
      <c r="CY20" s="176">
        <v>19149.114927318082</v>
      </c>
      <c r="CZ20" s="176">
        <v>19464.599165768377</v>
      </c>
      <c r="DA20" s="176">
        <v>19833.838740613763</v>
      </c>
      <c r="DB20" s="176">
        <v>20254.390200162052</v>
      </c>
      <c r="DC20" s="176">
        <v>20723.591643057029</v>
      </c>
      <c r="DD20" s="176">
        <v>21238.653111394226</v>
      </c>
      <c r="DE20" s="176">
        <v>21796.734817187673</v>
      </c>
      <c r="DF20" s="176">
        <v>22395.010693803866</v>
      </c>
      <c r="DG20" s="176">
        <v>23030.716814275009</v>
      </c>
      <c r="DH20" s="176">
        <v>23701.185658514965</v>
      </c>
      <c r="DI20" s="176">
        <v>24403.868063814603</v>
      </c>
      <c r="DJ20" s="176">
        <v>25136.345064126672</v>
      </c>
      <c r="DK20" s="176">
        <v>25896.331901841542</v>
      </c>
      <c r="DL20" s="176">
        <v>26681.675991239157</v>
      </c>
      <c r="DM20" s="176">
        <v>27490.351198892924</v>
      </c>
      <c r="DN20" s="176">
        <v>28320.449130779925</v>
      </c>
      <c r="DO20" s="176">
        <v>29170.169057420637</v>
      </c>
      <c r="DP20" s="176">
        <v>30000</v>
      </c>
      <c r="DQ20" s="176">
        <v>30000</v>
      </c>
      <c r="DR20" s="176">
        <v>30000</v>
      </c>
      <c r="DS20" s="176">
        <v>30000</v>
      </c>
      <c r="DT20" s="176">
        <v>30000</v>
      </c>
      <c r="DU20" s="176">
        <v>30000</v>
      </c>
      <c r="DV20" s="176">
        <v>30000</v>
      </c>
      <c r="DW20" s="176">
        <v>30000</v>
      </c>
      <c r="DX20" s="176">
        <v>30000</v>
      </c>
      <c r="DY20" s="176">
        <v>30000</v>
      </c>
      <c r="DZ20" s="176">
        <v>30000</v>
      </c>
      <c r="EA20" s="176">
        <v>30000</v>
      </c>
      <c r="EB20" s="176">
        <v>30000</v>
      </c>
      <c r="EC20" s="176">
        <v>30000</v>
      </c>
      <c r="ED20" s="176">
        <v>30000</v>
      </c>
      <c r="EE20" s="176">
        <v>30000</v>
      </c>
      <c r="EF20" s="176">
        <v>30000</v>
      </c>
      <c r="EG20" s="176">
        <v>30000</v>
      </c>
      <c r="EH20" s="176">
        <v>30000</v>
      </c>
      <c r="EI20" s="176">
        <v>30000</v>
      </c>
      <c r="EJ20" s="176">
        <v>30000</v>
      </c>
      <c r="EK20" s="176">
        <v>30000</v>
      </c>
      <c r="EL20" s="176">
        <v>30000</v>
      </c>
      <c r="EM20" s="176">
        <v>30000</v>
      </c>
      <c r="EN20" s="176">
        <v>30000</v>
      </c>
      <c r="EO20" s="176">
        <v>30000</v>
      </c>
      <c r="EP20" t="str">
        <f t="shared" si="0"/>
        <v>4y 211d</v>
      </c>
    </row>
    <row r="21" spans="2:154" x14ac:dyDescent="0.25">
      <c r="B21" s="70">
        <v>18</v>
      </c>
      <c r="D21">
        <v>5217868.2393564759</v>
      </c>
      <c r="E21" s="12">
        <v>-147490118744.71606</v>
      </c>
      <c r="F21" s="12">
        <v>15560049065.616484</v>
      </c>
      <c r="G21" s="12">
        <v>0</v>
      </c>
      <c r="H21" s="12">
        <v>143292897.92221078</v>
      </c>
      <c r="I21" s="12">
        <v>-387766011925.60419</v>
      </c>
      <c r="J21" s="12">
        <v>1297849606708.738</v>
      </c>
      <c r="K21" s="12">
        <v>-7194790201.3246088</v>
      </c>
      <c r="L21" s="12">
        <v>2153533.9083210505</v>
      </c>
      <c r="M21" s="12">
        <v>87854658128.485641</v>
      </c>
      <c r="N21" s="12">
        <v>-114965625397.02151</v>
      </c>
      <c r="O21" s="12">
        <v>96936228.010970801</v>
      </c>
      <c r="P21" s="12">
        <v>2153533.8514271025</v>
      </c>
      <c r="Q21" s="12">
        <v>87854716830.456055</v>
      </c>
      <c r="R21" s="12">
        <v>-114965632021.86914</v>
      </c>
      <c r="S21" s="12">
        <v>0</v>
      </c>
      <c r="T21" s="12">
        <v>3135628.4350889623</v>
      </c>
      <c r="U21" s="12">
        <v>229729079201.6691</v>
      </c>
      <c r="V21" s="12">
        <v>182285267630.08685</v>
      </c>
      <c r="W21" s="12">
        <v>-31283754.030090079</v>
      </c>
      <c r="X21" s="12">
        <v>1918382.6998039745</v>
      </c>
      <c r="Y21" s="12">
        <v>121360777475.0067</v>
      </c>
      <c r="Z21" s="12">
        <v>-87687288508.449509</v>
      </c>
      <c r="AA21" s="12">
        <v>-3296502473.2744613</v>
      </c>
      <c r="AB21" s="12"/>
      <c r="AC21" s="12"/>
      <c r="AD21" s="12"/>
      <c r="AE21" s="12"/>
      <c r="AG21" s="27">
        <v>-544756213374.91266</v>
      </c>
      <c r="AH21" s="27">
        <v>1243051884036.1812</v>
      </c>
      <c r="AI21" s="27">
        <v>5.4229181259870529E-3</v>
      </c>
      <c r="AS21" s="6">
        <v>149687011.97969773</v>
      </c>
      <c r="AT21" s="176">
        <v>30000</v>
      </c>
      <c r="AU21" s="176">
        <v>30000</v>
      </c>
      <c r="AV21" s="176">
        <v>30000</v>
      </c>
      <c r="AW21" s="176">
        <v>30000</v>
      </c>
      <c r="AX21" s="176">
        <v>30000</v>
      </c>
      <c r="AY21" s="176">
        <v>30000</v>
      </c>
      <c r="AZ21" s="176">
        <v>30000</v>
      </c>
      <c r="BA21" s="176">
        <v>30000</v>
      </c>
      <c r="BB21" s="176">
        <v>30000</v>
      </c>
      <c r="BC21" s="176">
        <v>30000</v>
      </c>
      <c r="BD21" s="176">
        <v>30000</v>
      </c>
      <c r="BE21" s="176">
        <v>30000</v>
      </c>
      <c r="BF21" s="176">
        <v>30000</v>
      </c>
      <c r="BG21" s="176">
        <v>30000</v>
      </c>
      <c r="BH21" s="176">
        <v>30000</v>
      </c>
      <c r="BI21" s="176">
        <v>30000</v>
      </c>
      <c r="BJ21" s="176">
        <v>30000</v>
      </c>
      <c r="BK21" s="176">
        <v>30000</v>
      </c>
      <c r="BL21" s="176">
        <v>30000</v>
      </c>
      <c r="BM21" s="176">
        <v>30000</v>
      </c>
      <c r="BN21" s="176">
        <v>30000</v>
      </c>
      <c r="BO21" s="176">
        <v>30000</v>
      </c>
      <c r="BP21" s="176">
        <v>30000</v>
      </c>
      <c r="BQ21" s="176">
        <v>30000</v>
      </c>
      <c r="BR21" s="176">
        <v>30000</v>
      </c>
      <c r="BS21" s="176">
        <v>30000</v>
      </c>
      <c r="BT21" s="176">
        <v>30000</v>
      </c>
      <c r="BU21" s="176">
        <v>30000</v>
      </c>
      <c r="BV21" s="176">
        <v>30000</v>
      </c>
      <c r="BW21" s="176">
        <v>29519.176723155109</v>
      </c>
      <c r="BX21" s="176">
        <v>28767.24652532769</v>
      </c>
      <c r="BY21" s="176">
        <v>28029.608209576709</v>
      </c>
      <c r="BZ21" s="176">
        <v>27307.001210445698</v>
      </c>
      <c r="CA21" s="176">
        <v>26600.259006106768</v>
      </c>
      <c r="CB21" s="176">
        <v>25910.324983870843</v>
      </c>
      <c r="CC21" s="176">
        <v>25238.268808413784</v>
      </c>
      <c r="CD21" s="176">
        <v>24585.303078388672</v>
      </c>
      <c r="CE21" s="176">
        <v>23952.799931179212</v>
      </c>
      <c r="CF21" s="176">
        <v>23342.307098802332</v>
      </c>
      <c r="CG21" s="176">
        <v>22755.562741944494</v>
      </c>
      <c r="CH21" s="176">
        <v>22194.508231478489</v>
      </c>
      <c r="CI21" s="176">
        <v>21661.298006755394</v>
      </c>
      <c r="CJ21" s="176">
        <v>21158.305971397</v>
      </c>
      <c r="CK21" s="176">
        <v>20688.12926751528</v>
      </c>
      <c r="CL21" s="176">
        <v>20253.59468300216</v>
      </c>
      <c r="CM21" s="176">
        <v>19857.787020088566</v>
      </c>
      <c r="CN21" s="176">
        <v>19504.1686348968</v>
      </c>
      <c r="CO21" s="176">
        <v>19197.073335577115</v>
      </c>
      <c r="CP21" s="176">
        <v>18944.094405081025</v>
      </c>
      <c r="CQ21" s="176">
        <v>18756.321396586078</v>
      </c>
      <c r="CR21" s="176">
        <v>18598.155451198454</v>
      </c>
      <c r="CS21" s="176">
        <v>18495.163201017789</v>
      </c>
      <c r="CT21" s="176">
        <v>18449.196901377938</v>
      </c>
      <c r="CU21" s="176">
        <v>18444.317775489737</v>
      </c>
      <c r="CV21" s="176">
        <v>18497.326786226171</v>
      </c>
      <c r="CW21" s="176">
        <v>18618.337430791995</v>
      </c>
      <c r="CX21" s="176">
        <v>18801.203050973672</v>
      </c>
      <c r="CY21" s="176">
        <v>19043.068470898499</v>
      </c>
      <c r="CZ21" s="176">
        <v>19341.616011739687</v>
      </c>
      <c r="DA21" s="176">
        <v>19694.469248368252</v>
      </c>
      <c r="DB21" s="176">
        <v>20099.074077575136</v>
      </c>
      <c r="DC21" s="176">
        <v>20552.715358931971</v>
      </c>
      <c r="DD21" s="176">
        <v>21052.573697006985</v>
      </c>
      <c r="DE21" s="176">
        <v>21595.789054031709</v>
      </c>
      <c r="DF21" s="176">
        <v>22179.518080100017</v>
      </c>
      <c r="DG21" s="176">
        <v>22800.980214305269</v>
      </c>
      <c r="DH21" s="176">
        <v>23457.491455516712</v>
      </c>
      <c r="DI21" s="176">
        <v>24146.486673920503</v>
      </c>
      <c r="DJ21" s="176">
        <v>24865.531808232379</v>
      </c>
      <c r="DK21" s="176">
        <v>25612.32869813119</v>
      </c>
      <c r="DL21" s="176">
        <v>26384.713542983125</v>
      </c>
      <c r="DM21" s="176">
        <v>27180.651354822836</v>
      </c>
      <c r="DN21" s="176">
        <v>27998.227593233154</v>
      </c>
      <c r="DO21" s="176">
        <v>28835.638154559958</v>
      </c>
      <c r="DP21" s="176">
        <v>29691.178580072155</v>
      </c>
      <c r="DQ21" s="176">
        <v>30000</v>
      </c>
      <c r="DR21" s="176">
        <v>30000</v>
      </c>
      <c r="DS21" s="176">
        <v>30000</v>
      </c>
      <c r="DT21" s="176">
        <v>30000</v>
      </c>
      <c r="DU21" s="176">
        <v>30000</v>
      </c>
      <c r="DV21" s="176">
        <v>30000</v>
      </c>
      <c r="DW21" s="176">
        <v>30000</v>
      </c>
      <c r="DX21" s="176">
        <v>30000</v>
      </c>
      <c r="DY21" s="176">
        <v>30000</v>
      </c>
      <c r="DZ21" s="176">
        <v>30000</v>
      </c>
      <c r="EA21" s="176">
        <v>30000</v>
      </c>
      <c r="EB21" s="176">
        <v>30000</v>
      </c>
      <c r="EC21" s="176">
        <v>30000</v>
      </c>
      <c r="ED21" s="176">
        <v>30000</v>
      </c>
      <c r="EE21" s="176">
        <v>30000</v>
      </c>
      <c r="EF21" s="176">
        <v>30000</v>
      </c>
      <c r="EG21" s="176">
        <v>30000</v>
      </c>
      <c r="EH21" s="176">
        <v>30000</v>
      </c>
      <c r="EI21" s="176">
        <v>30000</v>
      </c>
      <c r="EJ21" s="176">
        <v>30000</v>
      </c>
      <c r="EK21" s="176">
        <v>30000</v>
      </c>
      <c r="EL21" s="176">
        <v>30000</v>
      </c>
      <c r="EM21" s="176">
        <v>30000</v>
      </c>
      <c r="EN21" s="176">
        <v>30000</v>
      </c>
      <c r="EO21" s="176">
        <v>30000</v>
      </c>
      <c r="EP21" t="str">
        <f t="shared" si="0"/>
        <v>4y 271d</v>
      </c>
    </row>
    <row r="22" spans="2:154" x14ac:dyDescent="0.25">
      <c r="B22" s="70">
        <v>19</v>
      </c>
      <c r="D22">
        <v>5528431.8415198419</v>
      </c>
      <c r="E22" s="12">
        <v>-148311864175.52502</v>
      </c>
      <c r="F22" s="12">
        <v>6274106797.888979</v>
      </c>
      <c r="G22" s="12">
        <v>0</v>
      </c>
      <c r="H22" s="12">
        <v>151673659.79980096</v>
      </c>
      <c r="I22" s="12">
        <v>-468842870375.28943</v>
      </c>
      <c r="J22" s="12">
        <v>1272115969650.8135</v>
      </c>
      <c r="K22" s="12">
        <v>-3523780109.6462436</v>
      </c>
      <c r="L22" s="12">
        <v>2277601.8166728388</v>
      </c>
      <c r="M22" s="12">
        <v>91996507159.084137</v>
      </c>
      <c r="N22" s="12">
        <v>-112064817222.87088</v>
      </c>
      <c r="O22" s="12">
        <v>102104969.68463737</v>
      </c>
      <c r="P22" s="12">
        <v>2277601.7637027423</v>
      </c>
      <c r="Q22" s="12">
        <v>91996569305.230362</v>
      </c>
      <c r="R22" s="12">
        <v>-112064824169.30963</v>
      </c>
      <c r="S22" s="12">
        <v>0</v>
      </c>
      <c r="T22" s="12">
        <v>3368184.0126465028</v>
      </c>
      <c r="U22" s="12">
        <v>230103201548.93558</v>
      </c>
      <c r="V22" s="12">
        <v>188547109334.73599</v>
      </c>
      <c r="W22" s="12">
        <v>-33552272.809839606</v>
      </c>
      <c r="X22" s="12">
        <v>2038309.2441442488</v>
      </c>
      <c r="Y22" s="12">
        <v>124790069998.25699</v>
      </c>
      <c r="Z22" s="12">
        <v>-84347971335.64505</v>
      </c>
      <c r="AA22" s="12">
        <v>-3490983935.5385585</v>
      </c>
      <c r="AB22" s="12"/>
      <c r="AC22" s="12"/>
      <c r="AD22" s="12"/>
      <c r="AE22" s="12"/>
      <c r="AS22" s="6">
        <v>154953777.21602044</v>
      </c>
      <c r="AT22" s="176">
        <v>30000</v>
      </c>
      <c r="AU22" s="176">
        <v>30000</v>
      </c>
      <c r="AV22" s="176">
        <v>30000</v>
      </c>
      <c r="AW22" s="176">
        <v>30000</v>
      </c>
      <c r="AX22" s="176">
        <v>30000</v>
      </c>
      <c r="AY22" s="176">
        <v>30000</v>
      </c>
      <c r="AZ22" s="176">
        <v>30000</v>
      </c>
      <c r="BA22" s="176">
        <v>30000</v>
      </c>
      <c r="BB22" s="176">
        <v>30000</v>
      </c>
      <c r="BC22" s="176">
        <v>30000</v>
      </c>
      <c r="BD22" s="176">
        <v>30000</v>
      </c>
      <c r="BE22" s="176">
        <v>30000</v>
      </c>
      <c r="BF22" s="176">
        <v>30000</v>
      </c>
      <c r="BG22" s="176">
        <v>30000</v>
      </c>
      <c r="BH22" s="176">
        <v>30000</v>
      </c>
      <c r="BI22" s="176">
        <v>30000</v>
      </c>
      <c r="BJ22" s="176">
        <v>30000</v>
      </c>
      <c r="BK22" s="176">
        <v>30000</v>
      </c>
      <c r="BL22" s="176">
        <v>30000</v>
      </c>
      <c r="BM22" s="176">
        <v>30000</v>
      </c>
      <c r="BN22" s="176">
        <v>30000</v>
      </c>
      <c r="BO22" s="176">
        <v>30000</v>
      </c>
      <c r="BP22" s="176">
        <v>30000</v>
      </c>
      <c r="BQ22" s="176">
        <v>30000</v>
      </c>
      <c r="BR22" s="176">
        <v>30000</v>
      </c>
      <c r="BS22" s="176">
        <v>30000</v>
      </c>
      <c r="BT22" s="176">
        <v>30000</v>
      </c>
      <c r="BU22" s="176">
        <v>30000</v>
      </c>
      <c r="BV22" s="176">
        <v>30000</v>
      </c>
      <c r="BW22" s="176">
        <v>29762.849148230518</v>
      </c>
      <c r="BX22" s="176">
        <v>28999.631603221384</v>
      </c>
      <c r="BY22" s="176">
        <v>28250.961207105305</v>
      </c>
      <c r="BZ22" s="176">
        <v>27517.566600672319</v>
      </c>
      <c r="CA22" s="176">
        <v>26800.264727026173</v>
      </c>
      <c r="CB22" s="176">
        <v>26099.976770251829</v>
      </c>
      <c r="CC22" s="176">
        <v>25417.744694365225</v>
      </c>
      <c r="CD22" s="176">
        <v>24754.748245902512</v>
      </c>
      <c r="CE22" s="176">
        <v>24112.322204790711</v>
      </c>
      <c r="CF22" s="176">
        <v>23491.973588886809</v>
      </c>
      <c r="CG22" s="176">
        <v>22895.39847424053</v>
      </c>
      <c r="CH22" s="176">
        <v>22324.498174627439</v>
      </c>
      <c r="CI22" s="176">
        <v>21781.394940196587</v>
      </c>
      <c r="CJ22" s="176">
        <v>21268.448593612382</v>
      </c>
      <c r="CK22" s="176">
        <v>20788.278917372743</v>
      </c>
      <c r="CL22" s="176">
        <v>20343.807718797194</v>
      </c>
      <c r="CM22" s="176">
        <v>19938.36035967958</v>
      </c>
      <c r="CN22" s="176">
        <v>19575.948026705057</v>
      </c>
      <c r="CO22" s="176">
        <v>19262.152118465732</v>
      </c>
      <c r="CP22" s="176">
        <v>19007.415109444966</v>
      </c>
      <c r="CQ22" s="176">
        <v>18818.863907451414</v>
      </c>
      <c r="CR22" s="176">
        <v>18646.108795810811</v>
      </c>
      <c r="CS22" s="176">
        <v>18527.991356055318</v>
      </c>
      <c r="CT22" s="176">
        <v>18466.422380506909</v>
      </c>
      <c r="CU22" s="176">
        <v>18462.802052205374</v>
      </c>
      <c r="CV22" s="176">
        <v>18513.014419786155</v>
      </c>
      <c r="CW22" s="176">
        <v>18585.723381296968</v>
      </c>
      <c r="CX22" s="176">
        <v>18737.5898609293</v>
      </c>
      <c r="CY22" s="176">
        <v>18955.138277285343</v>
      </c>
      <c r="CZ22" s="176">
        <v>19232.594075141118</v>
      </c>
      <c r="DA22" s="176">
        <v>19566.203440634417</v>
      </c>
      <c r="DB22" s="176">
        <v>19952.783599703664</v>
      </c>
      <c r="DC22" s="176">
        <v>20389.300473920383</v>
      </c>
      <c r="DD22" s="176">
        <v>20872.756330441698</v>
      </c>
      <c r="DE22" s="176">
        <v>21400.180899855259</v>
      </c>
      <c r="DF22" s="176">
        <v>21968.655410691441</v>
      </c>
      <c r="DG22" s="176">
        <v>22575.342580853274</v>
      </c>
      <c r="DH22" s="176">
        <v>23217.51281163382</v>
      </c>
      <c r="DI22" s="176">
        <v>23892.562578315308</v>
      </c>
      <c r="DJ22" s="176">
        <v>24598.025103492535</v>
      </c>
      <c r="DK22" s="176">
        <v>25331.574106305547</v>
      </c>
      <c r="DL22" s="176">
        <v>26091.022062218479</v>
      </c>
      <c r="DM22" s="176">
        <v>26874.314425399927</v>
      </c>
      <c r="DN22" s="176">
        <v>27679.521115687676</v>
      </c>
      <c r="DO22" s="176">
        <v>28504.826348874703</v>
      </c>
      <c r="DP22" s="176">
        <v>29348.517655695192</v>
      </c>
      <c r="DQ22" s="176">
        <v>30000</v>
      </c>
      <c r="DR22" s="176">
        <v>30000</v>
      </c>
      <c r="DS22" s="176">
        <v>30000</v>
      </c>
      <c r="DT22" s="176">
        <v>30000</v>
      </c>
      <c r="DU22" s="176">
        <v>30000</v>
      </c>
      <c r="DV22" s="176">
        <v>30000</v>
      </c>
      <c r="DW22" s="176">
        <v>30000</v>
      </c>
      <c r="DX22" s="176">
        <v>30000</v>
      </c>
      <c r="DY22" s="176">
        <v>30000</v>
      </c>
      <c r="DZ22" s="176">
        <v>30000</v>
      </c>
      <c r="EA22" s="176">
        <v>30000</v>
      </c>
      <c r="EB22" s="176">
        <v>30000</v>
      </c>
      <c r="EC22" s="176">
        <v>30000</v>
      </c>
      <c r="ED22" s="176">
        <v>30000</v>
      </c>
      <c r="EE22" s="176">
        <v>30000</v>
      </c>
      <c r="EF22" s="176">
        <v>30000</v>
      </c>
      <c r="EG22" s="176">
        <v>30000</v>
      </c>
      <c r="EH22" s="176">
        <v>30000</v>
      </c>
      <c r="EI22" s="176">
        <v>30000</v>
      </c>
      <c r="EJ22" s="176">
        <v>30000</v>
      </c>
      <c r="EK22" s="176">
        <v>30000</v>
      </c>
      <c r="EL22" s="176">
        <v>30000</v>
      </c>
      <c r="EM22" s="176">
        <v>30000</v>
      </c>
      <c r="EN22" s="176">
        <v>30000</v>
      </c>
      <c r="EO22" s="176">
        <v>30000</v>
      </c>
      <c r="EP22" t="str">
        <f t="shared" si="0"/>
        <v>4y 332d</v>
      </c>
    </row>
    <row r="23" spans="2:154" x14ac:dyDescent="0.25">
      <c r="B23" s="70">
        <v>20</v>
      </c>
      <c r="D23">
        <v>5839574.372027738</v>
      </c>
      <c r="E23" s="12">
        <v>-148553622962.46402</v>
      </c>
      <c r="F23" s="12">
        <v>-3053740167.5056281</v>
      </c>
      <c r="G23" s="12">
        <v>0</v>
      </c>
      <c r="H23" s="12">
        <v>160071101.62548009</v>
      </c>
      <c r="I23" s="12">
        <v>-548323577179.92981</v>
      </c>
      <c r="J23" s="12">
        <v>1241562582669.844</v>
      </c>
      <c r="K23" s="12">
        <v>167742938.62254882</v>
      </c>
      <c r="L23" s="12">
        <v>2402249.6687407456</v>
      </c>
      <c r="M23" s="12">
        <v>96095665061.390915</v>
      </c>
      <c r="N23" s="12">
        <v>-109074863660.78291</v>
      </c>
      <c r="O23" s="12">
        <v>107229002.01620826</v>
      </c>
      <c r="P23" s="12">
        <v>2402249.6203845711</v>
      </c>
      <c r="Q23" s="12">
        <v>96095730655.251419</v>
      </c>
      <c r="R23" s="12">
        <v>-109074870918.37146</v>
      </c>
      <c r="S23" s="12">
        <v>0</v>
      </c>
      <c r="T23" s="12">
        <v>3607525.3767039706</v>
      </c>
      <c r="U23" s="12">
        <v>230422780329.56973</v>
      </c>
      <c r="V23" s="12">
        <v>194938024263.61639</v>
      </c>
      <c r="W23" s="12">
        <v>-35877438.620235145</v>
      </c>
      <c r="X23" s="12">
        <v>2159739.9968631049</v>
      </c>
      <c r="Y23" s="12">
        <v>128191456676.18527</v>
      </c>
      <c r="Z23" s="12">
        <v>-80918838088.364594</v>
      </c>
      <c r="AA23" s="12">
        <v>-3685920733.8334908</v>
      </c>
      <c r="AB23" s="12"/>
      <c r="AC23" s="12"/>
      <c r="AD23" s="12"/>
      <c r="AE23" s="12"/>
      <c r="AS23" s="6">
        <v>160220542.45234314</v>
      </c>
      <c r="AT23" s="176">
        <v>30000</v>
      </c>
      <c r="AU23" s="176">
        <v>30000</v>
      </c>
      <c r="AV23" s="176">
        <v>30000</v>
      </c>
      <c r="AW23" s="176">
        <v>30000</v>
      </c>
      <c r="AX23" s="176">
        <v>30000</v>
      </c>
      <c r="AY23" s="176">
        <v>30000</v>
      </c>
      <c r="AZ23" s="176">
        <v>30000</v>
      </c>
      <c r="BA23" s="176">
        <v>30000</v>
      </c>
      <c r="BB23" s="176">
        <v>30000</v>
      </c>
      <c r="BC23" s="176">
        <v>30000</v>
      </c>
      <c r="BD23" s="176">
        <v>30000</v>
      </c>
      <c r="BE23" s="176">
        <v>30000</v>
      </c>
      <c r="BF23" s="176">
        <v>30000</v>
      </c>
      <c r="BG23" s="176">
        <v>30000</v>
      </c>
      <c r="BH23" s="176">
        <v>30000</v>
      </c>
      <c r="BI23" s="176">
        <v>30000</v>
      </c>
      <c r="BJ23" s="176">
        <v>30000</v>
      </c>
      <c r="BK23" s="176">
        <v>30000</v>
      </c>
      <c r="BL23" s="176">
        <v>30000</v>
      </c>
      <c r="BM23" s="176">
        <v>30000</v>
      </c>
      <c r="BN23" s="176">
        <v>30000</v>
      </c>
      <c r="BO23" s="176">
        <v>30000</v>
      </c>
      <c r="BP23" s="176">
        <v>30000</v>
      </c>
      <c r="BQ23" s="176">
        <v>30000</v>
      </c>
      <c r="BR23" s="176">
        <v>30000</v>
      </c>
      <c r="BS23" s="176">
        <v>30000</v>
      </c>
      <c r="BT23" s="176">
        <v>30000</v>
      </c>
      <c r="BU23" s="176">
        <v>30000</v>
      </c>
      <c r="BV23" s="176">
        <v>30000</v>
      </c>
      <c r="BW23" s="176">
        <v>30000</v>
      </c>
      <c r="BX23" s="176">
        <v>29262.978848347029</v>
      </c>
      <c r="BY23" s="176">
        <v>28503.030159687765</v>
      </c>
      <c r="BZ23" s="176">
        <v>27758.555729972388</v>
      </c>
      <c r="CA23" s="176">
        <v>27030.357233356401</v>
      </c>
      <c r="CB23" s="176">
        <v>26319.334937967127</v>
      </c>
      <c r="CC23" s="176">
        <v>25626.504489906161</v>
      </c>
      <c r="CD23" s="176">
        <v>24953.014356219697</v>
      </c>
      <c r="CE23" s="176">
        <v>24300.163835936073</v>
      </c>
      <c r="CF23" s="176">
        <v>23669.421538817285</v>
      </c>
      <c r="CG23" s="176">
        <v>23062.444300416071</v>
      </c>
      <c r="CH23" s="176">
        <v>22481.096770182216</v>
      </c>
      <c r="CI23" s="176">
        <v>21927.472647787014</v>
      </c>
      <c r="CJ23" s="176">
        <v>21403.920377286166</v>
      </c>
      <c r="CK23" s="176">
        <v>20913.080559691243</v>
      </c>
      <c r="CL23" s="176">
        <v>20457.953379437866</v>
      </c>
      <c r="CM23" s="176">
        <v>20042.043306712934</v>
      </c>
      <c r="CN23" s="176">
        <v>19669.711603340351</v>
      </c>
      <c r="CO23" s="176">
        <v>19347.139167690584</v>
      </c>
      <c r="CP23" s="176">
        <v>19085.361654486111</v>
      </c>
      <c r="CQ23" s="176">
        <v>18897.430610991985</v>
      </c>
      <c r="CR23" s="176">
        <v>18708.924429974508</v>
      </c>
      <c r="CS23" s="176">
        <v>18574.499476575831</v>
      </c>
      <c r="CT23" s="176">
        <v>18496.1349825004</v>
      </c>
      <c r="CU23" s="176">
        <v>18475.323178838273</v>
      </c>
      <c r="CV23" s="176">
        <v>18512.99724217055</v>
      </c>
      <c r="CW23" s="176">
        <v>18609.487666600809</v>
      </c>
      <c r="CX23" s="176">
        <v>18712.63536641455</v>
      </c>
      <c r="CY23" s="176">
        <v>18892.557984445742</v>
      </c>
      <c r="CZ23" s="176">
        <v>19141.659245854073</v>
      </c>
      <c r="DA23" s="176">
        <v>19451.555048706316</v>
      </c>
      <c r="DB23" s="176">
        <v>19817.120865179993</v>
      </c>
      <c r="DC23" s="176">
        <v>20234.396191220068</v>
      </c>
      <c r="DD23" s="176">
        <v>20699.893477315338</v>
      </c>
      <c r="DE23" s="176">
        <v>21210.358669470752</v>
      </c>
      <c r="DF23" s="176">
        <v>21762.693874519722</v>
      </c>
      <c r="DG23" s="176">
        <v>22353.939285391582</v>
      </c>
      <c r="DH23" s="176">
        <v>22981.275227557533</v>
      </c>
      <c r="DI23" s="176">
        <v>23642.028259357692</v>
      </c>
      <c r="DJ23" s="176">
        <v>24333.675232845155</v>
      </c>
      <c r="DK23" s="176">
        <v>25053.843448435964</v>
      </c>
      <c r="DL23" s="176">
        <v>25800.306878749107</v>
      </c>
      <c r="DM23" s="176">
        <v>26570.979166295045</v>
      </c>
      <c r="DN23" s="176">
        <v>27363.904303793635</v>
      </c>
      <c r="DO23" s="176">
        <v>28177.245870082748</v>
      </c>
      <c r="DP23" s="176">
        <v>29009.275561338098</v>
      </c>
      <c r="DQ23" s="176">
        <v>29858.361598082462</v>
      </c>
      <c r="DR23" s="176">
        <v>30000</v>
      </c>
      <c r="DS23" s="176">
        <v>30000</v>
      </c>
      <c r="DT23" s="176">
        <v>30000</v>
      </c>
      <c r="DU23" s="176">
        <v>30000</v>
      </c>
      <c r="DV23" s="176">
        <v>30000</v>
      </c>
      <c r="DW23" s="176">
        <v>30000</v>
      </c>
      <c r="DX23" s="176">
        <v>30000</v>
      </c>
      <c r="DY23" s="176">
        <v>30000</v>
      </c>
      <c r="DZ23" s="176">
        <v>30000</v>
      </c>
      <c r="EA23" s="176">
        <v>30000</v>
      </c>
      <c r="EB23" s="176">
        <v>30000</v>
      </c>
      <c r="EC23" s="176">
        <v>30000</v>
      </c>
      <c r="ED23" s="176">
        <v>30000</v>
      </c>
      <c r="EE23" s="176">
        <v>30000</v>
      </c>
      <c r="EF23" s="176">
        <v>30000</v>
      </c>
      <c r="EG23" s="176">
        <v>30000</v>
      </c>
      <c r="EH23" s="176">
        <v>30000</v>
      </c>
      <c r="EI23" s="176">
        <v>30000</v>
      </c>
      <c r="EJ23" s="176">
        <v>30000</v>
      </c>
      <c r="EK23" s="176">
        <v>30000</v>
      </c>
      <c r="EL23" s="176">
        <v>30000</v>
      </c>
      <c r="EM23" s="176">
        <v>30000</v>
      </c>
      <c r="EN23" s="176">
        <v>30000</v>
      </c>
      <c r="EO23" s="176">
        <v>30000</v>
      </c>
      <c r="EP23" t="str">
        <f t="shared" si="0"/>
        <v>5y 28d</v>
      </c>
    </row>
    <row r="24" spans="2:154" x14ac:dyDescent="0.25">
      <c r="B24" s="70">
        <v>21</v>
      </c>
      <c r="D24">
        <v>6151314.6080384906</v>
      </c>
      <c r="E24" s="12">
        <v>-148212813377.1337</v>
      </c>
      <c r="F24" s="12">
        <v>-12387514984.073704</v>
      </c>
      <c r="G24" s="12">
        <v>0</v>
      </c>
      <c r="H24" s="12">
        <v>168488645.80656403</v>
      </c>
      <c r="I24" s="12">
        <v>-625936426886.52173</v>
      </c>
      <c r="J24" s="12">
        <v>1206276028402.5945</v>
      </c>
      <c r="K24" s="12">
        <v>3867470633.5961456</v>
      </c>
      <c r="L24" s="12">
        <v>2527617.4932631981</v>
      </c>
      <c r="M24" s="12">
        <v>100153478276.57098</v>
      </c>
      <c r="N24" s="12">
        <v>-105993838652.43745</v>
      </c>
      <c r="O24" s="12">
        <v>112310076.01027451</v>
      </c>
      <c r="P24" s="12">
        <v>2527617.4502060483</v>
      </c>
      <c r="Q24" s="12">
        <v>100153547322.42577</v>
      </c>
      <c r="R24" s="12">
        <v>-105993846210.32347</v>
      </c>
      <c r="S24" s="12">
        <v>0</v>
      </c>
      <c r="T24" s="12">
        <v>3853936.0742922369</v>
      </c>
      <c r="U24" s="12">
        <v>230685280548.51254</v>
      </c>
      <c r="V24" s="12">
        <v>201461426640.9397</v>
      </c>
      <c r="W24" s="12">
        <v>-38260923.33568532</v>
      </c>
      <c r="X24" s="12">
        <v>2282806.1149073504</v>
      </c>
      <c r="Y24" s="12">
        <v>131565294064.42047</v>
      </c>
      <c r="Z24" s="12">
        <v>-77397220978.683182</v>
      </c>
      <c r="AA24" s="12">
        <v>-3881373513.0449319</v>
      </c>
      <c r="AB24" s="12"/>
      <c r="AC24" s="12"/>
      <c r="AD24" s="12"/>
      <c r="AE24" s="12"/>
      <c r="AS24" s="6">
        <v>165487307.68866584</v>
      </c>
      <c r="AT24" s="176">
        <v>30000</v>
      </c>
      <c r="AU24" s="176">
        <v>30000</v>
      </c>
      <c r="AV24" s="176">
        <v>30000</v>
      </c>
      <c r="AW24" s="176">
        <v>30000</v>
      </c>
      <c r="AX24" s="176">
        <v>30000</v>
      </c>
      <c r="AY24" s="176">
        <v>30000</v>
      </c>
      <c r="AZ24" s="176">
        <v>30000</v>
      </c>
      <c r="BA24" s="176">
        <v>30000</v>
      </c>
      <c r="BB24" s="176">
        <v>30000</v>
      </c>
      <c r="BC24" s="176">
        <v>30000</v>
      </c>
      <c r="BD24" s="176">
        <v>30000</v>
      </c>
      <c r="BE24" s="176">
        <v>30000</v>
      </c>
      <c r="BF24" s="176">
        <v>30000</v>
      </c>
      <c r="BG24" s="176">
        <v>30000</v>
      </c>
      <c r="BH24" s="176">
        <v>30000</v>
      </c>
      <c r="BI24" s="176">
        <v>30000</v>
      </c>
      <c r="BJ24" s="176">
        <v>30000</v>
      </c>
      <c r="BK24" s="176">
        <v>30000</v>
      </c>
      <c r="BL24" s="176">
        <v>30000</v>
      </c>
      <c r="BM24" s="176">
        <v>30000</v>
      </c>
      <c r="BN24" s="176">
        <v>30000</v>
      </c>
      <c r="BO24" s="176">
        <v>30000</v>
      </c>
      <c r="BP24" s="176">
        <v>30000</v>
      </c>
      <c r="BQ24" s="176">
        <v>30000</v>
      </c>
      <c r="BR24" s="176">
        <v>30000</v>
      </c>
      <c r="BS24" s="176">
        <v>30000</v>
      </c>
      <c r="BT24" s="176">
        <v>30000</v>
      </c>
      <c r="BU24" s="176">
        <v>30000</v>
      </c>
      <c r="BV24" s="176">
        <v>30000</v>
      </c>
      <c r="BW24" s="176">
        <v>30000</v>
      </c>
      <c r="BX24" s="176">
        <v>29554.544066642597</v>
      </c>
      <c r="BY24" s="176">
        <v>28783.115206134451</v>
      </c>
      <c r="BZ24" s="176">
        <v>28027.315624204155</v>
      </c>
      <c r="CA24" s="176">
        <v>27287.932953802814</v>
      </c>
      <c r="CB24" s="176">
        <v>26565.847647712893</v>
      </c>
      <c r="CC24" s="176">
        <v>25862.050006896854</v>
      </c>
      <c r="CD24" s="176">
        <v>25177.658048070563</v>
      </c>
      <c r="CE24" s="176">
        <v>24513.936225235979</v>
      </c>
      <c r="CF24" s="176">
        <v>23872.315062610636</v>
      </c>
      <c r="CG24" s="176">
        <v>23254.411901770691</v>
      </c>
      <c r="CH24" s="176">
        <v>22662.053346203626</v>
      </c>
      <c r="CI24" s="176">
        <v>22097.300887143927</v>
      </c>
      <c r="CJ24" s="176">
        <v>21562.483248559187</v>
      </c>
      <c r="CK24" s="176">
        <v>21060.24366768057</v>
      </c>
      <c r="CL24" s="176">
        <v>20593.62127019593</v>
      </c>
      <c r="CM24" s="176">
        <v>20166.212658618322</v>
      </c>
      <c r="CN24" s="176">
        <v>19782.531619913854</v>
      </c>
      <c r="CO24" s="176">
        <v>19448.897464779031</v>
      </c>
      <c r="CP24" s="176">
        <v>19175.908162199739</v>
      </c>
      <c r="CQ24" s="176">
        <v>18986.557506592839</v>
      </c>
      <c r="CR24" s="176">
        <v>18786.014960996632</v>
      </c>
      <c r="CS24" s="176">
        <v>18634.233113358627</v>
      </c>
      <c r="CT24" s="176">
        <v>18538.004165826937</v>
      </c>
      <c r="CU24" s="176">
        <v>18498.921435830816</v>
      </c>
      <c r="CV24" s="176">
        <v>18518.039485770685</v>
      </c>
      <c r="CW24" s="176">
        <v>18595.823148537656</v>
      </c>
      <c r="CX24" s="176">
        <v>18732.128593915222</v>
      </c>
      <c r="CY24" s="176">
        <v>18869.151639139331</v>
      </c>
      <c r="CZ24" s="176">
        <v>19076.141703847068</v>
      </c>
      <c r="DA24" s="176">
        <v>19354.792061339052</v>
      </c>
      <c r="DB24" s="176">
        <v>19694.744807675859</v>
      </c>
      <c r="DC24" s="176">
        <v>20089.742944045021</v>
      </c>
      <c r="DD24" s="176">
        <v>20535.163955211065</v>
      </c>
      <c r="DE24" s="176">
        <v>21027.136291624542</v>
      </c>
      <c r="DF24" s="176">
        <v>21562.196425802107</v>
      </c>
      <c r="DG24" s="176">
        <v>22137.150740938199</v>
      </c>
      <c r="DH24" s="176">
        <v>22749.019187327591</v>
      </c>
      <c r="DI24" s="176">
        <v>23395.011474554434</v>
      </c>
      <c r="DJ24" s="176">
        <v>24072.515148479346</v>
      </c>
      <c r="DK24" s="176">
        <v>24779.08688649943</v>
      </c>
      <c r="DL24" s="176">
        <v>25512.443625482847</v>
      </c>
      <c r="DM24" s="176">
        <v>26270.452496750841</v>
      </c>
      <c r="DN24" s="176">
        <v>27051.119560624476</v>
      </c>
      <c r="DO24" s="176">
        <v>27852.57771949525</v>
      </c>
      <c r="DP24" s="176">
        <v>28673.07428020109</v>
      </c>
      <c r="DQ24" s="176">
        <v>29510.958599198784</v>
      </c>
      <c r="DR24" s="176">
        <v>30000</v>
      </c>
      <c r="DS24" s="176">
        <v>30000</v>
      </c>
      <c r="DT24" s="176">
        <v>30000</v>
      </c>
      <c r="DU24" s="176">
        <v>30000</v>
      </c>
      <c r="DV24" s="176">
        <v>30000</v>
      </c>
      <c r="DW24" s="176">
        <v>30000</v>
      </c>
      <c r="DX24" s="176">
        <v>30000</v>
      </c>
      <c r="DY24" s="176">
        <v>30000</v>
      </c>
      <c r="DZ24" s="176">
        <v>30000</v>
      </c>
      <c r="EA24" s="176">
        <v>30000</v>
      </c>
      <c r="EB24" s="176">
        <v>30000</v>
      </c>
      <c r="EC24" s="176">
        <v>30000</v>
      </c>
      <c r="ED24" s="176">
        <v>30000</v>
      </c>
      <c r="EE24" s="176">
        <v>30000</v>
      </c>
      <c r="EF24" s="176">
        <v>30000</v>
      </c>
      <c r="EG24" s="176">
        <v>30000</v>
      </c>
      <c r="EH24" s="176">
        <v>30000</v>
      </c>
      <c r="EI24" s="176">
        <v>30000</v>
      </c>
      <c r="EJ24" s="176">
        <v>30000</v>
      </c>
      <c r="EK24" s="176">
        <v>30000</v>
      </c>
      <c r="EL24" s="176">
        <v>30000</v>
      </c>
      <c r="EM24" s="176">
        <v>30000</v>
      </c>
      <c r="EN24" s="176">
        <v>30000</v>
      </c>
      <c r="EO24" s="176">
        <v>30000</v>
      </c>
      <c r="EP24" t="str">
        <f t="shared" si="0"/>
        <v>5y 89d</v>
      </c>
    </row>
    <row r="25" spans="2:154" x14ac:dyDescent="0.25">
      <c r="B25" s="70">
        <v>22</v>
      </c>
      <c r="D25">
        <v>6463669.1119737523</v>
      </c>
      <c r="E25" s="12">
        <v>-147289058146.50034</v>
      </c>
      <c r="F25" s="12">
        <v>-21691009447.417336</v>
      </c>
      <c r="G25" s="12">
        <v>0</v>
      </c>
      <c r="H25" s="12">
        <v>176929671.521781</v>
      </c>
      <c r="I25" s="12">
        <v>-701412840124.6875</v>
      </c>
      <c r="J25" s="12">
        <v>1166356712962.1743</v>
      </c>
      <c r="K25" s="12">
        <v>7562978123.5950947</v>
      </c>
      <c r="L25" s="12">
        <v>2653848.018472922</v>
      </c>
      <c r="M25" s="12">
        <v>104171195826.65121</v>
      </c>
      <c r="N25" s="12">
        <v>-102819629497.90674</v>
      </c>
      <c r="O25" s="12">
        <v>117349839.43907857</v>
      </c>
      <c r="P25" s="12">
        <v>2653847.981396805</v>
      </c>
      <c r="Q25" s="12">
        <v>104171268329.50755</v>
      </c>
      <c r="R25" s="12">
        <v>-102819637344.83452</v>
      </c>
      <c r="S25" s="12">
        <v>0</v>
      </c>
      <c r="T25" s="12">
        <v>4107713.4799765833</v>
      </c>
      <c r="U25" s="12">
        <v>230888040911.63098</v>
      </c>
      <c r="V25" s="12">
        <v>208120823034.73083</v>
      </c>
      <c r="W25" s="12">
        <v>-40704453.218491152</v>
      </c>
      <c r="X25" s="12">
        <v>2407644.1079144729</v>
      </c>
      <c r="Y25" s="12">
        <v>134911861527.69946</v>
      </c>
      <c r="Z25" s="12">
        <v>-73780285885.884552</v>
      </c>
      <c r="AA25" s="12">
        <v>-4077402747.2542033</v>
      </c>
      <c r="AB25" s="12"/>
      <c r="AC25" s="12"/>
      <c r="AD25" s="12"/>
      <c r="AE25" s="12"/>
      <c r="AS25" s="6">
        <v>170754072.92498854</v>
      </c>
      <c r="AT25" s="176">
        <v>30000</v>
      </c>
      <c r="AU25" s="176">
        <v>30000</v>
      </c>
      <c r="AV25" s="176">
        <v>30000</v>
      </c>
      <c r="AW25" s="176">
        <v>30000</v>
      </c>
      <c r="AX25" s="176">
        <v>30000</v>
      </c>
      <c r="AY25" s="176">
        <v>30000</v>
      </c>
      <c r="AZ25" s="176">
        <v>30000</v>
      </c>
      <c r="BA25" s="176">
        <v>30000</v>
      </c>
      <c r="BB25" s="176">
        <v>30000</v>
      </c>
      <c r="BC25" s="176">
        <v>30000</v>
      </c>
      <c r="BD25" s="176">
        <v>30000</v>
      </c>
      <c r="BE25" s="176">
        <v>30000</v>
      </c>
      <c r="BF25" s="176">
        <v>30000</v>
      </c>
      <c r="BG25" s="176">
        <v>30000</v>
      </c>
      <c r="BH25" s="176">
        <v>30000</v>
      </c>
      <c r="BI25" s="176">
        <v>30000</v>
      </c>
      <c r="BJ25" s="176">
        <v>30000</v>
      </c>
      <c r="BK25" s="176">
        <v>30000</v>
      </c>
      <c r="BL25" s="176">
        <v>30000</v>
      </c>
      <c r="BM25" s="176">
        <v>30000</v>
      </c>
      <c r="BN25" s="176">
        <v>30000</v>
      </c>
      <c r="BO25" s="176">
        <v>30000</v>
      </c>
      <c r="BP25" s="176">
        <v>30000</v>
      </c>
      <c r="BQ25" s="176">
        <v>30000</v>
      </c>
      <c r="BR25" s="176">
        <v>30000</v>
      </c>
      <c r="BS25" s="176">
        <v>30000</v>
      </c>
      <c r="BT25" s="176">
        <v>30000</v>
      </c>
      <c r="BU25" s="176">
        <v>30000</v>
      </c>
      <c r="BV25" s="176">
        <v>30000</v>
      </c>
      <c r="BW25" s="176">
        <v>30000</v>
      </c>
      <c r="BX25" s="176">
        <v>29871.943392009009</v>
      </c>
      <c r="BY25" s="176">
        <v>29088.875381742513</v>
      </c>
      <c r="BZ25" s="176">
        <v>28321.550572935706</v>
      </c>
      <c r="CA25" s="176">
        <v>27570.743857850859</v>
      </c>
      <c r="CB25" s="176">
        <v>26837.316966737199</v>
      </c>
      <c r="CC25" s="176">
        <v>26122.2356998631</v>
      </c>
      <c r="CD25" s="176">
        <v>25426.58814939273</v>
      </c>
      <c r="CE25" s="176">
        <v>24751.604007863731</v>
      </c>
      <c r="CF25" s="176">
        <v>24098.675137207771</v>
      </c>
      <c r="CG25" s="176">
        <v>23469.377761346106</v>
      </c>
      <c r="CH25" s="176">
        <v>22865.497075737087</v>
      </c>
      <c r="CI25" s="176">
        <v>22289.056008836684</v>
      </c>
      <c r="CJ25" s="176">
        <v>21742.351901140977</v>
      </c>
      <c r="CK25" s="176">
        <v>21228.009277734112</v>
      </c>
      <c r="CL25" s="176">
        <v>20749.066722668678</v>
      </c>
      <c r="CM25" s="176">
        <v>20309.138814209775</v>
      </c>
      <c r="CN25" s="176">
        <v>19912.75133765809</v>
      </c>
      <c r="CO25" s="176">
        <v>19566.104215597588</v>
      </c>
      <c r="CP25" s="176">
        <v>19278.995735569562</v>
      </c>
      <c r="CQ25" s="176">
        <v>19070.355329955386</v>
      </c>
      <c r="CR25" s="176">
        <v>18876.971588917844</v>
      </c>
      <c r="CS25" s="176">
        <v>18706.906719014849</v>
      </c>
      <c r="CT25" s="176">
        <v>18591.859657407666</v>
      </c>
      <c r="CU25" s="176">
        <v>18533.531333329396</v>
      </c>
      <c r="CV25" s="176">
        <v>18533.106371515663</v>
      </c>
      <c r="CW25" s="176">
        <v>18591.194649264748</v>
      </c>
      <c r="CX25" s="176">
        <v>18707.803349982805</v>
      </c>
      <c r="CY25" s="176">
        <v>18882.342518531408</v>
      </c>
      <c r="CZ25" s="176">
        <v>19049.173369131517</v>
      </c>
      <c r="DA25" s="176">
        <v>19283.048684881196</v>
      </c>
      <c r="DB25" s="176">
        <v>19589.890573888973</v>
      </c>
      <c r="DC25" s="176">
        <v>19958.027471280038</v>
      </c>
      <c r="DD25" s="176">
        <v>20380.360145606086</v>
      </c>
      <c r="DE25" s="176">
        <v>20851.754221257797</v>
      </c>
      <c r="DF25" s="176">
        <v>21368.042161199672</v>
      </c>
      <c r="DG25" s="176">
        <v>21925.606028312035</v>
      </c>
      <c r="DH25" s="176">
        <v>22521.191403411805</v>
      </c>
      <c r="DI25" s="176">
        <v>23151.81909555618</v>
      </c>
      <c r="DJ25" s="176">
        <v>23814.739432096481</v>
      </c>
      <c r="DK25" s="176">
        <v>24507.405059428158</v>
      </c>
      <c r="DL25" s="176">
        <v>25227.451539920632</v>
      </c>
      <c r="DM25" s="176">
        <v>25972.681046890182</v>
      </c>
      <c r="DN25" s="176">
        <v>26741.04723514893</v>
      </c>
      <c r="DO25" s="176">
        <v>27530.640637250457</v>
      </c>
      <c r="DP25" s="176">
        <v>28339.67449110798</v>
      </c>
      <c r="DQ25" s="176">
        <v>29166.471077250902</v>
      </c>
      <c r="DR25" s="176">
        <v>30000</v>
      </c>
      <c r="DS25" s="176">
        <v>30000</v>
      </c>
      <c r="DT25" s="176">
        <v>30000</v>
      </c>
      <c r="DU25" s="176">
        <v>30000</v>
      </c>
      <c r="DV25" s="176">
        <v>30000</v>
      </c>
      <c r="DW25" s="176">
        <v>30000</v>
      </c>
      <c r="DX25" s="176">
        <v>30000</v>
      </c>
      <c r="DY25" s="176">
        <v>30000</v>
      </c>
      <c r="DZ25" s="176">
        <v>30000</v>
      </c>
      <c r="EA25" s="176">
        <v>30000</v>
      </c>
      <c r="EB25" s="176">
        <v>30000</v>
      </c>
      <c r="EC25" s="176">
        <v>30000</v>
      </c>
      <c r="ED25" s="176">
        <v>30000</v>
      </c>
      <c r="EE25" s="176">
        <v>30000</v>
      </c>
      <c r="EF25" s="176">
        <v>30000</v>
      </c>
      <c r="EG25" s="176">
        <v>30000</v>
      </c>
      <c r="EH25" s="176">
        <v>30000</v>
      </c>
      <c r="EI25" s="176">
        <v>30000</v>
      </c>
      <c r="EJ25" s="176">
        <v>30000</v>
      </c>
      <c r="EK25" s="176">
        <v>30000</v>
      </c>
      <c r="EL25" s="176">
        <v>30000</v>
      </c>
      <c r="EM25" s="176">
        <v>30000</v>
      </c>
      <c r="EN25" s="176">
        <v>30000</v>
      </c>
      <c r="EO25" s="176">
        <v>30000</v>
      </c>
      <c r="EP25" t="str">
        <f t="shared" si="0"/>
        <v>5y 150d</v>
      </c>
    </row>
    <row r="26" spans="2:154" x14ac:dyDescent="0.25">
      <c r="B26" s="70">
        <v>23</v>
      </c>
      <c r="D26">
        <v>6776652.1494542267</v>
      </c>
      <c r="E26" s="12">
        <v>-145784212302.45569</v>
      </c>
      <c r="F26" s="12">
        <v>-30927916104.096874</v>
      </c>
      <c r="G26" s="12">
        <v>0</v>
      </c>
      <c r="H26" s="12">
        <v>185397506.57283023</v>
      </c>
      <c r="I26" s="12">
        <v>-774487872872.95691</v>
      </c>
      <c r="J26" s="12">
        <v>1121918977138.3054</v>
      </c>
      <c r="K26" s="12">
        <v>11241742320.979757</v>
      </c>
      <c r="L26" s="12">
        <v>2781087.226596368</v>
      </c>
      <c r="M26" s="12">
        <v>108149968765.42053</v>
      </c>
      <c r="N26" s="12">
        <v>-99549931552.848633</v>
      </c>
      <c r="O26" s="12">
        <v>122349836.56652832</v>
      </c>
      <c r="P26" s="12">
        <v>2781087.1961827604</v>
      </c>
      <c r="Q26" s="12">
        <v>108150044731.02083</v>
      </c>
      <c r="R26" s="12">
        <v>-99549939677.146408</v>
      </c>
      <c r="S26" s="12">
        <v>0</v>
      </c>
      <c r="T26" s="12">
        <v>4369169.5511584291</v>
      </c>
      <c r="U26" s="12">
        <v>231028267552.06979</v>
      </c>
      <c r="V26" s="12">
        <v>214919813633.96246</v>
      </c>
      <c r="W26" s="12">
        <v>-43209810.389964931</v>
      </c>
      <c r="X26" s="12">
        <v>2534396.3571548122</v>
      </c>
      <c r="Y26" s="12">
        <v>138231357967.67648</v>
      </c>
      <c r="Z26" s="12">
        <v>-70065024912.058685</v>
      </c>
      <c r="AA26" s="12">
        <v>-4274068739.3507695</v>
      </c>
      <c r="AB26" s="12"/>
      <c r="AC26" s="12"/>
      <c r="AD26" s="12"/>
      <c r="AE26" s="12"/>
      <c r="AG26" s="208" t="s">
        <v>61</v>
      </c>
      <c r="AH26" s="208"/>
      <c r="AI26" s="208"/>
      <c r="AJ26" s="208"/>
      <c r="AK26" s="208"/>
      <c r="AL26" s="208"/>
      <c r="AS26" s="6">
        <v>176020838.16131124</v>
      </c>
      <c r="AT26" s="176">
        <v>30000</v>
      </c>
      <c r="AU26" s="176">
        <v>30000</v>
      </c>
      <c r="AV26" s="176">
        <v>30000</v>
      </c>
      <c r="AW26" s="176">
        <v>30000</v>
      </c>
      <c r="AX26" s="176">
        <v>30000</v>
      </c>
      <c r="AY26" s="176">
        <v>30000</v>
      </c>
      <c r="AZ26" s="176">
        <v>30000</v>
      </c>
      <c r="BA26" s="176">
        <v>30000</v>
      </c>
      <c r="BB26" s="176">
        <v>30000</v>
      </c>
      <c r="BC26" s="176">
        <v>30000</v>
      </c>
      <c r="BD26" s="176">
        <v>30000</v>
      </c>
      <c r="BE26" s="176">
        <v>30000</v>
      </c>
      <c r="BF26" s="176">
        <v>30000</v>
      </c>
      <c r="BG26" s="176">
        <v>30000</v>
      </c>
      <c r="BH26" s="176">
        <v>30000</v>
      </c>
      <c r="BI26" s="176">
        <v>30000</v>
      </c>
      <c r="BJ26" s="176">
        <v>30000</v>
      </c>
      <c r="BK26" s="176">
        <v>30000</v>
      </c>
      <c r="BL26" s="176">
        <v>30000</v>
      </c>
      <c r="BM26" s="176">
        <v>30000</v>
      </c>
      <c r="BN26" s="176">
        <v>30000</v>
      </c>
      <c r="BO26" s="176">
        <v>30000</v>
      </c>
      <c r="BP26" s="176">
        <v>30000</v>
      </c>
      <c r="BQ26" s="176">
        <v>30000</v>
      </c>
      <c r="BR26" s="176">
        <v>30000</v>
      </c>
      <c r="BS26" s="176">
        <v>30000</v>
      </c>
      <c r="BT26" s="176">
        <v>30000</v>
      </c>
      <c r="BU26" s="176">
        <v>30000</v>
      </c>
      <c r="BV26" s="176">
        <v>30000</v>
      </c>
      <c r="BW26" s="176">
        <v>30000</v>
      </c>
      <c r="BX26" s="176">
        <v>30000</v>
      </c>
      <c r="BY26" s="176">
        <v>29418.263810247656</v>
      </c>
      <c r="BZ26" s="176">
        <v>28639.25716474119</v>
      </c>
      <c r="CA26" s="176">
        <v>27876.832258338927</v>
      </c>
      <c r="CB26" s="176">
        <v>27131.8332990208</v>
      </c>
      <c r="CC26" s="176">
        <v>26405.202483557627</v>
      </c>
      <c r="CD26" s="176">
        <v>25697.998480634807</v>
      </c>
      <c r="CE26" s="176">
        <v>25011.416177313749</v>
      </c>
      <c r="CF26" s="176">
        <v>24346.807942478663</v>
      </c>
      <c r="CG26" s="176">
        <v>23705.706869025184</v>
      </c>
      <c r="CH26" s="176">
        <v>23089.852893746982</v>
      </c>
      <c r="CI26" s="176">
        <v>22501.223599760146</v>
      </c>
      <c r="CJ26" s="176">
        <v>21942.073378342269</v>
      </c>
      <c r="CK26" s="176">
        <v>21414.988535109864</v>
      </c>
      <c r="CL26" s="176">
        <v>20922.974287127239</v>
      </c>
      <c r="CM26" s="176">
        <v>20469.608220904145</v>
      </c>
      <c r="CN26" s="176">
        <v>20059.338701641962</v>
      </c>
      <c r="CO26" s="176">
        <v>19698.118494258004</v>
      </c>
      <c r="CP26" s="176">
        <v>19394.877600632528</v>
      </c>
      <c r="CQ26" s="176">
        <v>19165.338091193891</v>
      </c>
      <c r="CR26" s="176">
        <v>18981.515775496682</v>
      </c>
      <c r="CS26" s="176">
        <v>18792.357096328655</v>
      </c>
      <c r="CT26" s="176">
        <v>18657.646828953231</v>
      </c>
      <c r="CU26" s="176">
        <v>18579.19753208293</v>
      </c>
      <c r="CV26" s="176">
        <v>18558.330349699172</v>
      </c>
      <c r="CW26" s="176">
        <v>18595.809084939065</v>
      </c>
      <c r="CX26" s="176">
        <v>18691.803015834226</v>
      </c>
      <c r="CY26" s="176">
        <v>18845.882459063763</v>
      </c>
      <c r="CZ26" s="176">
        <v>19057.047154298602</v>
      </c>
      <c r="DA26" s="176">
        <v>19248.467813215611</v>
      </c>
      <c r="DB26" s="176">
        <v>19509.315128781236</v>
      </c>
      <c r="DC26" s="176">
        <v>19843.335345001058</v>
      </c>
      <c r="DD26" s="176">
        <v>20238.115319631786</v>
      </c>
      <c r="DE26" s="176">
        <v>20685.995792821264</v>
      </c>
      <c r="DF26" s="176">
        <v>21181.484597998722</v>
      </c>
      <c r="DG26" s="176">
        <v>21720.209044501964</v>
      </c>
      <c r="DH26" s="176">
        <v>22298.452440973684</v>
      </c>
      <c r="DI26" s="176">
        <v>22912.933564950545</v>
      </c>
      <c r="DJ26" s="176">
        <v>23560.693805278388</v>
      </c>
      <c r="DK26" s="176">
        <v>24239.034077885393</v>
      </c>
      <c r="DL26" s="176">
        <v>24945.475389532257</v>
      </c>
      <c r="DM26" s="176">
        <v>25677.730890641713</v>
      </c>
      <c r="DN26" s="176">
        <v>26433.683702595979</v>
      </c>
      <c r="DO26" s="176">
        <v>27211.367827975449</v>
      </c>
      <c r="DP26" s="176">
        <v>28008.951166414441</v>
      </c>
      <c r="DQ26" s="176">
        <v>28824.719672324918</v>
      </c>
      <c r="DR26" s="176">
        <v>29657.063058117503</v>
      </c>
      <c r="DS26" s="176">
        <v>30000</v>
      </c>
      <c r="DT26" s="176">
        <v>30000</v>
      </c>
      <c r="DU26" s="176">
        <v>30000</v>
      </c>
      <c r="DV26" s="176">
        <v>30000</v>
      </c>
      <c r="DW26" s="176">
        <v>30000</v>
      </c>
      <c r="DX26" s="176">
        <v>30000</v>
      </c>
      <c r="DY26" s="176">
        <v>30000</v>
      </c>
      <c r="DZ26" s="176">
        <v>30000</v>
      </c>
      <c r="EA26" s="176">
        <v>30000</v>
      </c>
      <c r="EB26" s="176">
        <v>30000</v>
      </c>
      <c r="EC26" s="176">
        <v>30000</v>
      </c>
      <c r="ED26" s="176">
        <v>30000</v>
      </c>
      <c r="EE26" s="176">
        <v>30000</v>
      </c>
      <c r="EF26" s="176">
        <v>30000</v>
      </c>
      <c r="EG26" s="176">
        <v>30000</v>
      </c>
      <c r="EH26" s="176">
        <v>30000</v>
      </c>
      <c r="EI26" s="176">
        <v>30000</v>
      </c>
      <c r="EJ26" s="176">
        <v>30000</v>
      </c>
      <c r="EK26" s="176">
        <v>30000</v>
      </c>
      <c r="EL26" s="176">
        <v>30000</v>
      </c>
      <c r="EM26" s="176">
        <v>30000</v>
      </c>
      <c r="EN26" s="176">
        <v>30000</v>
      </c>
      <c r="EO26" s="176">
        <v>30000</v>
      </c>
      <c r="EP26" t="str">
        <f t="shared" si="0"/>
        <v>5y 211d</v>
      </c>
    </row>
    <row r="27" spans="2:154" ht="15.75" thickBot="1" x14ac:dyDescent="0.3">
      <c r="B27" s="70">
        <v>24</v>
      </c>
      <c r="D27">
        <v>7090275.6142104659</v>
      </c>
      <c r="E27" s="12">
        <v>-143702383476.04099</v>
      </c>
      <c r="F27" s="12">
        <v>-40061964065.261749</v>
      </c>
      <c r="G27" s="12">
        <v>0</v>
      </c>
      <c r="H27" s="12">
        <v>193895418.93846959</v>
      </c>
      <c r="I27" s="12">
        <v>-844900767698.00269</v>
      </c>
      <c r="J27" s="12">
        <v>1073091214495.0879</v>
      </c>
      <c r="K27" s="12">
        <v>14891161756.221455</v>
      </c>
      <c r="L27" s="12">
        <v>2909484.9310986539</v>
      </c>
      <c r="M27" s="12">
        <v>112090849137.73483</v>
      </c>
      <c r="N27" s="12">
        <v>-96182242156.118347</v>
      </c>
      <c r="O27" s="12">
        <v>127311507.33888735</v>
      </c>
      <c r="P27" s="12">
        <v>2909484.9080306478</v>
      </c>
      <c r="Q27" s="12">
        <v>112090928572.55023</v>
      </c>
      <c r="R27" s="12">
        <v>-96182250545.692795</v>
      </c>
      <c r="S27" s="12">
        <v>0</v>
      </c>
      <c r="T27" s="12">
        <v>4638631.6268744441</v>
      </c>
      <c r="U27" s="12">
        <v>231103027458.83084</v>
      </c>
      <c r="V27" s="12">
        <v>221862093367.47113</v>
      </c>
      <c r="W27" s="12">
        <v>-45778834.290018603</v>
      </c>
      <c r="X27" s="12">
        <v>2663211.6707901559</v>
      </c>
      <c r="Y27" s="12">
        <v>141523898104.0072</v>
      </c>
      <c r="Z27" s="12">
        <v>-66248248333.033318</v>
      </c>
      <c r="AA27" s="12">
        <v>-4471431613.4208803</v>
      </c>
      <c r="AB27" s="12"/>
      <c r="AC27" s="12"/>
      <c r="AD27" s="12"/>
      <c r="AE27" s="12"/>
      <c r="AS27" s="6">
        <v>181287603.39763394</v>
      </c>
      <c r="AT27" s="176">
        <v>30000</v>
      </c>
      <c r="AU27" s="176">
        <v>30000</v>
      </c>
      <c r="AV27" s="176">
        <v>30000</v>
      </c>
      <c r="AW27" s="176">
        <v>30000</v>
      </c>
      <c r="AX27" s="176">
        <v>30000</v>
      </c>
      <c r="AY27" s="176">
        <v>30000</v>
      </c>
      <c r="AZ27" s="176">
        <v>30000</v>
      </c>
      <c r="BA27" s="176">
        <v>30000</v>
      </c>
      <c r="BB27" s="176">
        <v>30000</v>
      </c>
      <c r="BC27" s="176">
        <v>30000</v>
      </c>
      <c r="BD27" s="176">
        <v>30000</v>
      </c>
      <c r="BE27" s="176">
        <v>30000</v>
      </c>
      <c r="BF27" s="176">
        <v>30000</v>
      </c>
      <c r="BG27" s="176">
        <v>30000</v>
      </c>
      <c r="BH27" s="176">
        <v>30000</v>
      </c>
      <c r="BI27" s="176">
        <v>30000</v>
      </c>
      <c r="BJ27" s="176">
        <v>30000</v>
      </c>
      <c r="BK27" s="176">
        <v>30000</v>
      </c>
      <c r="BL27" s="176">
        <v>30000</v>
      </c>
      <c r="BM27" s="176">
        <v>30000</v>
      </c>
      <c r="BN27" s="176">
        <v>30000</v>
      </c>
      <c r="BO27" s="176">
        <v>30000</v>
      </c>
      <c r="BP27" s="176">
        <v>30000</v>
      </c>
      <c r="BQ27" s="176">
        <v>30000</v>
      </c>
      <c r="BR27" s="176">
        <v>30000</v>
      </c>
      <c r="BS27" s="176">
        <v>30000</v>
      </c>
      <c r="BT27" s="176">
        <v>30000</v>
      </c>
      <c r="BU27" s="176">
        <v>30000</v>
      </c>
      <c r="BV27" s="176">
        <v>30000</v>
      </c>
      <c r="BW27" s="176">
        <v>30000</v>
      </c>
      <c r="BX27" s="176">
        <v>30000</v>
      </c>
      <c r="BY27" s="176">
        <v>29769.475671143657</v>
      </c>
      <c r="BZ27" s="176">
        <v>28978.672183626706</v>
      </c>
      <c r="CA27" s="176">
        <v>28204.478587947317</v>
      </c>
      <c r="CB27" s="176">
        <v>27447.722947628325</v>
      </c>
      <c r="CC27" s="176">
        <v>26709.324917728452</v>
      </c>
      <c r="CD27" s="176">
        <v>25990.314390960004</v>
      </c>
      <c r="CE27" s="176">
        <v>25291.851532907371</v>
      </c>
      <c r="CF27" s="176">
        <v>24615.248510034511</v>
      </c>
      <c r="CG27" s="176">
        <v>23961.993424751119</v>
      </c>
      <c r="CH27" s="176">
        <v>23333.777389368042</v>
      </c>
      <c r="CI27" s="176">
        <v>22732.526499880754</v>
      </c>
      <c r="CJ27" s="176">
        <v>22160.442123469897</v>
      </c>
      <c r="CK27" s="176">
        <v>21620.056248487788</v>
      </c>
      <c r="CL27" s="176">
        <v>21114.315527410894</v>
      </c>
      <c r="CM27" s="176">
        <v>20646.722351139106</v>
      </c>
      <c r="CN27" s="176">
        <v>20221.594318278439</v>
      </c>
      <c r="CO27" s="176">
        <v>19844.582620081055</v>
      </c>
      <c r="CP27" s="176">
        <v>19523.796076905986</v>
      </c>
      <c r="CQ27" s="176">
        <v>19272.474311101454</v>
      </c>
      <c r="CR27" s="176">
        <v>19099.461425970137</v>
      </c>
      <c r="CS27" s="176">
        <v>18890.506852846316</v>
      </c>
      <c r="CT27" s="176">
        <v>18735.391522698348</v>
      </c>
      <c r="CU27" s="176">
        <v>18636.041198075607</v>
      </c>
      <c r="CV27" s="176">
        <v>18593.917631926844</v>
      </c>
      <c r="CW27" s="176">
        <v>18609.945506408712</v>
      </c>
      <c r="CX27" s="176">
        <v>18684.465839786793</v>
      </c>
      <c r="CY27" s="176">
        <v>18817.221114538097</v>
      </c>
      <c r="CZ27" s="176">
        <v>19007.37350056077</v>
      </c>
      <c r="DA27" s="176">
        <v>19253.553397499469</v>
      </c>
      <c r="DB27" s="176">
        <v>19464.043512485892</v>
      </c>
      <c r="DC27" s="176">
        <v>19751.9442547285</v>
      </c>
      <c r="DD27" s="176">
        <v>20112.291823947926</v>
      </c>
      <c r="DE27" s="176">
        <v>20532.38640837717</v>
      </c>
      <c r="DF27" s="176">
        <v>21004.256060311945</v>
      </c>
      <c r="DG27" s="176">
        <v>21522.192505355379</v>
      </c>
      <c r="DH27" s="176">
        <v>22081.702598610354</v>
      </c>
      <c r="DI27" s="176">
        <v>22679.02239850978</v>
      </c>
      <c r="DJ27" s="176">
        <v>23310.874710905155</v>
      </c>
      <c r="DK27" s="176">
        <v>23974.33886000709</v>
      </c>
      <c r="DL27" s="176">
        <v>24666.774714100444</v>
      </c>
      <c r="DM27" s="176">
        <v>25385.773951633746</v>
      </c>
      <c r="DN27" s="176">
        <v>26129.125736658443</v>
      </c>
      <c r="DO27" s="176">
        <v>26894.789972260282</v>
      </c>
      <c r="DP27" s="176">
        <v>27680.875439897518</v>
      </c>
      <c r="DQ27" s="176">
        <v>28485.620872610143</v>
      </c>
      <c r="DR27" s="176">
        <v>29307.378288153508</v>
      </c>
      <c r="DS27" s="176">
        <v>30000</v>
      </c>
      <c r="DT27" s="176">
        <v>30000</v>
      </c>
      <c r="DU27" s="176">
        <v>30000</v>
      </c>
      <c r="DV27" s="176">
        <v>30000</v>
      </c>
      <c r="DW27" s="176">
        <v>30000</v>
      </c>
      <c r="DX27" s="176">
        <v>30000</v>
      </c>
      <c r="DY27" s="176">
        <v>30000</v>
      </c>
      <c r="DZ27" s="176">
        <v>30000</v>
      </c>
      <c r="EA27" s="176">
        <v>30000</v>
      </c>
      <c r="EB27" s="176">
        <v>30000</v>
      </c>
      <c r="EC27" s="176">
        <v>30000</v>
      </c>
      <c r="ED27" s="176">
        <v>30000</v>
      </c>
      <c r="EE27" s="176">
        <v>30000</v>
      </c>
      <c r="EF27" s="176">
        <v>30000</v>
      </c>
      <c r="EG27" s="176">
        <v>30000</v>
      </c>
      <c r="EH27" s="176">
        <v>30000</v>
      </c>
      <c r="EI27" s="176">
        <v>30000</v>
      </c>
      <c r="EJ27" s="176">
        <v>30000</v>
      </c>
      <c r="EK27" s="176">
        <v>30000</v>
      </c>
      <c r="EL27" s="176">
        <v>30000</v>
      </c>
      <c r="EM27" s="176">
        <v>30000</v>
      </c>
      <c r="EN27" s="176">
        <v>30000</v>
      </c>
      <c r="EO27" s="176">
        <v>30000</v>
      </c>
      <c r="EP27" t="str">
        <f t="shared" si="0"/>
        <v>5y 272d</v>
      </c>
    </row>
    <row r="28" spans="2:154" x14ac:dyDescent="0.25">
      <c r="B28" s="70">
        <v>25</v>
      </c>
      <c r="D28">
        <v>7404548.9605348688</v>
      </c>
      <c r="E28" s="12">
        <v>-141049944143.87982</v>
      </c>
      <c r="F28" s="12">
        <v>-49057058141.906471</v>
      </c>
      <c r="G28" s="12">
        <v>0</v>
      </c>
      <c r="H28" s="12">
        <v>202426607.99967393</v>
      </c>
      <c r="I28" s="12">
        <v>-912395551598.78967</v>
      </c>
      <c r="J28" s="12">
        <v>1020015990394.5715</v>
      </c>
      <c r="K28" s="12">
        <v>18498578268.352863</v>
      </c>
      <c r="L28" s="12">
        <v>3039195.3809179771</v>
      </c>
      <c r="M28" s="12">
        <v>115994788422.15764</v>
      </c>
      <c r="N28" s="12">
        <v>-92713853759.620697</v>
      </c>
      <c r="O28" s="12">
        <v>132236186.01414695</v>
      </c>
      <c r="P28" s="12">
        <v>3039195.36588227</v>
      </c>
      <c r="Q28" s="12">
        <v>115994871333.37611</v>
      </c>
      <c r="R28" s="12">
        <v>-92713862401.953186</v>
      </c>
      <c r="S28" s="12">
        <v>0</v>
      </c>
      <c r="T28" s="12">
        <v>4916443.272539557</v>
      </c>
      <c r="U28" s="12">
        <v>231109241597.41537</v>
      </c>
      <c r="V28" s="12">
        <v>228951452837.52417</v>
      </c>
      <c r="W28" s="12">
        <v>-48413423.116749667</v>
      </c>
      <c r="X28" s="12">
        <v>2794245.8794313185</v>
      </c>
      <c r="Y28" s="12">
        <v>144789508272.96613</v>
      </c>
      <c r="Z28" s="12">
        <v>-62326575909.91246</v>
      </c>
      <c r="AA28" s="12">
        <v>-4669551299.096612</v>
      </c>
      <c r="AB28" s="12"/>
      <c r="AC28" s="12"/>
      <c r="AD28" s="12"/>
      <c r="AE28" s="12"/>
      <c r="AG28" s="208" t="s">
        <v>63</v>
      </c>
      <c r="AH28" s="208"/>
      <c r="AI28" s="208"/>
      <c r="AJ28" s="208" t="s">
        <v>70</v>
      </c>
      <c r="AK28" s="208"/>
      <c r="AL28" s="208"/>
      <c r="AQ28" s="1"/>
      <c r="AS28" s="6">
        <v>186554368.63395664</v>
      </c>
      <c r="AT28" s="176">
        <v>30000</v>
      </c>
      <c r="AU28" s="176">
        <v>30000</v>
      </c>
      <c r="AV28" s="176">
        <v>30000</v>
      </c>
      <c r="AW28" s="176">
        <v>30000</v>
      </c>
      <c r="AX28" s="176">
        <v>30000</v>
      </c>
      <c r="AY28" s="176">
        <v>30000</v>
      </c>
      <c r="AZ28" s="176">
        <v>30000</v>
      </c>
      <c r="BA28" s="176">
        <v>30000</v>
      </c>
      <c r="BB28" s="176">
        <v>30000</v>
      </c>
      <c r="BC28" s="176">
        <v>30000</v>
      </c>
      <c r="BD28" s="176">
        <v>30000</v>
      </c>
      <c r="BE28" s="176">
        <v>30000</v>
      </c>
      <c r="BF28" s="176">
        <v>30000</v>
      </c>
      <c r="BG28" s="176">
        <v>30000</v>
      </c>
      <c r="BH28" s="176">
        <v>30000</v>
      </c>
      <c r="BI28" s="176">
        <v>30000</v>
      </c>
      <c r="BJ28" s="176">
        <v>30000</v>
      </c>
      <c r="BK28" s="176">
        <v>30000</v>
      </c>
      <c r="BL28" s="176">
        <v>30000</v>
      </c>
      <c r="BM28" s="176">
        <v>30000</v>
      </c>
      <c r="BN28" s="176">
        <v>30000</v>
      </c>
      <c r="BO28" s="176">
        <v>30000</v>
      </c>
      <c r="BP28" s="176">
        <v>30000</v>
      </c>
      <c r="BQ28" s="176">
        <v>30000</v>
      </c>
      <c r="BR28" s="176">
        <v>30000</v>
      </c>
      <c r="BS28" s="176">
        <v>30000</v>
      </c>
      <c r="BT28" s="176">
        <v>30000</v>
      </c>
      <c r="BU28" s="176">
        <v>30000</v>
      </c>
      <c r="BV28" s="176">
        <v>30000</v>
      </c>
      <c r="BW28" s="176">
        <v>30000</v>
      </c>
      <c r="BX28" s="176">
        <v>30000</v>
      </c>
      <c r="BY28" s="176">
        <v>30000</v>
      </c>
      <c r="BZ28" s="176">
        <v>29338.230633004085</v>
      </c>
      <c r="CA28" s="176">
        <v>28552.159387525655</v>
      </c>
      <c r="CB28" s="176">
        <v>27783.506006738917</v>
      </c>
      <c r="CC28" s="176">
        <v>27033.168894356379</v>
      </c>
      <c r="CD28" s="176">
        <v>26302.150060252647</v>
      </c>
      <c r="CE28" s="176">
        <v>25591.575306996012</v>
      </c>
      <c r="CF28" s="176">
        <v>24902.716219212991</v>
      </c>
      <c r="CG28" s="176">
        <v>24237.014489836874</v>
      </c>
      <c r="CH28" s="176">
        <v>23596.109501231076</v>
      </c>
      <c r="CI28" s="176">
        <v>22981.870814076276</v>
      </c>
      <c r="CJ28" s="176">
        <v>22396.438636687628</v>
      </c>
      <c r="CK28" s="176">
        <v>21842.27812577341</v>
      </c>
      <c r="CL28" s="176">
        <v>21322.258920986569</v>
      </c>
      <c r="CM28" s="176">
        <v>20839.782752974486</v>
      </c>
      <c r="CN28" s="176">
        <v>20399.00653957633</v>
      </c>
      <c r="CO28" s="176">
        <v>20005.264492473558</v>
      </c>
      <c r="CP28" s="176">
        <v>19665.92910160929</v>
      </c>
      <c r="CQ28" s="176">
        <v>19392.317092374386</v>
      </c>
      <c r="CR28" s="176">
        <v>19204.337484939635</v>
      </c>
      <c r="CS28" s="176">
        <v>19001.335713031935</v>
      </c>
      <c r="CT28" s="176">
        <v>18825.172281388972</v>
      </c>
      <c r="CU28" s="176">
        <v>18704.233172818989</v>
      </c>
      <c r="CV28" s="176">
        <v>18640.122511299709</v>
      </c>
      <c r="CW28" s="176">
        <v>18633.930655685323</v>
      </c>
      <c r="CX28" s="176">
        <v>18686.178337865364</v>
      </c>
      <c r="CY28" s="176">
        <v>18796.791038602758</v>
      </c>
      <c r="CZ28" s="176">
        <v>18965.106319997489</v>
      </c>
      <c r="DA28" s="176">
        <v>19189.912739483672</v>
      </c>
      <c r="DB28" s="176">
        <v>19469.515134284691</v>
      </c>
      <c r="DC28" s="176">
        <v>19693.736706114294</v>
      </c>
      <c r="DD28" s="176">
        <v>20008.640609451882</v>
      </c>
      <c r="DE28" s="176">
        <v>20394.52304187859</v>
      </c>
      <c r="DF28" s="176">
        <v>20838.739869352423</v>
      </c>
      <c r="DG28" s="176">
        <v>21333.209953449976</v>
      </c>
      <c r="DH28" s="176">
        <v>21872.130743301357</v>
      </c>
      <c r="DI28" s="176">
        <v>22450.962668458324</v>
      </c>
      <c r="DJ28" s="176">
        <v>23065.939484034046</v>
      </c>
      <c r="DK28" s="176">
        <v>23713.81456101478</v>
      </c>
      <c r="DL28" s="176">
        <v>24391.719663454471</v>
      </c>
      <c r="DM28" s="176">
        <v>25097.080322389455</v>
      </c>
      <c r="DN28" s="176">
        <v>25827.560371852309</v>
      </c>
      <c r="DO28" s="176">
        <v>26581.022985890984</v>
      </c>
      <c r="DP28" s="176">
        <v>27355.500910016392</v>
      </c>
      <c r="DQ28" s="176">
        <v>28149.172499286426</v>
      </c>
      <c r="DR28" s="176">
        <v>28960.341633648382</v>
      </c>
      <c r="DS28" s="176">
        <v>29787.420471151152</v>
      </c>
      <c r="DT28" s="176">
        <v>30000</v>
      </c>
      <c r="DU28" s="176">
        <v>30000</v>
      </c>
      <c r="DV28" s="176">
        <v>30000</v>
      </c>
      <c r="DW28" s="176">
        <v>30000</v>
      </c>
      <c r="DX28" s="176">
        <v>30000</v>
      </c>
      <c r="DY28" s="176">
        <v>30000</v>
      </c>
      <c r="DZ28" s="176">
        <v>30000</v>
      </c>
      <c r="EA28" s="176">
        <v>30000</v>
      </c>
      <c r="EB28" s="176">
        <v>30000</v>
      </c>
      <c r="EC28" s="176">
        <v>30000</v>
      </c>
      <c r="ED28" s="176">
        <v>30000</v>
      </c>
      <c r="EE28" s="176">
        <v>30000</v>
      </c>
      <c r="EF28" s="176">
        <v>30000</v>
      </c>
      <c r="EG28" s="176">
        <v>30000</v>
      </c>
      <c r="EH28" s="176">
        <v>30000</v>
      </c>
      <c r="EI28" s="176">
        <v>30000</v>
      </c>
      <c r="EJ28" s="176">
        <v>30000</v>
      </c>
      <c r="EK28" s="176">
        <v>30000</v>
      </c>
      <c r="EL28" s="176">
        <v>30000</v>
      </c>
      <c r="EM28" s="176">
        <v>30000</v>
      </c>
      <c r="EN28" s="176">
        <v>30000</v>
      </c>
      <c r="EO28" s="176">
        <v>30000</v>
      </c>
      <c r="EP28" t="str">
        <f t="shared" si="0"/>
        <v>5y 333d</v>
      </c>
      <c r="ES28" s="224" t="s">
        <v>89</v>
      </c>
      <c r="ET28" s="225"/>
      <c r="EU28" s="226"/>
      <c r="EV28" s="230" t="s">
        <v>90</v>
      </c>
      <c r="EW28" s="231"/>
      <c r="EX28" s="232"/>
    </row>
    <row r="29" spans="2:154" x14ac:dyDescent="0.25">
      <c r="B29" s="70">
        <v>26</v>
      </c>
      <c r="D29">
        <v>7719479.1438436154</v>
      </c>
      <c r="E29" s="12">
        <v>-137835535346.02997</v>
      </c>
      <c r="F29" s="12">
        <v>-57877420854.748833</v>
      </c>
      <c r="G29" s="12">
        <v>0</v>
      </c>
      <c r="H29" s="12">
        <v>210994195.40981704</v>
      </c>
      <c r="I29" s="12">
        <v>-976721684512.60071</v>
      </c>
      <c r="J29" s="12">
        <v>962850155231.93176</v>
      </c>
      <c r="K29" s="12">
        <v>22051300810.017956</v>
      </c>
      <c r="L29" s="12">
        <v>3170377.8962235916</v>
      </c>
      <c r="M29" s="12">
        <v>119862635427.51567</v>
      </c>
      <c r="N29" s="12">
        <v>-89141846227.465973</v>
      </c>
      <c r="O29" s="12">
        <v>137125099.19721827</v>
      </c>
      <c r="P29" s="12">
        <v>3170377.8899129089</v>
      </c>
      <c r="Q29" s="12">
        <v>119862721823.04111</v>
      </c>
      <c r="R29" s="12">
        <v>-89141855109.595093</v>
      </c>
      <c r="S29" s="12">
        <v>0</v>
      </c>
      <c r="T29" s="12">
        <v>5202965.1731894277</v>
      </c>
      <c r="U29" s="12">
        <v>231043677712.71832</v>
      </c>
      <c r="V29" s="12">
        <v>236191779037.75586</v>
      </c>
      <c r="W29" s="12">
        <v>-51115535.236324988</v>
      </c>
      <c r="X29" s="12">
        <v>2927662.4763635928</v>
      </c>
      <c r="Y29" s="12">
        <v>148028121703.7525</v>
      </c>
      <c r="Z29" s="12">
        <v>-58296427523.49382</v>
      </c>
      <c r="AA29" s="12">
        <v>-4868487506.9387121</v>
      </c>
      <c r="AB29" s="12"/>
      <c r="AC29" s="12"/>
      <c r="AD29" s="12"/>
      <c r="AE29" s="12"/>
      <c r="AG29" s="70" t="s">
        <v>22</v>
      </c>
      <c r="AH29" s="70" t="s">
        <v>23</v>
      </c>
      <c r="AI29" s="70" t="s">
        <v>26</v>
      </c>
      <c r="AJ29" s="70" t="s">
        <v>22</v>
      </c>
      <c r="AK29" s="70" t="s">
        <v>23</v>
      </c>
      <c r="AL29" s="70" t="s">
        <v>26</v>
      </c>
      <c r="AS29" s="6">
        <v>191821133.87027934</v>
      </c>
      <c r="AT29" s="176">
        <v>30000</v>
      </c>
      <c r="AU29" s="176">
        <v>30000</v>
      </c>
      <c r="AV29" s="176">
        <v>30000</v>
      </c>
      <c r="AW29" s="176">
        <v>30000</v>
      </c>
      <c r="AX29" s="176">
        <v>30000</v>
      </c>
      <c r="AY29" s="176">
        <v>30000</v>
      </c>
      <c r="AZ29" s="176">
        <v>30000</v>
      </c>
      <c r="BA29" s="176">
        <v>30000</v>
      </c>
      <c r="BB29" s="176">
        <v>30000</v>
      </c>
      <c r="BC29" s="176">
        <v>30000</v>
      </c>
      <c r="BD29" s="176">
        <v>30000</v>
      </c>
      <c r="BE29" s="176">
        <v>30000</v>
      </c>
      <c r="BF29" s="176">
        <v>30000</v>
      </c>
      <c r="BG29" s="176">
        <v>30000</v>
      </c>
      <c r="BH29" s="176">
        <v>30000</v>
      </c>
      <c r="BI29" s="176">
        <v>30000</v>
      </c>
      <c r="BJ29" s="176">
        <v>30000</v>
      </c>
      <c r="BK29" s="176">
        <v>30000</v>
      </c>
      <c r="BL29" s="176">
        <v>30000</v>
      </c>
      <c r="BM29" s="176">
        <v>30000</v>
      </c>
      <c r="BN29" s="176">
        <v>30000</v>
      </c>
      <c r="BO29" s="176">
        <v>30000</v>
      </c>
      <c r="BP29" s="176">
        <v>30000</v>
      </c>
      <c r="BQ29" s="176">
        <v>30000</v>
      </c>
      <c r="BR29" s="176">
        <v>30000</v>
      </c>
      <c r="BS29" s="176">
        <v>30000</v>
      </c>
      <c r="BT29" s="176">
        <v>30000</v>
      </c>
      <c r="BU29" s="176">
        <v>30000</v>
      </c>
      <c r="BV29" s="176">
        <v>30000</v>
      </c>
      <c r="BW29" s="176">
        <v>30000</v>
      </c>
      <c r="BX29" s="176">
        <v>30000</v>
      </c>
      <c r="BY29" s="176">
        <v>30000</v>
      </c>
      <c r="BZ29" s="176">
        <v>29716.531778405784</v>
      </c>
      <c r="CA29" s="176">
        <v>28918.513374822865</v>
      </c>
      <c r="CB29" s="176">
        <v>28137.862420624904</v>
      </c>
      <c r="CC29" s="176">
        <v>27375.457618033615</v>
      </c>
      <c r="CD29" s="176">
        <v>26632.274283810642</v>
      </c>
      <c r="CE29" s="176">
        <v>25909.404566319798</v>
      </c>
      <c r="CF29" s="176">
        <v>25208.079523979766</v>
      </c>
      <c r="CG29" s="176">
        <v>24529.693596918249</v>
      </c>
      <c r="CH29" s="176">
        <v>23875.832348106222</v>
      </c>
      <c r="CI29" s="176">
        <v>23248.304988274052</v>
      </c>
      <c r="CJ29" s="176">
        <v>22649.184396445551</v>
      </c>
      <c r="CK29" s="176">
        <v>22080.859602557826</v>
      </c>
      <c r="CL29" s="176">
        <v>21546.110294560665</v>
      </c>
      <c r="CM29" s="176">
        <v>21048.221220923704</v>
      </c>
      <c r="CN29" s="176">
        <v>20591.173449582326</v>
      </c>
      <c r="CO29" s="176">
        <v>20179.988288865017</v>
      </c>
      <c r="CP29" s="176">
        <v>19821.391922765601</v>
      </c>
      <c r="CQ29" s="176">
        <v>19525.197834885119</v>
      </c>
      <c r="CR29" s="176">
        <v>19307.433150693738</v>
      </c>
      <c r="CS29" s="176">
        <v>19124.857830305205</v>
      </c>
      <c r="CT29" s="176">
        <v>18927.098230563715</v>
      </c>
      <c r="CU29" s="176">
        <v>18783.972549996146</v>
      </c>
      <c r="CV29" s="176">
        <v>18697.226638032982</v>
      </c>
      <c r="CW29" s="176">
        <v>18668.119064477054</v>
      </c>
      <c r="CX29" s="176">
        <v>18697.356332811785</v>
      </c>
      <c r="CY29" s="176">
        <v>18785.056376534438</v>
      </c>
      <c r="CZ29" s="176">
        <v>18930.744427584355</v>
      </c>
      <c r="DA29" s="176">
        <v>19133.381332337209</v>
      </c>
      <c r="DB29" s="176">
        <v>19391.420366335704</v>
      </c>
      <c r="DC29" s="176">
        <v>19684.787086931137</v>
      </c>
      <c r="DD29" s="176">
        <v>19935.93832201809</v>
      </c>
      <c r="DE29" s="176">
        <v>20277.618660165637</v>
      </c>
      <c r="DF29" s="176">
        <v>20688.247670939807</v>
      </c>
      <c r="DG29" s="176">
        <v>21155.483107065658</v>
      </c>
      <c r="DH29" s="176">
        <v>21671.294359306186</v>
      </c>
      <c r="DI29" s="176">
        <v>22229.88436398565</v>
      </c>
      <c r="DJ29" s="176">
        <v>22826.728770881</v>
      </c>
      <c r="DK29" s="176">
        <v>23458.096573492261</v>
      </c>
      <c r="DL29" s="176">
        <v>24120.793563805215</v>
      </c>
      <c r="DM29" s="176">
        <v>24812.015704897487</v>
      </c>
      <c r="DN29" s="176">
        <v>25529.259029304034</v>
      </c>
      <c r="DO29" s="176">
        <v>26270.260167940796</v>
      </c>
      <c r="DP29" s="176">
        <v>27032.954211586573</v>
      </c>
      <c r="DQ29" s="176">
        <v>27815.442919125559</v>
      </c>
      <c r="DR29" s="176">
        <v>28615.969495663012</v>
      </c>
      <c r="DS29" s="176">
        <v>29432.897842104972</v>
      </c>
      <c r="DT29" s="176">
        <v>30000</v>
      </c>
      <c r="DU29" s="176">
        <v>30000</v>
      </c>
      <c r="DV29" s="176">
        <v>30000</v>
      </c>
      <c r="DW29" s="176">
        <v>30000</v>
      </c>
      <c r="DX29" s="176">
        <v>30000</v>
      </c>
      <c r="DY29" s="176">
        <v>30000</v>
      </c>
      <c r="DZ29" s="176">
        <v>30000</v>
      </c>
      <c r="EA29" s="176">
        <v>30000</v>
      </c>
      <c r="EB29" s="176">
        <v>30000</v>
      </c>
      <c r="EC29" s="176">
        <v>30000</v>
      </c>
      <c r="ED29" s="176">
        <v>30000</v>
      </c>
      <c r="EE29" s="176">
        <v>30000</v>
      </c>
      <c r="EF29" s="176">
        <v>30000</v>
      </c>
      <c r="EG29" s="176">
        <v>30000</v>
      </c>
      <c r="EH29" s="176">
        <v>30000</v>
      </c>
      <c r="EI29" s="176">
        <v>30000</v>
      </c>
      <c r="EJ29" s="176">
        <v>30000</v>
      </c>
      <c r="EK29" s="176">
        <v>30000</v>
      </c>
      <c r="EL29" s="176">
        <v>30000</v>
      </c>
      <c r="EM29" s="176">
        <v>30000</v>
      </c>
      <c r="EN29" s="176">
        <v>30000</v>
      </c>
      <c r="EO29" s="176">
        <v>30000</v>
      </c>
      <c r="EP29" t="str">
        <f t="shared" si="0"/>
        <v>6y 29d</v>
      </c>
      <c r="ES29" s="227"/>
      <c r="ET29" s="228"/>
      <c r="EU29" s="229"/>
      <c r="EV29" s="233"/>
      <c r="EW29" s="234"/>
      <c r="EX29" s="235"/>
    </row>
    <row r="30" spans="2:154" x14ac:dyDescent="0.25">
      <c r="B30" s="70">
        <v>27</v>
      </c>
      <c r="D30">
        <v>8035070.569913323</v>
      </c>
      <c r="E30" s="12">
        <v>-134070061414.18352</v>
      </c>
      <c r="F30" s="12">
        <v>-66487736806.692337</v>
      </c>
      <c r="G30" s="12">
        <v>0</v>
      </c>
      <c r="H30" s="12">
        <v>219601215.59006095</v>
      </c>
      <c r="I30" s="12">
        <v>-1037634761872.0864</v>
      </c>
      <c r="J30" s="12">
        <v>901764944448.72253</v>
      </c>
      <c r="K30" s="12">
        <v>25536631631.327145</v>
      </c>
      <c r="L30" s="12">
        <v>3303197.5405750405</v>
      </c>
      <c r="M30" s="12">
        <v>123695133609.18884</v>
      </c>
      <c r="N30" s="12">
        <v>-85463078266.552734</v>
      </c>
      <c r="O30" s="12">
        <v>141979363.24273759</v>
      </c>
      <c r="P30" s="12">
        <v>3303197.5436901366</v>
      </c>
      <c r="Q30" s="12">
        <v>123695223497.6257</v>
      </c>
      <c r="R30" s="12">
        <v>-85463087375.066299</v>
      </c>
      <c r="S30" s="12">
        <v>0</v>
      </c>
      <c r="T30" s="12">
        <v>5498576.0778867891</v>
      </c>
      <c r="U30" s="12">
        <v>230902942804.83847</v>
      </c>
      <c r="V30" s="12">
        <v>243587055821.7251</v>
      </c>
      <c r="W30" s="12">
        <v>-53887190.552098997</v>
      </c>
      <c r="X30" s="12">
        <v>3063633.3072421458</v>
      </c>
      <c r="Y30" s="12">
        <v>151239573228.08472</v>
      </c>
      <c r="Z30" s="12">
        <v>-54154013090.702484</v>
      </c>
      <c r="AA30" s="12">
        <v>-5068299693.8001986</v>
      </c>
      <c r="AB30" s="12"/>
      <c r="AC30" s="12"/>
      <c r="AD30" s="12"/>
      <c r="AE30" s="12"/>
      <c r="AG30" s="27">
        <v>0</v>
      </c>
      <c r="AH30" s="27">
        <v>0</v>
      </c>
      <c r="AI30" s="27">
        <v>0</v>
      </c>
      <c r="AJ30" s="27">
        <v>0</v>
      </c>
      <c r="AK30" s="69">
        <v>0</v>
      </c>
      <c r="AL30" s="69">
        <v>0</v>
      </c>
      <c r="AS30" s="6">
        <v>197087899.10660204</v>
      </c>
      <c r="AT30" s="176">
        <v>30000</v>
      </c>
      <c r="AU30" s="176">
        <v>30000</v>
      </c>
      <c r="AV30" s="176">
        <v>30000</v>
      </c>
      <c r="AW30" s="176">
        <v>30000</v>
      </c>
      <c r="AX30" s="176">
        <v>30000</v>
      </c>
      <c r="AY30" s="176">
        <v>30000</v>
      </c>
      <c r="AZ30" s="176">
        <v>30000</v>
      </c>
      <c r="BA30" s="176">
        <v>30000</v>
      </c>
      <c r="BB30" s="176">
        <v>30000</v>
      </c>
      <c r="BC30" s="176">
        <v>30000</v>
      </c>
      <c r="BD30" s="176">
        <v>30000</v>
      </c>
      <c r="BE30" s="176">
        <v>30000</v>
      </c>
      <c r="BF30" s="176">
        <v>30000</v>
      </c>
      <c r="BG30" s="176">
        <v>30000</v>
      </c>
      <c r="BH30" s="176">
        <v>30000</v>
      </c>
      <c r="BI30" s="176">
        <v>30000</v>
      </c>
      <c r="BJ30" s="176">
        <v>30000</v>
      </c>
      <c r="BK30" s="176">
        <v>30000</v>
      </c>
      <c r="BL30" s="176">
        <v>30000</v>
      </c>
      <c r="BM30" s="176">
        <v>30000</v>
      </c>
      <c r="BN30" s="176">
        <v>30000</v>
      </c>
      <c r="BO30" s="176">
        <v>30000</v>
      </c>
      <c r="BP30" s="176">
        <v>30000</v>
      </c>
      <c r="BQ30" s="176">
        <v>30000</v>
      </c>
      <c r="BR30" s="176">
        <v>30000</v>
      </c>
      <c r="BS30" s="176">
        <v>30000</v>
      </c>
      <c r="BT30" s="176">
        <v>30000</v>
      </c>
      <c r="BU30" s="176">
        <v>30000</v>
      </c>
      <c r="BV30" s="176">
        <v>30000</v>
      </c>
      <c r="BW30" s="176">
        <v>30000</v>
      </c>
      <c r="BX30" s="176">
        <v>30000</v>
      </c>
      <c r="BY30" s="176">
        <v>30000</v>
      </c>
      <c r="BZ30" s="176">
        <v>30000</v>
      </c>
      <c r="CA30" s="176">
        <v>29302.313938263069</v>
      </c>
      <c r="CB30" s="176">
        <v>28509.604529837594</v>
      </c>
      <c r="CC30" s="176">
        <v>27735.044164440227</v>
      </c>
      <c r="CD30" s="176">
        <v>26979.582970735053</v>
      </c>
      <c r="CE30" s="176">
        <v>26244.280532317334</v>
      </c>
      <c r="CF30" s="176">
        <v>25530.327913136942</v>
      </c>
      <c r="CG30" s="176">
        <v>24839.072079200865</v>
      </c>
      <c r="CH30" s="176">
        <v>24172.043509374071</v>
      </c>
      <c r="CI30" s="176">
        <v>23530.988519461833</v>
      </c>
      <c r="CJ30" s="176">
        <v>22917.908276909766</v>
      </c>
      <c r="CK30" s="176">
        <v>22335.109229330854</v>
      </c>
      <c r="CL30" s="176">
        <v>21785.272290809287</v>
      </c>
      <c r="CM30" s="176">
        <v>21271.555420885103</v>
      </c>
      <c r="CN30" s="176">
        <v>20797.757603627178</v>
      </c>
      <c r="CO30" s="176">
        <v>20368.600525695783</v>
      </c>
      <c r="CP30" s="176">
        <v>19990.246555372192</v>
      </c>
      <c r="CQ30" s="176">
        <v>19671.31845511889</v>
      </c>
      <c r="CR30" s="176">
        <v>19425.061577350734</v>
      </c>
      <c r="CS30" s="176">
        <v>19261.104101469638</v>
      </c>
      <c r="CT30" s="176">
        <v>19041.29165454732</v>
      </c>
      <c r="CU30" s="176">
        <v>18875.469516402198</v>
      </c>
      <c r="CV30" s="176">
        <v>18765.522243236428</v>
      </c>
      <c r="CW30" s="176">
        <v>18712.876776008186</v>
      </c>
      <c r="CX30" s="176">
        <v>18718.429294390491</v>
      </c>
      <c r="CY30" s="176">
        <v>18782.497953305785</v>
      </c>
      <c r="CZ30" s="176">
        <v>18904.80688252085</v>
      </c>
      <c r="DA30" s="176">
        <v>19084.503031711723</v>
      </c>
      <c r="DB30" s="176">
        <v>19320.203333110665</v>
      </c>
      <c r="DC30" s="176">
        <v>19610.066117843056</v>
      </c>
      <c r="DD30" s="176">
        <v>19907.997837279698</v>
      </c>
      <c r="DE30" s="176">
        <v>20189.414434515093</v>
      </c>
      <c r="DF30" s="176">
        <v>20557.46643181664</v>
      </c>
      <c r="DG30" s="176">
        <v>20992.033675453313</v>
      </c>
      <c r="DH30" s="176">
        <v>21481.244560926727</v>
      </c>
      <c r="DI30" s="176">
        <v>22017.239263057039</v>
      </c>
      <c r="DJ30" s="176">
        <v>22594.304588740953</v>
      </c>
      <c r="DK30" s="176">
        <v>23207.980844677579</v>
      </c>
      <c r="DL30" s="176">
        <v>23854.602235111786</v>
      </c>
      <c r="DM30" s="176">
        <v>24531.044352973273</v>
      </c>
      <c r="DN30" s="176">
        <v>25234.576255048454</v>
      </c>
      <c r="DO30" s="176">
        <v>25962.767978227603</v>
      </c>
      <c r="DP30" s="176">
        <v>26713.428810000616</v>
      </c>
      <c r="DQ30" s="176">
        <v>27484.563430565555</v>
      </c>
      <c r="DR30" s="176">
        <v>28274.338982417965</v>
      </c>
      <c r="DS30" s="176">
        <v>29081.059211222386</v>
      </c>
      <c r="DT30" s="176">
        <v>29903.143470568077</v>
      </c>
      <c r="DU30" s="176">
        <v>30000</v>
      </c>
      <c r="DV30" s="176">
        <v>30000</v>
      </c>
      <c r="DW30" s="176">
        <v>30000</v>
      </c>
      <c r="DX30" s="176">
        <v>30000</v>
      </c>
      <c r="DY30" s="176">
        <v>30000</v>
      </c>
      <c r="DZ30" s="176">
        <v>30000</v>
      </c>
      <c r="EA30" s="176">
        <v>30000</v>
      </c>
      <c r="EB30" s="176">
        <v>30000</v>
      </c>
      <c r="EC30" s="176">
        <v>30000</v>
      </c>
      <c r="ED30" s="176">
        <v>30000</v>
      </c>
      <c r="EE30" s="176">
        <v>30000</v>
      </c>
      <c r="EF30" s="176">
        <v>30000</v>
      </c>
      <c r="EG30" s="176">
        <v>30000</v>
      </c>
      <c r="EH30" s="176">
        <v>30000</v>
      </c>
      <c r="EI30" s="176">
        <v>30000</v>
      </c>
      <c r="EJ30" s="176">
        <v>30000</v>
      </c>
      <c r="EK30" s="176">
        <v>30000</v>
      </c>
      <c r="EL30" s="176">
        <v>30000</v>
      </c>
      <c r="EM30" s="176">
        <v>30000</v>
      </c>
      <c r="EN30" s="176">
        <v>30000</v>
      </c>
      <c r="EO30" s="176">
        <v>30000</v>
      </c>
      <c r="EP30" t="str">
        <f t="shared" si="0"/>
        <v>6y 90d</v>
      </c>
      <c r="ES30" s="227"/>
      <c r="ET30" s="228"/>
      <c r="EU30" s="229"/>
      <c r="EV30" s="233"/>
      <c r="EW30" s="234"/>
      <c r="EX30" s="235"/>
    </row>
    <row r="31" spans="2:154" x14ac:dyDescent="0.25">
      <c r="B31" s="70">
        <v>28</v>
      </c>
      <c r="D31">
        <v>8351325.0533468453</v>
      </c>
      <c r="E31" s="12">
        <v>-129766675277.32092</v>
      </c>
      <c r="F31" s="12">
        <v>-74853298840.635712</v>
      </c>
      <c r="G31" s="12">
        <v>0</v>
      </c>
      <c r="H31" s="12">
        <v>228250605.83724275</v>
      </c>
      <c r="I31" s="12">
        <v>-1094897273835.7362</v>
      </c>
      <c r="J31" s="12">
        <v>836946057204.27405</v>
      </c>
      <c r="K31" s="12">
        <v>28941895088.202694</v>
      </c>
      <c r="L31" s="12">
        <v>3437825.8347571492</v>
      </c>
      <c r="M31" s="12">
        <v>127492917765.87354</v>
      </c>
      <c r="N31" s="12">
        <v>-81674177945.40181</v>
      </c>
      <c r="O31" s="12">
        <v>146799980.98157492</v>
      </c>
      <c r="P31" s="12">
        <v>3437825.8480091854</v>
      </c>
      <c r="Q31" s="12">
        <v>127493011156.51932</v>
      </c>
      <c r="R31" s="12">
        <v>-81674187266.416901</v>
      </c>
      <c r="S31" s="12">
        <v>0</v>
      </c>
      <c r="T31" s="12">
        <v>5803673.7980619902</v>
      </c>
      <c r="U31" s="12">
        <v>230683475269.13226</v>
      </c>
      <c r="V31" s="12">
        <v>251141364084.51559</v>
      </c>
      <c r="W31" s="12">
        <v>-56730471.820372961</v>
      </c>
      <c r="X31" s="12">
        <v>3202339.3145456654</v>
      </c>
      <c r="Y31" s="12">
        <v>154423593373.64029</v>
      </c>
      <c r="Z31" s="12">
        <v>-49895321718.906212</v>
      </c>
      <c r="AA31" s="12">
        <v>-5269047016.9742289</v>
      </c>
      <c r="AB31" s="12"/>
      <c r="AC31" s="12"/>
      <c r="AD31" s="12"/>
      <c r="AE31" s="12"/>
      <c r="AG31" s="27">
        <v>10575425089.701818</v>
      </c>
      <c r="AH31" s="27">
        <v>-8550791727.1340122</v>
      </c>
      <c r="AI31" s="27">
        <v>0</v>
      </c>
      <c r="AJ31">
        <v>11024240166.2528</v>
      </c>
      <c r="AK31" s="69">
        <v>7963779488.7538528</v>
      </c>
      <c r="AL31" s="69">
        <v>0</v>
      </c>
      <c r="AS31" s="6">
        <v>202354664.34292474</v>
      </c>
      <c r="AT31" s="176">
        <v>30000</v>
      </c>
      <c r="AU31" s="176">
        <v>30000</v>
      </c>
      <c r="AV31" s="176">
        <v>30000</v>
      </c>
      <c r="AW31" s="176">
        <v>30000</v>
      </c>
      <c r="AX31" s="176">
        <v>30000</v>
      </c>
      <c r="AY31" s="176">
        <v>30000</v>
      </c>
      <c r="AZ31" s="176">
        <v>30000</v>
      </c>
      <c r="BA31" s="176">
        <v>30000</v>
      </c>
      <c r="BB31" s="176">
        <v>30000</v>
      </c>
      <c r="BC31" s="176">
        <v>30000</v>
      </c>
      <c r="BD31" s="176">
        <v>30000</v>
      </c>
      <c r="BE31" s="176">
        <v>30000</v>
      </c>
      <c r="BF31" s="176">
        <v>30000</v>
      </c>
      <c r="BG31" s="176">
        <v>30000</v>
      </c>
      <c r="BH31" s="176">
        <v>30000</v>
      </c>
      <c r="BI31" s="176">
        <v>30000</v>
      </c>
      <c r="BJ31" s="176">
        <v>30000</v>
      </c>
      <c r="BK31" s="176">
        <v>30000</v>
      </c>
      <c r="BL31" s="176">
        <v>30000</v>
      </c>
      <c r="BM31" s="176">
        <v>30000</v>
      </c>
      <c r="BN31" s="176">
        <v>30000</v>
      </c>
      <c r="BO31" s="176">
        <v>30000</v>
      </c>
      <c r="BP31" s="176">
        <v>30000</v>
      </c>
      <c r="BQ31" s="176">
        <v>30000</v>
      </c>
      <c r="BR31" s="176">
        <v>30000</v>
      </c>
      <c r="BS31" s="176">
        <v>30000</v>
      </c>
      <c r="BT31" s="176">
        <v>30000</v>
      </c>
      <c r="BU31" s="176">
        <v>30000</v>
      </c>
      <c r="BV31" s="176">
        <v>30000</v>
      </c>
      <c r="BW31" s="176">
        <v>30000</v>
      </c>
      <c r="BX31" s="176">
        <v>30000</v>
      </c>
      <c r="BY31" s="176">
        <v>30000</v>
      </c>
      <c r="BZ31" s="176">
        <v>30000</v>
      </c>
      <c r="CA31" s="176">
        <v>29702.446762625084</v>
      </c>
      <c r="CB31" s="176">
        <v>28897.654792351848</v>
      </c>
      <c r="CC31" s="176">
        <v>28110.889277739705</v>
      </c>
      <c r="CD31" s="176">
        <v>27343.076976874032</v>
      </c>
      <c r="CE31" s="176">
        <v>26595.246352421382</v>
      </c>
      <c r="CF31" s="176">
        <v>25868.549534380025</v>
      </c>
      <c r="CG31" s="176">
        <v>25164.286386198968</v>
      </c>
      <c r="CH31" s="176">
        <v>24483.931941643197</v>
      </c>
      <c r="CI31" s="176">
        <v>23829.168057983436</v>
      </c>
      <c r="CJ31" s="176">
        <v>23201.921479981389</v>
      </c>
      <c r="CK31" s="176">
        <v>22604.411834685132</v>
      </c>
      <c r="CL31" s="176">
        <v>22039.215859159929</v>
      </c>
      <c r="CM31" s="176">
        <v>21509.359358094218</v>
      </c>
      <c r="CN31" s="176">
        <v>21018.458458686044</v>
      </c>
      <c r="CO31" s="176">
        <v>20570.952002870523</v>
      </c>
      <c r="CP31" s="176">
        <v>20172.509733559593</v>
      </c>
      <c r="CQ31" s="176">
        <v>19830.796861321302</v>
      </c>
      <c r="CR31" s="176">
        <v>19557.006346096186</v>
      </c>
      <c r="CS31" s="176">
        <v>19369.17455008949</v>
      </c>
      <c r="CT31" s="176">
        <v>19167.874249606713</v>
      </c>
      <c r="CU31" s="176">
        <v>18978.93165425989</v>
      </c>
      <c r="CV31" s="176">
        <v>18845.298533781861</v>
      </c>
      <c r="CW31" s="176">
        <v>18768.567927148149</v>
      </c>
      <c r="CX31" s="176">
        <v>18749.827258720263</v>
      </c>
      <c r="CY31" s="176">
        <v>18789.600674372527</v>
      </c>
      <c r="CZ31" s="176">
        <v>18887.821026233156</v>
      </c>
      <c r="DA31" s="176">
        <v>19043.834454362812</v>
      </c>
      <c r="DB31" s="176">
        <v>19256.436827822181</v>
      </c>
      <c r="DC31" s="176">
        <v>19523.936947542563</v>
      </c>
      <c r="DD31" s="176">
        <v>19844.239025851191</v>
      </c>
      <c r="DE31" s="176">
        <v>20141.74336495794</v>
      </c>
      <c r="DF31" s="176">
        <v>20453.188534581954</v>
      </c>
      <c r="DG31" s="176">
        <v>20847.048768267559</v>
      </c>
      <c r="DH31" s="176">
        <v>21304.718839466012</v>
      </c>
      <c r="DI31" s="176">
        <v>21814.90642601953</v>
      </c>
      <c r="DJ31" s="176">
        <v>22370.009005454376</v>
      </c>
      <c r="DK31" s="176">
        <v>22964.456488819073</v>
      </c>
      <c r="DL31" s="176">
        <v>23593.891832110945</v>
      </c>
      <c r="DM31" s="176">
        <v>24254.737710944013</v>
      </c>
      <c r="DN31" s="176">
        <v>24943.952669400624</v>
      </c>
      <c r="DO31" s="176">
        <v>25658.885334361767</v>
      </c>
      <c r="DP31" s="176">
        <v>26397.181829473542</v>
      </c>
      <c r="DQ31" s="176">
        <v>27156.723367112689</v>
      </c>
      <c r="DR31" s="176">
        <v>27935.581756201733</v>
      </c>
      <c r="DS31" s="176">
        <v>28731.986076682733</v>
      </c>
      <c r="DT31" s="176">
        <v>29544.296689166738</v>
      </c>
      <c r="DU31" s="176">
        <v>30000</v>
      </c>
      <c r="DV31" s="176">
        <v>30000</v>
      </c>
      <c r="DW31" s="176">
        <v>30000</v>
      </c>
      <c r="DX31" s="176">
        <v>30000</v>
      </c>
      <c r="DY31" s="176">
        <v>30000</v>
      </c>
      <c r="DZ31" s="176">
        <v>30000</v>
      </c>
      <c r="EA31" s="176">
        <v>30000</v>
      </c>
      <c r="EB31" s="176">
        <v>30000</v>
      </c>
      <c r="EC31" s="176">
        <v>30000</v>
      </c>
      <c r="ED31" s="176">
        <v>30000</v>
      </c>
      <c r="EE31" s="176">
        <v>30000</v>
      </c>
      <c r="EF31" s="176">
        <v>30000</v>
      </c>
      <c r="EG31" s="176">
        <v>30000</v>
      </c>
      <c r="EH31" s="176">
        <v>30000</v>
      </c>
      <c r="EI31" s="176">
        <v>30000</v>
      </c>
      <c r="EJ31" s="176">
        <v>30000</v>
      </c>
      <c r="EK31" s="176">
        <v>30000</v>
      </c>
      <c r="EL31" s="176">
        <v>30000</v>
      </c>
      <c r="EM31" s="176">
        <v>30000</v>
      </c>
      <c r="EN31" s="176">
        <v>30000</v>
      </c>
      <c r="EO31" s="176">
        <v>30000</v>
      </c>
      <c r="EP31" t="str">
        <f t="shared" si="0"/>
        <v>6y 151d</v>
      </c>
      <c r="ES31" s="227">
        <f>MIN(AT3:EO102) - 0.1</f>
        <v>18436.454336807266</v>
      </c>
      <c r="ET31" s="228"/>
      <c r="EU31" s="229"/>
      <c r="EV31" s="240">
        <v>0.1</v>
      </c>
      <c r="EW31" s="241"/>
      <c r="EX31" s="242"/>
    </row>
    <row r="32" spans="2:154" x14ac:dyDescent="0.25">
      <c r="B32" s="70">
        <v>29</v>
      </c>
      <c r="D32">
        <v>8668241.7858050317</v>
      </c>
      <c r="E32" s="12">
        <v>-124940753948.82419</v>
      </c>
      <c r="F32" s="12">
        <v>-82940155341.102615</v>
      </c>
      <c r="G32" s="12">
        <v>0</v>
      </c>
      <c r="H32" s="12">
        <v>236945196.03954613</v>
      </c>
      <c r="I32" s="12">
        <v>-1148279422942.8889</v>
      </c>
      <c r="J32" s="12">
        <v>768593704943.96729</v>
      </c>
      <c r="K32" s="12">
        <v>32254469297.438614</v>
      </c>
      <c r="L32" s="12">
        <v>3574441.518029274</v>
      </c>
      <c r="M32" s="12">
        <v>131256510071.3567</v>
      </c>
      <c r="N32" s="12">
        <v>-77771532253.101669</v>
      </c>
      <c r="O32" s="12">
        <v>151587837.72006744</v>
      </c>
      <c r="P32" s="12">
        <v>3574441.5421418855</v>
      </c>
      <c r="Q32" s="12">
        <v>131256606974.18256</v>
      </c>
      <c r="R32" s="12">
        <v>-77771541772.252426</v>
      </c>
      <c r="S32" s="12">
        <v>0</v>
      </c>
      <c r="T32" s="12">
        <v>6118676.2626613444</v>
      </c>
      <c r="U32" s="12">
        <v>230381536692.68698</v>
      </c>
      <c r="V32" s="12">
        <v>258858881615.60898</v>
      </c>
      <c r="W32" s="12">
        <v>-59647525.898509525</v>
      </c>
      <c r="X32" s="12">
        <v>3343971.3426240534</v>
      </c>
      <c r="Y32" s="12">
        <v>157579801786.35696</v>
      </c>
      <c r="Z32" s="12">
        <v>-45516110050.506073</v>
      </c>
      <c r="AA32" s="12">
        <v>-5470788275.7699232</v>
      </c>
      <c r="AB32" s="12"/>
      <c r="AC32" s="12"/>
      <c r="AD32" s="12"/>
      <c r="AE32" s="12"/>
      <c r="AG32" s="208" t="s">
        <v>62</v>
      </c>
      <c r="AH32" s="208"/>
      <c r="AI32" s="208"/>
      <c r="AJ32" s="208" t="s">
        <v>71</v>
      </c>
      <c r="AK32" s="208"/>
      <c r="AL32" s="208"/>
      <c r="AS32" s="6">
        <v>207621429.57924744</v>
      </c>
      <c r="AT32" s="176">
        <v>30000</v>
      </c>
      <c r="AU32" s="176">
        <v>30000</v>
      </c>
      <c r="AV32" s="176">
        <v>30000</v>
      </c>
      <c r="AW32" s="176">
        <v>30000</v>
      </c>
      <c r="AX32" s="176">
        <v>30000</v>
      </c>
      <c r="AY32" s="176">
        <v>30000</v>
      </c>
      <c r="AZ32" s="176">
        <v>30000</v>
      </c>
      <c r="BA32" s="176">
        <v>30000</v>
      </c>
      <c r="BB32" s="176">
        <v>30000</v>
      </c>
      <c r="BC32" s="176">
        <v>30000</v>
      </c>
      <c r="BD32" s="176">
        <v>30000</v>
      </c>
      <c r="BE32" s="176">
        <v>30000</v>
      </c>
      <c r="BF32" s="176">
        <v>30000</v>
      </c>
      <c r="BG32" s="176">
        <v>30000</v>
      </c>
      <c r="BH32" s="176">
        <v>30000</v>
      </c>
      <c r="BI32" s="176">
        <v>30000</v>
      </c>
      <c r="BJ32" s="176">
        <v>30000</v>
      </c>
      <c r="BK32" s="176">
        <v>30000</v>
      </c>
      <c r="BL32" s="176">
        <v>30000</v>
      </c>
      <c r="BM32" s="176">
        <v>30000</v>
      </c>
      <c r="BN32" s="176">
        <v>30000</v>
      </c>
      <c r="BO32" s="176">
        <v>30000</v>
      </c>
      <c r="BP32" s="176">
        <v>30000</v>
      </c>
      <c r="BQ32" s="176">
        <v>30000</v>
      </c>
      <c r="BR32" s="176">
        <v>30000</v>
      </c>
      <c r="BS32" s="176">
        <v>30000</v>
      </c>
      <c r="BT32" s="176">
        <v>30000</v>
      </c>
      <c r="BU32" s="176">
        <v>30000</v>
      </c>
      <c r="BV32" s="176">
        <v>30000</v>
      </c>
      <c r="BW32" s="176">
        <v>30000</v>
      </c>
      <c r="BX32" s="176">
        <v>30000</v>
      </c>
      <c r="BY32" s="176">
        <v>30000</v>
      </c>
      <c r="BZ32" s="176">
        <v>30000</v>
      </c>
      <c r="CA32" s="176">
        <v>30000</v>
      </c>
      <c r="CB32" s="176">
        <v>29301.027622429196</v>
      </c>
      <c r="CC32" s="176">
        <v>28502.043325392944</v>
      </c>
      <c r="CD32" s="176">
        <v>27721.844157049716</v>
      </c>
      <c r="CE32" s="176">
        <v>26961.429348794471</v>
      </c>
      <c r="CF32" s="176">
        <v>26221.913460068143</v>
      </c>
      <c r="CG32" s="176">
        <v>25504.550278097347</v>
      </c>
      <c r="CH32" s="176">
        <v>24810.759712080267</v>
      </c>
      <c r="CI32" s="176">
        <v>24142.158766680957</v>
      </c>
      <c r="CJ32" s="176">
        <v>23500.598361421286</v>
      </c>
      <c r="CK32" s="176">
        <v>22888.208968528921</v>
      </c>
      <c r="CL32" s="176">
        <v>22307.46021298453</v>
      </c>
      <c r="CM32" s="176">
        <v>21761.243566595251</v>
      </c>
      <c r="CN32" s="176">
        <v>21252.994783868126</v>
      </c>
      <c r="CO32" s="176">
        <v>20786.887371223027</v>
      </c>
      <c r="CP32" s="176">
        <v>20368.158153423599</v>
      </c>
      <c r="CQ32" s="176">
        <v>20003.689796706138</v>
      </c>
      <c r="CR32" s="176">
        <v>19703.120734459262</v>
      </c>
      <c r="CS32" s="176">
        <v>19481.110848064138</v>
      </c>
      <c r="CT32" s="176">
        <v>19306.956444516174</v>
      </c>
      <c r="CU32" s="176">
        <v>19094.553101139332</v>
      </c>
      <c r="CV32" s="176">
        <v>18936.830710729562</v>
      </c>
      <c r="CW32" s="176">
        <v>18835.543708065004</v>
      </c>
      <c r="CX32" s="176">
        <v>18791.969856411011</v>
      </c>
      <c r="CY32" s="176">
        <v>18806.842822056944</v>
      </c>
      <c r="CZ32" s="176">
        <v>18880.312149592086</v>
      </c>
      <c r="DA32" s="176">
        <v>19011.935203996276</v>
      </c>
      <c r="DB32" s="176">
        <v>19200.701706607724</v>
      </c>
      <c r="DC32" s="176">
        <v>19445.087436043228</v>
      </c>
      <c r="DD32" s="176">
        <v>19743.130378194004</v>
      </c>
      <c r="DE32" s="176">
        <v>20092.520693913859</v>
      </c>
      <c r="DF32" s="176">
        <v>20385.529068107775</v>
      </c>
      <c r="DG32" s="176">
        <v>20726.464303684395</v>
      </c>
      <c r="DH32" s="176">
        <v>21145.438668089766</v>
      </c>
      <c r="DI32" s="176">
        <v>21625.351383290457</v>
      </c>
      <c r="DJ32" s="176">
        <v>22155.552452759253</v>
      </c>
      <c r="DK32" s="176">
        <v>22728.755725861265</v>
      </c>
      <c r="DL32" s="176">
        <v>23339.576957251425</v>
      </c>
      <c r="DM32" s="176">
        <v>23983.789838968863</v>
      </c>
      <c r="DN32" s="176">
        <v>24657.922672439268</v>
      </c>
      <c r="DO32" s="176">
        <v>25359.026462845679</v>
      </c>
      <c r="DP32" s="176">
        <v>26084.53374331339</v>
      </c>
      <c r="DQ32" s="176">
        <v>26832.167653304561</v>
      </c>
      <c r="DR32" s="176">
        <v>27599.88009156525</v>
      </c>
      <c r="DS32" s="176">
        <v>28385.807450617911</v>
      </c>
      <c r="DT32" s="176">
        <v>29188.237488787534</v>
      </c>
      <c r="DU32" s="176">
        <v>30000</v>
      </c>
      <c r="DV32" s="176">
        <v>30000</v>
      </c>
      <c r="DW32" s="176">
        <v>30000</v>
      </c>
      <c r="DX32" s="176">
        <v>30000</v>
      </c>
      <c r="DY32" s="176">
        <v>30000</v>
      </c>
      <c r="DZ32" s="176">
        <v>30000</v>
      </c>
      <c r="EA32" s="176">
        <v>30000</v>
      </c>
      <c r="EB32" s="176">
        <v>30000</v>
      </c>
      <c r="EC32" s="176">
        <v>30000</v>
      </c>
      <c r="ED32" s="176">
        <v>30000</v>
      </c>
      <c r="EE32" s="176">
        <v>30000</v>
      </c>
      <c r="EF32" s="176">
        <v>30000</v>
      </c>
      <c r="EG32" s="176">
        <v>30000</v>
      </c>
      <c r="EH32" s="176">
        <v>30000</v>
      </c>
      <c r="EI32" s="176">
        <v>30000</v>
      </c>
      <c r="EJ32" s="176">
        <v>30000</v>
      </c>
      <c r="EK32" s="176">
        <v>30000</v>
      </c>
      <c r="EL32" s="176">
        <v>30000</v>
      </c>
      <c r="EM32" s="176">
        <v>30000</v>
      </c>
      <c r="EN32" s="176">
        <v>30000</v>
      </c>
      <c r="EO32" s="176">
        <v>30000</v>
      </c>
      <c r="EP32" t="str">
        <f t="shared" si="0"/>
        <v>6y 211d</v>
      </c>
      <c r="ES32" s="227"/>
      <c r="ET32" s="228"/>
      <c r="EU32" s="229"/>
      <c r="EV32" s="240"/>
      <c r="EW32" s="241"/>
      <c r="EX32" s="242"/>
    </row>
    <row r="33" spans="2:154" ht="15.75" thickBot="1" x14ac:dyDescent="0.3">
      <c r="B33" s="70">
        <v>30</v>
      </c>
      <c r="D33">
        <v>8985817.3145156819</v>
      </c>
      <c r="E33" s="12">
        <v>-119609863844.82588</v>
      </c>
      <c r="F33" s="12">
        <v>-90715257975.901276</v>
      </c>
      <c r="G33" s="12">
        <v>0</v>
      </c>
      <c r="H33" s="12">
        <v>245687698.00414026</v>
      </c>
      <c r="I33" s="12">
        <v>-1197560000964.1182</v>
      </c>
      <c r="J33" s="12">
        <v>696922620521.28113</v>
      </c>
      <c r="K33" s="12">
        <v>35461820831.869255</v>
      </c>
      <c r="L33" s="12">
        <v>3713231.3630570723</v>
      </c>
      <c r="M33" s="12">
        <v>134986315390.1246</v>
      </c>
      <c r="N33" s="12">
        <v>-73751275643.947311</v>
      </c>
      <c r="O33" s="12">
        <v>156343696.45460799</v>
      </c>
      <c r="P33" s="12">
        <v>3713231.3987688664</v>
      </c>
      <c r="Q33" s="12">
        <v>134986415815.76376</v>
      </c>
      <c r="R33" s="12">
        <v>-73751285346.359283</v>
      </c>
      <c r="S33" s="12">
        <v>0</v>
      </c>
      <c r="T33" s="12">
        <v>6444022.6330735404</v>
      </c>
      <c r="U33" s="12">
        <v>229993203300.47232</v>
      </c>
      <c r="V33" s="12">
        <v>266743882576.62878</v>
      </c>
      <c r="W33" s="12">
        <v>-62640564.909222282</v>
      </c>
      <c r="X33" s="12">
        <v>3488731.0097888699</v>
      </c>
      <c r="Y33" s="12">
        <v>160707699920.42328</v>
      </c>
      <c r="Z33" s="12">
        <v>-41011889746.623169</v>
      </c>
      <c r="AA33" s="12">
        <v>-5673581838.9761419</v>
      </c>
      <c r="AB33" s="12"/>
      <c r="AC33" s="12"/>
      <c r="AD33" s="12"/>
      <c r="AE33" s="12"/>
      <c r="AG33" s="70" t="s">
        <v>22</v>
      </c>
      <c r="AH33" s="70" t="s">
        <v>23</v>
      </c>
      <c r="AI33" s="70" t="s">
        <v>26</v>
      </c>
      <c r="AJ33" s="70" t="s">
        <v>22</v>
      </c>
      <c r="AK33" s="70" t="s">
        <v>23</v>
      </c>
      <c r="AL33" s="70" t="s">
        <v>26</v>
      </c>
      <c r="AS33" s="6">
        <v>212888194.81557015</v>
      </c>
      <c r="AT33" s="176">
        <v>30000</v>
      </c>
      <c r="AU33" s="176">
        <v>30000</v>
      </c>
      <c r="AV33" s="176">
        <v>30000</v>
      </c>
      <c r="AW33" s="176">
        <v>30000</v>
      </c>
      <c r="AX33" s="176">
        <v>30000</v>
      </c>
      <c r="AY33" s="176">
        <v>30000</v>
      </c>
      <c r="AZ33" s="176">
        <v>30000</v>
      </c>
      <c r="BA33" s="176">
        <v>30000</v>
      </c>
      <c r="BB33" s="176">
        <v>30000</v>
      </c>
      <c r="BC33" s="176">
        <v>30000</v>
      </c>
      <c r="BD33" s="176">
        <v>30000</v>
      </c>
      <c r="BE33" s="176">
        <v>30000</v>
      </c>
      <c r="BF33" s="176">
        <v>30000</v>
      </c>
      <c r="BG33" s="176">
        <v>30000</v>
      </c>
      <c r="BH33" s="176">
        <v>30000</v>
      </c>
      <c r="BI33" s="176">
        <v>30000</v>
      </c>
      <c r="BJ33" s="176">
        <v>30000</v>
      </c>
      <c r="BK33" s="176">
        <v>30000</v>
      </c>
      <c r="BL33" s="176">
        <v>30000</v>
      </c>
      <c r="BM33" s="176">
        <v>30000</v>
      </c>
      <c r="BN33" s="176">
        <v>30000</v>
      </c>
      <c r="BO33" s="176">
        <v>30000</v>
      </c>
      <c r="BP33" s="176">
        <v>30000</v>
      </c>
      <c r="BQ33" s="176">
        <v>30000</v>
      </c>
      <c r="BR33" s="176">
        <v>30000</v>
      </c>
      <c r="BS33" s="176">
        <v>30000</v>
      </c>
      <c r="BT33" s="176">
        <v>30000</v>
      </c>
      <c r="BU33" s="176">
        <v>30000</v>
      </c>
      <c r="BV33" s="176">
        <v>30000</v>
      </c>
      <c r="BW33" s="176">
        <v>30000</v>
      </c>
      <c r="BX33" s="176">
        <v>30000</v>
      </c>
      <c r="BY33" s="176">
        <v>30000</v>
      </c>
      <c r="BZ33" s="176">
        <v>30000</v>
      </c>
      <c r="CA33" s="176">
        <v>30000</v>
      </c>
      <c r="CB33" s="176">
        <v>29718.814683574074</v>
      </c>
      <c r="CC33" s="176">
        <v>28907.631751108751</v>
      </c>
      <c r="CD33" s="176">
        <v>28115.04497719491</v>
      </c>
      <c r="CE33" s="176">
        <v>27342.026505078487</v>
      </c>
      <c r="CF33" s="176">
        <v>26589.655259794359</v>
      </c>
      <c r="CG33" s="176">
        <v>25859.140439545135</v>
      </c>
      <c r="CH33" s="176">
        <v>25151.847862857394</v>
      </c>
      <c r="CI33" s="176">
        <v>24469.330132618608</v>
      </c>
      <c r="CJ33" s="176">
        <v>23813.362139846744</v>
      </c>
      <c r="CK33" s="176">
        <v>23185.984401339134</v>
      </c>
      <c r="CL33" s="176">
        <v>22589.55843557038</v>
      </c>
      <c r="CM33" s="176">
        <v>22026.841450197127</v>
      </c>
      <c r="CN33" s="176">
        <v>21501.093249877747</v>
      </c>
      <c r="CO33" s="176">
        <v>21016.238931689593</v>
      </c>
      <c r="CP33" s="176">
        <v>20577.131872958911</v>
      </c>
      <c r="CQ33" s="176">
        <v>20190.004630795731</v>
      </c>
      <c r="CR33" s="176">
        <v>19863.289320382915</v>
      </c>
      <c r="CS33" s="176">
        <v>19609.207770062701</v>
      </c>
      <c r="CT33" s="176">
        <v>19447.081959806223</v>
      </c>
      <c r="CU33" s="176">
        <v>19222.506108403835</v>
      </c>
      <c r="CV33" s="176">
        <v>19040.371200604273</v>
      </c>
      <c r="CW33" s="176">
        <v>18914.133314285402</v>
      </c>
      <c r="CX33" s="176">
        <v>18845.257099257895</v>
      </c>
      <c r="CY33" s="176">
        <v>18834.68677070209</v>
      </c>
      <c r="CZ33" s="176">
        <v>18882.794469278895</v>
      </c>
      <c r="DA33" s="176">
        <v>18989.359221551382</v>
      </c>
      <c r="DB33" s="176">
        <v>19153.57876476214</v>
      </c>
      <c r="DC33" s="176">
        <v>19374.112396711444</v>
      </c>
      <c r="DD33" s="176">
        <v>19649.149273879426</v>
      </c>
      <c r="DE33" s="176">
        <v>19976.494199297318</v>
      </c>
      <c r="DF33" s="176">
        <v>20353.661703028352</v>
      </c>
      <c r="DG33" s="176">
        <v>20638.913635416146</v>
      </c>
      <c r="DH33" s="176">
        <v>21008.574947112444</v>
      </c>
      <c r="DI33" s="176">
        <v>21451.868005163444</v>
      </c>
      <c r="DJ33" s="176">
        <v>21953.144944478649</v>
      </c>
      <c r="DK33" s="176">
        <v>22502.427356167809</v>
      </c>
      <c r="DL33" s="176">
        <v>23092.782569788822</v>
      </c>
      <c r="DM33" s="176">
        <v>23719.041313324931</v>
      </c>
      <c r="DN33" s="176">
        <v>24377.127694493654</v>
      </c>
      <c r="DO33" s="176">
        <v>25063.687630836084</v>
      </c>
      <c r="DP33" s="176">
        <v>25775.87097905104</v>
      </c>
      <c r="DQ33" s="176">
        <v>26511.196706795054</v>
      </c>
      <c r="DR33" s="176">
        <v>27267.464942609648</v>
      </c>
      <c r="DS33" s="176">
        <v>28042.696633106283</v>
      </c>
      <c r="DT33" s="176">
        <v>28835.090169659896</v>
      </c>
      <c r="DU33" s="176">
        <v>29642.988919607542</v>
      </c>
      <c r="DV33" s="176">
        <v>30000</v>
      </c>
      <c r="DW33" s="176">
        <v>30000</v>
      </c>
      <c r="DX33" s="176">
        <v>30000</v>
      </c>
      <c r="DY33" s="176">
        <v>30000</v>
      </c>
      <c r="DZ33" s="176">
        <v>30000</v>
      </c>
      <c r="EA33" s="176">
        <v>30000</v>
      </c>
      <c r="EB33" s="176">
        <v>30000</v>
      </c>
      <c r="EC33" s="176">
        <v>30000</v>
      </c>
      <c r="ED33" s="176">
        <v>30000</v>
      </c>
      <c r="EE33" s="176">
        <v>30000</v>
      </c>
      <c r="EF33" s="176">
        <v>30000</v>
      </c>
      <c r="EG33" s="176">
        <v>30000</v>
      </c>
      <c r="EH33" s="176">
        <v>30000</v>
      </c>
      <c r="EI33" s="176">
        <v>30000</v>
      </c>
      <c r="EJ33" s="176">
        <v>30000</v>
      </c>
      <c r="EK33" s="176">
        <v>30000</v>
      </c>
      <c r="EL33" s="176">
        <v>30000</v>
      </c>
      <c r="EM33" s="176">
        <v>30000</v>
      </c>
      <c r="EN33" s="176">
        <v>30000</v>
      </c>
      <c r="EO33" s="176">
        <v>30000</v>
      </c>
      <c r="EP33" t="str">
        <f t="shared" si="0"/>
        <v>6y 272d</v>
      </c>
      <c r="ES33" s="237"/>
      <c r="ET33" s="238"/>
      <c r="EU33" s="239"/>
      <c r="EV33" s="243"/>
      <c r="EW33" s="244"/>
      <c r="EX33" s="245"/>
    </row>
    <row r="34" spans="2:154" x14ac:dyDescent="0.25">
      <c r="B34" s="70">
        <v>31</v>
      </c>
      <c r="D34">
        <v>9304045.5315379929</v>
      </c>
      <c r="E34" s="12">
        <v>-113793715638.19861</v>
      </c>
      <c r="F34" s="12">
        <v>-98146609115.027344</v>
      </c>
      <c r="G34" s="12">
        <v>0</v>
      </c>
      <c r="H34" s="12">
        <v>254480694.41076896</v>
      </c>
      <c r="I34" s="12">
        <v>-1242527324625.9097</v>
      </c>
      <c r="J34" s="12">
        <v>622162018024.83008</v>
      </c>
      <c r="K34" s="12">
        <v>38551542614.446808</v>
      </c>
      <c r="L34" s="12">
        <v>3854391.0514077093</v>
      </c>
      <c r="M34" s="12">
        <v>138682615818.0574</v>
      </c>
      <c r="N34" s="12">
        <v>-69609277507.888062</v>
      </c>
      <c r="O34" s="12">
        <v>161068192.23554435</v>
      </c>
      <c r="P34" s="12">
        <v>3854391.0994745009</v>
      </c>
      <c r="Q34" s="12">
        <v>138682719777.78186</v>
      </c>
      <c r="R34" s="12">
        <v>-69609287378.160172</v>
      </c>
      <c r="S34" s="12">
        <v>0</v>
      </c>
      <c r="T34" s="12">
        <v>6780174.4808942946</v>
      </c>
      <c r="U34" s="12">
        <v>229514357045.77084</v>
      </c>
      <c r="V34" s="12">
        <v>274800736552.50739</v>
      </c>
      <c r="W34" s="12">
        <v>-65711867.302771375</v>
      </c>
      <c r="X34" s="12">
        <v>3636831.6545851827</v>
      </c>
      <c r="Y34" s="12">
        <v>163806662927.96774</v>
      </c>
      <c r="Z34" s="12">
        <v>-36377914054.936096</v>
      </c>
      <c r="AA34" s="12">
        <v>-5877485556.4677992</v>
      </c>
      <c r="AB34" s="12"/>
      <c r="AC34" s="12"/>
      <c r="AD34" s="12"/>
      <c r="AE34" s="12"/>
      <c r="AG34" s="27">
        <v>0</v>
      </c>
      <c r="AH34" s="27">
        <v>0</v>
      </c>
      <c r="AI34" s="27">
        <v>0</v>
      </c>
      <c r="AJ34" s="27">
        <v>6135696.666666667</v>
      </c>
      <c r="AK34" s="69">
        <v>0</v>
      </c>
      <c r="AL34" s="69">
        <v>0</v>
      </c>
      <c r="AS34" s="6">
        <v>218154960.05189285</v>
      </c>
      <c r="AT34" s="176">
        <v>30000</v>
      </c>
      <c r="AU34" s="176">
        <v>30000</v>
      </c>
      <c r="AV34" s="176">
        <v>30000</v>
      </c>
      <c r="AW34" s="176">
        <v>30000</v>
      </c>
      <c r="AX34" s="176">
        <v>30000</v>
      </c>
      <c r="AY34" s="176">
        <v>30000</v>
      </c>
      <c r="AZ34" s="176">
        <v>30000</v>
      </c>
      <c r="BA34" s="176">
        <v>30000</v>
      </c>
      <c r="BB34" s="176">
        <v>30000</v>
      </c>
      <c r="BC34" s="176">
        <v>30000</v>
      </c>
      <c r="BD34" s="176">
        <v>30000</v>
      </c>
      <c r="BE34" s="176">
        <v>30000</v>
      </c>
      <c r="BF34" s="176">
        <v>30000</v>
      </c>
      <c r="BG34" s="176">
        <v>30000</v>
      </c>
      <c r="BH34" s="176">
        <v>30000</v>
      </c>
      <c r="BI34" s="176">
        <v>30000</v>
      </c>
      <c r="BJ34" s="176">
        <v>30000</v>
      </c>
      <c r="BK34" s="176">
        <v>30000</v>
      </c>
      <c r="BL34" s="176">
        <v>30000</v>
      </c>
      <c r="BM34" s="176">
        <v>30000</v>
      </c>
      <c r="BN34" s="176">
        <v>30000</v>
      </c>
      <c r="BO34" s="176">
        <v>30000</v>
      </c>
      <c r="BP34" s="176">
        <v>30000</v>
      </c>
      <c r="BQ34" s="176">
        <v>30000</v>
      </c>
      <c r="BR34" s="176">
        <v>30000</v>
      </c>
      <c r="BS34" s="176">
        <v>30000</v>
      </c>
      <c r="BT34" s="176">
        <v>30000</v>
      </c>
      <c r="BU34" s="176">
        <v>30000</v>
      </c>
      <c r="BV34" s="176">
        <v>30000</v>
      </c>
      <c r="BW34" s="176">
        <v>30000</v>
      </c>
      <c r="BX34" s="176">
        <v>30000</v>
      </c>
      <c r="BY34" s="176">
        <v>30000</v>
      </c>
      <c r="BZ34" s="176">
        <v>30000</v>
      </c>
      <c r="CA34" s="176">
        <v>30000</v>
      </c>
      <c r="CB34" s="176">
        <v>30000</v>
      </c>
      <c r="CC34" s="176">
        <v>29326.842970963993</v>
      </c>
      <c r="CD34" s="176">
        <v>28521.900561409675</v>
      </c>
      <c r="CE34" s="176">
        <v>27736.292937064052</v>
      </c>
      <c r="CF34" s="176">
        <v>26971.065650152832</v>
      </c>
      <c r="CG34" s="176">
        <v>26227.38529684204</v>
      </c>
      <c r="CH34" s="176">
        <v>25506.565244815982</v>
      </c>
      <c r="CI34" s="176">
        <v>24810.094922041608</v>
      </c>
      <c r="CJ34" s="176">
        <v>24139.673980460833</v>
      </c>
      <c r="CK34" s="176">
        <v>23497.253431727979</v>
      </c>
      <c r="CL34" s="176">
        <v>22885.08720212031</v>
      </c>
      <c r="CM34" s="176">
        <v>22305.799923607534</v>
      </c>
      <c r="CN34" s="176">
        <v>21762.4810261764</v>
      </c>
      <c r="CO34" s="176">
        <v>21258.82301547068</v>
      </c>
      <c r="CP34" s="176">
        <v>20799.336705664762</v>
      </c>
      <c r="CQ34" s="176">
        <v>20389.705748108478</v>
      </c>
      <c r="CR34" s="176">
        <v>20037.404633044025</v>
      </c>
      <c r="CS34" s="176">
        <v>19752.841636060461</v>
      </c>
      <c r="CT34" s="176">
        <v>19551.614723208815</v>
      </c>
      <c r="CU34" s="176">
        <v>19362.934643074957</v>
      </c>
      <c r="CV34" s="176">
        <v>19156.142791667691</v>
      </c>
      <c r="CW34" s="176">
        <v>19004.636628945787</v>
      </c>
      <c r="CX34" s="176">
        <v>18910.061693777327</v>
      </c>
      <c r="CY34" s="176">
        <v>18873.571153772205</v>
      </c>
      <c r="CZ34" s="176">
        <v>18895.763200083344</v>
      </c>
      <c r="DA34" s="176">
        <v>18976.647057607464</v>
      </c>
      <c r="DB34" s="176">
        <v>19115.641359846071</v>
      </c>
      <c r="DC34" s="176">
        <v>19311.605122835852</v>
      </c>
      <c r="DD34" s="176">
        <v>19562.896510608913</v>
      </c>
      <c r="DE34" s="176">
        <v>19867.452835523825</v>
      </c>
      <c r="DF34" s="176">
        <v>20222.882569124431</v>
      </c>
      <c r="DG34" s="176">
        <v>20597.306759079882</v>
      </c>
      <c r="DH34" s="176">
        <v>20901.488125490254</v>
      </c>
      <c r="DI34" s="176">
        <v>21298.94932011007</v>
      </c>
      <c r="DJ34" s="176">
        <v>21765.691888778216</v>
      </c>
      <c r="DK34" s="176">
        <v>22287.444416922288</v>
      </c>
      <c r="DL34" s="176">
        <v>22854.904914383951</v>
      </c>
      <c r="DM34" s="176">
        <v>23461.514275830261</v>
      </c>
      <c r="DN34" s="176">
        <v>24102.33634721057</v>
      </c>
      <c r="DO34" s="176">
        <v>24773.458412306078</v>
      </c>
      <c r="DP34" s="176">
        <v>25471.651706053141</v>
      </c>
      <c r="DQ34" s="176">
        <v>26194.16873505375</v>
      </c>
      <c r="DR34" s="176">
        <v>26938.615939590582</v>
      </c>
      <c r="DS34" s="176">
        <v>27702.869639341228</v>
      </c>
      <c r="DT34" s="176">
        <v>28485.017887809539</v>
      </c>
      <c r="DU34" s="176">
        <v>29283.318490692356</v>
      </c>
      <c r="DV34" s="176">
        <v>30000</v>
      </c>
      <c r="DW34" s="176">
        <v>30000</v>
      </c>
      <c r="DX34" s="176">
        <v>30000</v>
      </c>
      <c r="DY34" s="176">
        <v>30000</v>
      </c>
      <c r="DZ34" s="176">
        <v>30000</v>
      </c>
      <c r="EA34" s="176">
        <v>30000</v>
      </c>
      <c r="EB34" s="176">
        <v>30000</v>
      </c>
      <c r="EC34" s="176">
        <v>30000</v>
      </c>
      <c r="ED34" s="176">
        <v>30000</v>
      </c>
      <c r="EE34" s="176">
        <v>30000</v>
      </c>
      <c r="EF34" s="176">
        <v>30000</v>
      </c>
      <c r="EG34" s="176">
        <v>30000</v>
      </c>
      <c r="EH34" s="176">
        <v>30000</v>
      </c>
      <c r="EI34" s="176">
        <v>30000</v>
      </c>
      <c r="EJ34" s="176">
        <v>30000</v>
      </c>
      <c r="EK34" s="176">
        <v>30000</v>
      </c>
      <c r="EL34" s="176">
        <v>30000</v>
      </c>
      <c r="EM34" s="176">
        <v>30000</v>
      </c>
      <c r="EN34" s="176">
        <v>30000</v>
      </c>
      <c r="EO34" s="176">
        <v>30000</v>
      </c>
      <c r="EP34" t="str">
        <f t="shared" si="0"/>
        <v>6y 333d</v>
      </c>
      <c r="ES34" s="246" t="s">
        <v>108</v>
      </c>
      <c r="ET34" s="247"/>
      <c r="EU34" s="247"/>
      <c r="EV34" s="247"/>
      <c r="EW34" s="247"/>
      <c r="EX34" s="248"/>
    </row>
    <row r="35" spans="2:154" x14ac:dyDescent="0.25">
      <c r="B35" s="70">
        <v>32</v>
      </c>
      <c r="D35">
        <v>9622917.674218988</v>
      </c>
      <c r="E35" s="12">
        <v>-107514108415.91696</v>
      </c>
      <c r="F35" s="12">
        <v>-105203408109.46962</v>
      </c>
      <c r="G35" s="12">
        <v>0</v>
      </c>
      <c r="H35" s="12">
        <v>263326627.41595665</v>
      </c>
      <c r="I35" s="12">
        <v>-1282980228684.5425</v>
      </c>
      <c r="J35" s="12">
        <v>544555493050.93695</v>
      </c>
      <c r="K35" s="12">
        <v>41511395129.323471</v>
      </c>
      <c r="L35" s="12">
        <v>3998126.1171837342</v>
      </c>
      <c r="M35" s="12">
        <v>142345564381.87643</v>
      </c>
      <c r="N35" s="12">
        <v>-65341128500.396973</v>
      </c>
      <c r="O35" s="12">
        <v>165761825.60573032</v>
      </c>
      <c r="P35" s="12">
        <v>3998126.1783809545</v>
      </c>
      <c r="Q35" s="12">
        <v>142345671887.57312</v>
      </c>
      <c r="R35" s="12">
        <v>-65341138522.577515</v>
      </c>
      <c r="S35" s="12">
        <v>0</v>
      </c>
      <c r="T35" s="12">
        <v>7127617.0316681992</v>
      </c>
      <c r="U35" s="12">
        <v>228940676341.14328</v>
      </c>
      <c r="V35" s="12">
        <v>283033907119.06427</v>
      </c>
      <c r="W35" s="12">
        <v>-68863778.796464846</v>
      </c>
      <c r="X35" s="12">
        <v>3788499.3641578234</v>
      </c>
      <c r="Y35" s="12">
        <v>166875930672.87665</v>
      </c>
      <c r="Z35" s="12">
        <v>-31609163402.833675</v>
      </c>
      <c r="AA35" s="12">
        <v>-6082556652.975728</v>
      </c>
      <c r="AB35" s="12"/>
      <c r="AC35" s="12"/>
      <c r="AD35" s="12"/>
      <c r="AE35" s="12"/>
      <c r="AG35" s="27">
        <v>4421216844.8280573</v>
      </c>
      <c r="AH35" s="27">
        <v>-3574788162.1737466</v>
      </c>
      <c r="AI35" s="27">
        <v>0</v>
      </c>
      <c r="AJ35">
        <v>11624649282.495951</v>
      </c>
      <c r="AK35" s="69">
        <v>-7058553962.93647</v>
      </c>
      <c r="AL35" s="69">
        <v>0</v>
      </c>
      <c r="AS35" s="6">
        <v>223421725.28821555</v>
      </c>
      <c r="AT35" s="176">
        <v>30000</v>
      </c>
      <c r="AU35" s="176">
        <v>30000</v>
      </c>
      <c r="AV35" s="176">
        <v>30000</v>
      </c>
      <c r="AW35" s="176">
        <v>30000</v>
      </c>
      <c r="AX35" s="176">
        <v>30000</v>
      </c>
      <c r="AY35" s="176">
        <v>30000</v>
      </c>
      <c r="AZ35" s="176">
        <v>30000</v>
      </c>
      <c r="BA35" s="176">
        <v>30000</v>
      </c>
      <c r="BB35" s="176">
        <v>30000</v>
      </c>
      <c r="BC35" s="176">
        <v>30000</v>
      </c>
      <c r="BD35" s="176">
        <v>30000</v>
      </c>
      <c r="BE35" s="176">
        <v>30000</v>
      </c>
      <c r="BF35" s="176">
        <v>30000</v>
      </c>
      <c r="BG35" s="176">
        <v>30000</v>
      </c>
      <c r="BH35" s="176">
        <v>30000</v>
      </c>
      <c r="BI35" s="176">
        <v>30000</v>
      </c>
      <c r="BJ35" s="176">
        <v>30000</v>
      </c>
      <c r="BK35" s="176">
        <v>30000</v>
      </c>
      <c r="BL35" s="176">
        <v>30000</v>
      </c>
      <c r="BM35" s="176">
        <v>30000</v>
      </c>
      <c r="BN35" s="176">
        <v>30000</v>
      </c>
      <c r="BO35" s="176">
        <v>30000</v>
      </c>
      <c r="BP35" s="176">
        <v>30000</v>
      </c>
      <c r="BQ35" s="176">
        <v>30000</v>
      </c>
      <c r="BR35" s="176">
        <v>30000</v>
      </c>
      <c r="BS35" s="176">
        <v>30000</v>
      </c>
      <c r="BT35" s="176">
        <v>30000</v>
      </c>
      <c r="BU35" s="176">
        <v>30000</v>
      </c>
      <c r="BV35" s="176">
        <v>30000</v>
      </c>
      <c r="BW35" s="176">
        <v>30000</v>
      </c>
      <c r="BX35" s="176">
        <v>30000</v>
      </c>
      <c r="BY35" s="176">
        <v>30000</v>
      </c>
      <c r="BZ35" s="176">
        <v>30000</v>
      </c>
      <c r="CA35" s="176">
        <v>30000</v>
      </c>
      <c r="CB35" s="176">
        <v>30000</v>
      </c>
      <c r="CC35" s="176">
        <v>29758.918690213603</v>
      </c>
      <c r="CD35" s="176">
        <v>28941.683205908867</v>
      </c>
      <c r="CE35" s="176">
        <v>28143.532482111485</v>
      </c>
      <c r="CF35" s="176">
        <v>27365.48128925023</v>
      </c>
      <c r="CG35" s="176">
        <v>26608.656024476059</v>
      </c>
      <c r="CH35" s="176">
        <v>25874.31977039203</v>
      </c>
      <c r="CI35" s="176">
        <v>25163.900671272335</v>
      </c>
      <c r="CJ35" s="176">
        <v>24479.024762229703</v>
      </c>
      <c r="CK35" s="176">
        <v>23821.555020469154</v>
      </c>
      <c r="CL35" s="176">
        <v>23193.639477016004</v>
      </c>
      <c r="CM35" s="176">
        <v>22597.77306524993</v>
      </c>
      <c r="CN35" s="176">
        <v>22036.881104085565</v>
      </c>
      <c r="CO35" s="176">
        <v>21514.438095494246</v>
      </c>
      <c r="CP35" s="176">
        <v>21034.646211909167</v>
      </c>
      <c r="CQ35" s="176">
        <v>20602.718409539768</v>
      </c>
      <c r="CR35" s="176">
        <v>20225.352527972362</v>
      </c>
      <c r="CS35" s="176">
        <v>19911.5709160427</v>
      </c>
      <c r="CT35" s="176">
        <v>19674.299928161789</v>
      </c>
      <c r="CU35" s="176">
        <v>19515.949749474181</v>
      </c>
      <c r="CV35" s="176">
        <v>19284.333437131536</v>
      </c>
      <c r="CW35" s="176">
        <v>19107.318437539281</v>
      </c>
      <c r="CX35" s="176">
        <v>18986.72271549952</v>
      </c>
      <c r="CY35" s="176">
        <v>18923.904087232066</v>
      </c>
      <c r="CZ35" s="176">
        <v>18919.687584867752</v>
      </c>
      <c r="DA35" s="176">
        <v>18974.318810258377</v>
      </c>
      <c r="DB35" s="176">
        <v>19087.448669356741</v>
      </c>
      <c r="DC35" s="176">
        <v>19258.151068033236</v>
      </c>
      <c r="DD35" s="176">
        <v>19484.971022723254</v>
      </c>
      <c r="DE35" s="176">
        <v>19765.997077756769</v>
      </c>
      <c r="DF35" s="176">
        <v>20098.949660028768</v>
      </c>
      <c r="DG35" s="176">
        <v>20481.27631620536</v>
      </c>
      <c r="DH35" s="176">
        <v>20834.930237950124</v>
      </c>
      <c r="DI35" s="176">
        <v>21172.86535068493</v>
      </c>
      <c r="DJ35" s="176">
        <v>21597.089229557041</v>
      </c>
      <c r="DK35" s="176">
        <v>22086.362362368003</v>
      </c>
      <c r="DL35" s="176">
        <v>22627.699517387915</v>
      </c>
      <c r="DM35" s="176">
        <v>23212.462711321139</v>
      </c>
      <c r="DN35" s="176">
        <v>23834.473574180483</v>
      </c>
      <c r="DO35" s="176">
        <v>24489.03856069914</v>
      </c>
      <c r="DP35" s="176">
        <v>25172.415326313654</v>
      </c>
      <c r="DQ35" s="176">
        <v>25881.504641754935</v>
      </c>
      <c r="DR35" s="176">
        <v>26613.663355338358</v>
      </c>
      <c r="DS35" s="176">
        <v>27366.585217677159</v>
      </c>
      <c r="DT35" s="176">
        <v>28138.221336699655</v>
      </c>
      <c r="DU35" s="176">
        <v>28926.72471590641</v>
      </c>
      <c r="DV35" s="176">
        <v>29730.410025642341</v>
      </c>
      <c r="DW35" s="176">
        <v>30000</v>
      </c>
      <c r="DX35" s="176">
        <v>30000</v>
      </c>
      <c r="DY35" s="176">
        <v>30000</v>
      </c>
      <c r="DZ35" s="176">
        <v>30000</v>
      </c>
      <c r="EA35" s="176">
        <v>30000</v>
      </c>
      <c r="EB35" s="176">
        <v>30000</v>
      </c>
      <c r="EC35" s="176">
        <v>30000</v>
      </c>
      <c r="ED35" s="176">
        <v>30000</v>
      </c>
      <c r="EE35" s="176">
        <v>30000</v>
      </c>
      <c r="EF35" s="176">
        <v>30000</v>
      </c>
      <c r="EG35" s="176">
        <v>30000</v>
      </c>
      <c r="EH35" s="176">
        <v>30000</v>
      </c>
      <c r="EI35" s="176">
        <v>30000</v>
      </c>
      <c r="EJ35" s="176">
        <v>30000</v>
      </c>
      <c r="EK35" s="176">
        <v>30000</v>
      </c>
      <c r="EL35" s="176">
        <v>30000</v>
      </c>
      <c r="EM35" s="176">
        <v>30000</v>
      </c>
      <c r="EN35" s="176">
        <v>30000</v>
      </c>
      <c r="EO35" s="176">
        <v>30000</v>
      </c>
      <c r="EP35" t="str">
        <f t="shared" si="0"/>
        <v>7y 29d</v>
      </c>
      <c r="ES35" s="249"/>
      <c r="ET35" s="250"/>
      <c r="EU35" s="250"/>
      <c r="EV35" s="250"/>
      <c r="EW35" s="250"/>
      <c r="EX35" s="251"/>
    </row>
    <row r="36" spans="2:154" x14ac:dyDescent="0.25">
      <c r="B36" s="70">
        <v>33</v>
      </c>
      <c r="D36">
        <v>9942422.3372288905</v>
      </c>
      <c r="E36" s="12">
        <v>-100794862979.19571</v>
      </c>
      <c r="F36" s="12">
        <v>-111856195563.75824</v>
      </c>
      <c r="G36" s="12">
        <v>0</v>
      </c>
      <c r="H36" s="12">
        <v>272227786.9440155</v>
      </c>
      <c r="I36" s="12">
        <v>-1318729113510.3203</v>
      </c>
      <c r="J36" s="12">
        <v>464360852867.40393</v>
      </c>
      <c r="K36" s="12">
        <v>44329351020.949738</v>
      </c>
      <c r="L36" s="12">
        <v>4144652.9671695665</v>
      </c>
      <c r="M36" s="12">
        <v>145975177822.29572</v>
      </c>
      <c r="N36" s="12">
        <v>-60942125658.737587</v>
      </c>
      <c r="O36" s="12">
        <v>170424955.02910972</v>
      </c>
      <c r="P36" s="12">
        <v>4144653.0422947807</v>
      </c>
      <c r="Q36" s="12">
        <v>145975288886.43991</v>
      </c>
      <c r="R36" s="12">
        <v>-60942135816.298363</v>
      </c>
      <c r="S36" s="12">
        <v>0</v>
      </c>
      <c r="T36" s="12">
        <v>7486860.477812483</v>
      </c>
      <c r="U36" s="12">
        <v>228267626428.1778</v>
      </c>
      <c r="V36" s="12">
        <v>291447949863.92621</v>
      </c>
      <c r="W36" s="12">
        <v>-72098713.168296769</v>
      </c>
      <c r="X36" s="12">
        <v>3943974.0934933848</v>
      </c>
      <c r="Y36" s="12">
        <v>169914597784.71741</v>
      </c>
      <c r="Z36" s="12">
        <v>-26700329953.094574</v>
      </c>
      <c r="AA36" s="12">
        <v>-6288851601.7740374</v>
      </c>
      <c r="AB36" s="12"/>
      <c r="AC36" s="12"/>
      <c r="AD36" s="12"/>
      <c r="AE36" s="12"/>
      <c r="AG36" s="208" t="s">
        <v>64</v>
      </c>
      <c r="AH36" s="208"/>
      <c r="AI36" s="208"/>
      <c r="AJ36" s="208" t="s">
        <v>75</v>
      </c>
      <c r="AK36" s="208"/>
      <c r="AL36" s="208"/>
      <c r="AS36" s="6">
        <v>228688490.52453825</v>
      </c>
      <c r="AT36" s="176">
        <v>30000</v>
      </c>
      <c r="AU36" s="176">
        <v>30000</v>
      </c>
      <c r="AV36" s="176">
        <v>30000</v>
      </c>
      <c r="AW36" s="176">
        <v>30000</v>
      </c>
      <c r="AX36" s="176">
        <v>30000</v>
      </c>
      <c r="AY36" s="176">
        <v>30000</v>
      </c>
      <c r="AZ36" s="176">
        <v>30000</v>
      </c>
      <c r="BA36" s="176">
        <v>30000</v>
      </c>
      <c r="BB36" s="176">
        <v>30000</v>
      </c>
      <c r="BC36" s="176">
        <v>30000</v>
      </c>
      <c r="BD36" s="176">
        <v>30000</v>
      </c>
      <c r="BE36" s="176">
        <v>30000</v>
      </c>
      <c r="BF36" s="176">
        <v>30000</v>
      </c>
      <c r="BG36" s="176">
        <v>30000</v>
      </c>
      <c r="BH36" s="176">
        <v>30000</v>
      </c>
      <c r="BI36" s="176">
        <v>30000</v>
      </c>
      <c r="BJ36" s="176">
        <v>30000</v>
      </c>
      <c r="BK36" s="176">
        <v>30000</v>
      </c>
      <c r="BL36" s="176">
        <v>30000</v>
      </c>
      <c r="BM36" s="176">
        <v>30000</v>
      </c>
      <c r="BN36" s="176">
        <v>30000</v>
      </c>
      <c r="BO36" s="176">
        <v>30000</v>
      </c>
      <c r="BP36" s="176">
        <v>30000</v>
      </c>
      <c r="BQ36" s="176">
        <v>30000</v>
      </c>
      <c r="BR36" s="176">
        <v>30000</v>
      </c>
      <c r="BS36" s="176">
        <v>30000</v>
      </c>
      <c r="BT36" s="176">
        <v>30000</v>
      </c>
      <c r="BU36" s="176">
        <v>30000</v>
      </c>
      <c r="BV36" s="176">
        <v>30000</v>
      </c>
      <c r="BW36" s="176">
        <v>30000</v>
      </c>
      <c r="BX36" s="176">
        <v>30000</v>
      </c>
      <c r="BY36" s="176">
        <v>30000</v>
      </c>
      <c r="BZ36" s="176">
        <v>30000</v>
      </c>
      <c r="CA36" s="176">
        <v>30000</v>
      </c>
      <c r="CB36" s="176">
        <v>30000</v>
      </c>
      <c r="CC36" s="176">
        <v>30000</v>
      </c>
      <c r="CD36" s="176">
        <v>29373.708532703771</v>
      </c>
      <c r="CE36" s="176">
        <v>28563.090086150536</v>
      </c>
      <c r="CF36" s="176">
        <v>27772.277392553253</v>
      </c>
      <c r="CG36" s="176">
        <v>27002.359409746616</v>
      </c>
      <c r="CH36" s="176">
        <v>26254.551550334232</v>
      </c>
      <c r="CI36" s="176">
        <v>25530.223128348091</v>
      </c>
      <c r="CJ36" s="176">
        <v>24830.928878338331</v>
      </c>
      <c r="CK36" s="176">
        <v>24158.446045472818</v>
      </c>
      <c r="CL36" s="176">
        <v>23514.819395839397</v>
      </c>
      <c r="CM36" s="176">
        <v>22902.417928882227</v>
      </c>
      <c r="CN36" s="176">
        <v>22324.009532507476</v>
      </c>
      <c r="CO36" s="176">
        <v>21782.864131838418</v>
      </c>
      <c r="CP36" s="176">
        <v>21282.903647480649</v>
      </c>
      <c r="CQ36" s="176">
        <v>20828.931559829172</v>
      </c>
      <c r="CR36" s="176">
        <v>20427.003071988052</v>
      </c>
      <c r="CS36" s="176">
        <v>20085.054643415955</v>
      </c>
      <c r="CT36" s="176">
        <v>19814.037117458458</v>
      </c>
      <c r="CU36" s="176">
        <v>19630.087095668008</v>
      </c>
      <c r="CV36" s="176">
        <v>19425.092533189465</v>
      </c>
      <c r="CW36" s="176">
        <v>19222.404025098418</v>
      </c>
      <c r="CX36" s="176">
        <v>19075.540529785234</v>
      </c>
      <c r="CY36" s="176">
        <v>18986.057510598584</v>
      </c>
      <c r="CZ36" s="176">
        <v>18955.004808669008</v>
      </c>
      <c r="DA36" s="176">
        <v>18982.868014156506</v>
      </c>
      <c r="DB36" s="176">
        <v>19069.539407997956</v>
      </c>
      <c r="DC36" s="176">
        <v>19214.321786416414</v>
      </c>
      <c r="DD36" s="176">
        <v>19415.9643589839</v>
      </c>
      <c r="DE36" s="176">
        <v>19672.725998007616</v>
      </c>
      <c r="DF36" s="176">
        <v>19982.45821749985</v>
      </c>
      <c r="DG36" s="176">
        <v>20342.698894269204</v>
      </c>
      <c r="DH36" s="176">
        <v>20750.767939089386</v>
      </c>
      <c r="DI36" s="176">
        <v>21082.580929219908</v>
      </c>
      <c r="DJ36" s="176">
        <v>21452.674805862596</v>
      </c>
      <c r="DK36" s="176">
        <v>21902.553670850375</v>
      </c>
      <c r="DL36" s="176">
        <v>22413.408652952967</v>
      </c>
      <c r="DM36" s="176">
        <v>22973.444128798816</v>
      </c>
      <c r="DN36" s="176">
        <v>23574.661962404702</v>
      </c>
      <c r="DO36" s="176">
        <v>24211.262127508588</v>
      </c>
      <c r="DP36" s="176">
        <v>24878.796510671273</v>
      </c>
      <c r="DQ36" s="176">
        <v>25573.695953503353</v>
      </c>
      <c r="DR36" s="176">
        <v>26292.99221123771</v>
      </c>
      <c r="DS36" s="176">
        <v>27034.146489848259</v>
      </c>
      <c r="DT36" s="176">
        <v>27794.938743877821</v>
      </c>
      <c r="DU36" s="176">
        <v>28573.393007703187</v>
      </c>
      <c r="DV36" s="176">
        <v>29367.724937245537</v>
      </c>
      <c r="DW36" s="176">
        <v>30000</v>
      </c>
      <c r="DX36" s="176">
        <v>30000</v>
      </c>
      <c r="DY36" s="176">
        <v>30000</v>
      </c>
      <c r="DZ36" s="176">
        <v>30000</v>
      </c>
      <c r="EA36" s="176">
        <v>30000</v>
      </c>
      <c r="EB36" s="176">
        <v>30000</v>
      </c>
      <c r="EC36" s="176">
        <v>30000</v>
      </c>
      <c r="ED36" s="176">
        <v>30000</v>
      </c>
      <c r="EE36" s="176">
        <v>30000</v>
      </c>
      <c r="EF36" s="176">
        <v>30000</v>
      </c>
      <c r="EG36" s="176">
        <v>30000</v>
      </c>
      <c r="EH36" s="176">
        <v>30000</v>
      </c>
      <c r="EI36" s="176">
        <v>30000</v>
      </c>
      <c r="EJ36" s="176">
        <v>30000</v>
      </c>
      <c r="EK36" s="176">
        <v>30000</v>
      </c>
      <c r="EL36" s="176">
        <v>30000</v>
      </c>
      <c r="EM36" s="176">
        <v>30000</v>
      </c>
      <c r="EN36" s="176">
        <v>30000</v>
      </c>
      <c r="EO36" s="176">
        <v>30000</v>
      </c>
      <c r="EP36" t="str">
        <f t="shared" si="0"/>
        <v>7y 90d</v>
      </c>
      <c r="ES36" s="249"/>
      <c r="ET36" s="250"/>
      <c r="EU36" s="250"/>
      <c r="EV36" s="250"/>
      <c r="EW36" s="250"/>
      <c r="EX36" s="251"/>
    </row>
    <row r="37" spans="2:154" x14ac:dyDescent="0.25">
      <c r="B37" s="70">
        <v>34</v>
      </c>
      <c r="D37">
        <v>10262545.496504668</v>
      </c>
      <c r="E37" s="12">
        <v>-93661744205.309708</v>
      </c>
      <c r="F37" s="12">
        <v>-118076994694.20421</v>
      </c>
      <c r="G37" s="12">
        <v>0</v>
      </c>
      <c r="H37" s="12">
        <v>281186298.7133227</v>
      </c>
      <c r="I37" s="12">
        <v>-1349597042925.5747</v>
      </c>
      <c r="J37" s="12">
        <v>381849865757.60913</v>
      </c>
      <c r="K37" s="12">
        <v>46993643098.573601</v>
      </c>
      <c r="L37" s="12">
        <v>4294199.9867696911</v>
      </c>
      <c r="M37" s="12">
        <v>149571328376.09515</v>
      </c>
      <c r="N37" s="12">
        <v>-56407256224.631699</v>
      </c>
      <c r="O37" s="12">
        <v>175057788.2135604</v>
      </c>
      <c r="P37" s="12">
        <v>4294200.076645284</v>
      </c>
      <c r="Q37" s="12">
        <v>149571443011.72128</v>
      </c>
      <c r="R37" s="12">
        <v>-56407266500.437035</v>
      </c>
      <c r="S37" s="12">
        <v>0</v>
      </c>
      <c r="T37" s="12">
        <v>7858441.3639755435</v>
      </c>
      <c r="U37" s="12">
        <v>227490449386.6795</v>
      </c>
      <c r="V37" s="12">
        <v>300047509791.07556</v>
      </c>
      <c r="W37" s="12">
        <v>-75419152.878700733</v>
      </c>
      <c r="X37" s="12">
        <v>4103510.8853000295</v>
      </c>
      <c r="Y37" s="12">
        <v>172921602659.47681</v>
      </c>
      <c r="Z37" s="12">
        <v>-21645801055.074562</v>
      </c>
      <c r="AA37" s="12">
        <v>-6496425975.7441683</v>
      </c>
      <c r="AB37" s="12"/>
      <c r="AC37" s="12"/>
      <c r="AD37" s="12"/>
      <c r="AE37" s="12"/>
      <c r="AG37" s="70" t="s">
        <v>22</v>
      </c>
      <c r="AH37" s="70" t="s">
        <v>23</v>
      </c>
      <c r="AI37" s="70" t="s">
        <v>26</v>
      </c>
      <c r="AJ37" s="70" t="s">
        <v>22</v>
      </c>
      <c r="AK37" s="70" t="s">
        <v>23</v>
      </c>
      <c r="AL37" s="70" t="s">
        <v>26</v>
      </c>
      <c r="AS37" s="6">
        <v>233955255.76086095</v>
      </c>
      <c r="AT37" s="176">
        <v>30000</v>
      </c>
      <c r="AU37" s="176">
        <v>30000</v>
      </c>
      <c r="AV37" s="176">
        <v>30000</v>
      </c>
      <c r="AW37" s="176">
        <v>30000</v>
      </c>
      <c r="AX37" s="176">
        <v>30000</v>
      </c>
      <c r="AY37" s="176">
        <v>30000</v>
      </c>
      <c r="AZ37" s="176">
        <v>30000</v>
      </c>
      <c r="BA37" s="176">
        <v>30000</v>
      </c>
      <c r="BB37" s="176">
        <v>30000</v>
      </c>
      <c r="BC37" s="176">
        <v>30000</v>
      </c>
      <c r="BD37" s="176">
        <v>30000</v>
      </c>
      <c r="BE37" s="176">
        <v>30000</v>
      </c>
      <c r="BF37" s="176">
        <v>30000</v>
      </c>
      <c r="BG37" s="176">
        <v>30000</v>
      </c>
      <c r="BH37" s="176">
        <v>30000</v>
      </c>
      <c r="BI37" s="176">
        <v>30000</v>
      </c>
      <c r="BJ37" s="176">
        <v>30000</v>
      </c>
      <c r="BK37" s="176">
        <v>30000</v>
      </c>
      <c r="BL37" s="176">
        <v>30000</v>
      </c>
      <c r="BM37" s="176">
        <v>30000</v>
      </c>
      <c r="BN37" s="176">
        <v>30000</v>
      </c>
      <c r="BO37" s="176">
        <v>30000</v>
      </c>
      <c r="BP37" s="176">
        <v>30000</v>
      </c>
      <c r="BQ37" s="176">
        <v>30000</v>
      </c>
      <c r="BR37" s="176">
        <v>30000</v>
      </c>
      <c r="BS37" s="176">
        <v>30000</v>
      </c>
      <c r="BT37" s="176">
        <v>30000</v>
      </c>
      <c r="BU37" s="176">
        <v>30000</v>
      </c>
      <c r="BV37" s="176">
        <v>30000</v>
      </c>
      <c r="BW37" s="176">
        <v>30000</v>
      </c>
      <c r="BX37" s="176">
        <v>30000</v>
      </c>
      <c r="BY37" s="176">
        <v>30000</v>
      </c>
      <c r="BZ37" s="176">
        <v>30000</v>
      </c>
      <c r="CA37" s="176">
        <v>30000</v>
      </c>
      <c r="CB37" s="176">
        <v>30000</v>
      </c>
      <c r="CC37" s="176">
        <v>30000</v>
      </c>
      <c r="CD37" s="176">
        <v>29817.329094942583</v>
      </c>
      <c r="CE37" s="176">
        <v>28994.345619973174</v>
      </c>
      <c r="CF37" s="176">
        <v>28190.861786001122</v>
      </c>
      <c r="CG37" s="176">
        <v>27407.932170610824</v>
      </c>
      <c r="CH37" s="176">
        <v>26646.727508993445</v>
      </c>
      <c r="CI37" s="176">
        <v>25908.561208247364</v>
      </c>
      <c r="CJ37" s="176">
        <v>25194.919592319231</v>
      </c>
      <c r="CK37" s="176">
        <v>24507.497152708624</v>
      </c>
      <c r="CL37" s="176">
        <v>23848.238760386412</v>
      </c>
      <c r="CM37" s="176">
        <v>23219.391917697467</v>
      </c>
      <c r="CN37" s="176">
        <v>22623.574018077532</v>
      </c>
      <c r="CO37" s="176">
        <v>22063.862821638264</v>
      </c>
      <c r="CP37" s="176">
        <v>21543.924048989626</v>
      </c>
      <c r="CQ37" s="176">
        <v>21068.200320461219</v>
      </c>
      <c r="CR37" s="176">
        <v>20642.20514431256</v>
      </c>
      <c r="CS37" s="176">
        <v>20273.004196075359</v>
      </c>
      <c r="CT37" s="176">
        <v>19970.046655886985</v>
      </c>
      <c r="CU37" s="176">
        <v>19746.687950509182</v>
      </c>
      <c r="CV37" s="176">
        <v>19578.528507175481</v>
      </c>
      <c r="CW37" s="176">
        <v>19350.076032546931</v>
      </c>
      <c r="CX37" s="176">
        <v>19176.772874088845</v>
      </c>
      <c r="CY37" s="176">
        <v>19060.362540665468</v>
      </c>
      <c r="CZ37" s="176">
        <v>19002.114757500163</v>
      </c>
      <c r="DA37" s="176">
        <v>19002.755827503122</v>
      </c>
      <c r="DB37" s="176">
        <v>19062.426071416754</v>
      </c>
      <c r="DC37" s="176">
        <v>19180.669296881657</v>
      </c>
      <c r="DD37" s="176">
        <v>19356.455313108421</v>
      </c>
      <c r="DE37" s="176">
        <v>19588.232373320097</v>
      </c>
      <c r="DF37" s="176">
        <v>19874.002987397638</v>
      </c>
      <c r="DG37" s="176">
        <v>20211.414475731548</v>
      </c>
      <c r="DH37" s="176">
        <v>20597.855172030017</v>
      </c>
      <c r="DI37" s="176">
        <v>21030.548142282594</v>
      </c>
      <c r="DJ37" s="176">
        <v>21339.930889884225</v>
      </c>
      <c r="DK37" s="176">
        <v>21740.560497686405</v>
      </c>
      <c r="DL37" s="176">
        <v>22214.947589868963</v>
      </c>
      <c r="DM37" s="176">
        <v>22746.422029722555</v>
      </c>
      <c r="DN37" s="176">
        <v>23324.279941341494</v>
      </c>
      <c r="DO37" s="176">
        <v>23941.131267937744</v>
      </c>
      <c r="DP37" s="176">
        <v>24591.545054702969</v>
      </c>
      <c r="DQ37" s="176">
        <v>25271.316424208497</v>
      </c>
      <c r="DR37" s="176">
        <v>25977.048843468096</v>
      </c>
      <c r="DS37" s="176">
        <v>26705.904344926712</v>
      </c>
      <c r="DT37" s="176">
        <v>27455.447204854252</v>
      </c>
      <c r="DU37" s="176">
        <v>28223.541752939302</v>
      </c>
      <c r="DV37" s="176">
        <v>29008.282755151264</v>
      </c>
      <c r="DW37" s="176">
        <v>29807.946145857801</v>
      </c>
      <c r="DX37" s="176">
        <v>30000</v>
      </c>
      <c r="DY37" s="176">
        <v>30000</v>
      </c>
      <c r="DZ37" s="176">
        <v>30000</v>
      </c>
      <c r="EA37" s="176">
        <v>30000</v>
      </c>
      <c r="EB37" s="176">
        <v>30000</v>
      </c>
      <c r="EC37" s="176">
        <v>30000</v>
      </c>
      <c r="ED37" s="176">
        <v>30000</v>
      </c>
      <c r="EE37" s="176">
        <v>30000</v>
      </c>
      <c r="EF37" s="176">
        <v>30000</v>
      </c>
      <c r="EG37" s="176">
        <v>30000</v>
      </c>
      <c r="EH37" s="176">
        <v>30000</v>
      </c>
      <c r="EI37" s="176">
        <v>30000</v>
      </c>
      <c r="EJ37" s="176">
        <v>30000</v>
      </c>
      <c r="EK37" s="176">
        <v>30000</v>
      </c>
      <c r="EL37" s="176">
        <v>30000</v>
      </c>
      <c r="EM37" s="176">
        <v>30000</v>
      </c>
      <c r="EN37" s="176">
        <v>30000</v>
      </c>
      <c r="EO37" s="176">
        <v>30000</v>
      </c>
      <c r="EP37" t="str">
        <f t="shared" si="0"/>
        <v>7y 151d</v>
      </c>
      <c r="ES37" s="252">
        <f>ES31</f>
        <v>18436.454336807266</v>
      </c>
      <c r="ET37" s="253"/>
      <c r="EU37" s="253"/>
      <c r="EV37" s="253">
        <f>(1+EV31)*ES37</f>
        <v>20280.099770487996</v>
      </c>
      <c r="EW37" s="253"/>
      <c r="EX37" s="256"/>
    </row>
    <row r="38" spans="2:154" x14ac:dyDescent="0.25">
      <c r="B38" s="70">
        <v>35</v>
      </c>
      <c r="D38">
        <v>10583270.545364931</v>
      </c>
      <c r="E38" s="12">
        <v>-86142372476.632248</v>
      </c>
      <c r="F38" s="12">
        <v>-123839448831.01485</v>
      </c>
      <c r="G38" s="12">
        <v>0</v>
      </c>
      <c r="H38" s="12">
        <v>290204112.05928648</v>
      </c>
      <c r="I38" s="12">
        <v>-1375420886528.0076</v>
      </c>
      <c r="J38" s="12">
        <v>297307918839.2226</v>
      </c>
      <c r="K38" s="12">
        <v>49492815703.340775</v>
      </c>
      <c r="L38" s="12">
        <v>4447008.7420514571</v>
      </c>
      <c r="M38" s="12">
        <v>153133734461.54132</v>
      </c>
      <c r="N38" s="12">
        <v>-51731180085.888245</v>
      </c>
      <c r="O38" s="12">
        <v>179660372.21983635</v>
      </c>
      <c r="P38" s="12">
        <v>4447008.8475273829</v>
      </c>
      <c r="Q38" s="12">
        <v>153133852682.20749</v>
      </c>
      <c r="R38" s="12">
        <v>-51731190462.16333</v>
      </c>
      <c r="S38" s="12">
        <v>0</v>
      </c>
      <c r="T38" s="12">
        <v>8242924.0481103174</v>
      </c>
      <c r="U38" s="12">
        <v>226604153786.81326</v>
      </c>
      <c r="V38" s="12">
        <v>308837318032.09003</v>
      </c>
      <c r="W38" s="12">
        <v>-78827649.491258547</v>
      </c>
      <c r="X38" s="12">
        <v>4267381.2013839213</v>
      </c>
      <c r="Y38" s="12">
        <v>175895715303.25055</v>
      </c>
      <c r="Z38" s="12">
        <v>-16439641520.521849</v>
      </c>
      <c r="AA38" s="12">
        <v>-6705334272.9218712</v>
      </c>
      <c r="AB38" s="12"/>
      <c r="AC38" s="12"/>
      <c r="AD38" s="12"/>
      <c r="AE38" s="12"/>
      <c r="AG38" s="27">
        <v>0</v>
      </c>
      <c r="AH38" s="27">
        <v>0</v>
      </c>
      <c r="AI38" s="27">
        <v>0</v>
      </c>
      <c r="AJ38" s="27">
        <v>0</v>
      </c>
      <c r="AK38" s="27">
        <v>0</v>
      </c>
      <c r="AL38" s="27">
        <v>0</v>
      </c>
      <c r="AS38" s="6">
        <v>239222020.99718365</v>
      </c>
      <c r="AT38" s="176">
        <v>30000</v>
      </c>
      <c r="AU38" s="176">
        <v>30000</v>
      </c>
      <c r="AV38" s="176">
        <v>30000</v>
      </c>
      <c r="AW38" s="176">
        <v>30000</v>
      </c>
      <c r="AX38" s="176">
        <v>30000</v>
      </c>
      <c r="AY38" s="176">
        <v>30000</v>
      </c>
      <c r="AZ38" s="176">
        <v>30000</v>
      </c>
      <c r="BA38" s="176">
        <v>30000</v>
      </c>
      <c r="BB38" s="176">
        <v>30000</v>
      </c>
      <c r="BC38" s="176">
        <v>30000</v>
      </c>
      <c r="BD38" s="176">
        <v>30000</v>
      </c>
      <c r="BE38" s="176">
        <v>30000</v>
      </c>
      <c r="BF38" s="176">
        <v>30000</v>
      </c>
      <c r="BG38" s="176">
        <v>30000</v>
      </c>
      <c r="BH38" s="176">
        <v>30000</v>
      </c>
      <c r="BI38" s="176">
        <v>30000</v>
      </c>
      <c r="BJ38" s="176">
        <v>30000</v>
      </c>
      <c r="BK38" s="176">
        <v>30000</v>
      </c>
      <c r="BL38" s="176">
        <v>30000</v>
      </c>
      <c r="BM38" s="176">
        <v>30000</v>
      </c>
      <c r="BN38" s="176">
        <v>30000</v>
      </c>
      <c r="BO38" s="176">
        <v>30000</v>
      </c>
      <c r="BP38" s="176">
        <v>30000</v>
      </c>
      <c r="BQ38" s="176">
        <v>30000</v>
      </c>
      <c r="BR38" s="176">
        <v>30000</v>
      </c>
      <c r="BS38" s="176">
        <v>30000</v>
      </c>
      <c r="BT38" s="176">
        <v>30000</v>
      </c>
      <c r="BU38" s="176">
        <v>30000</v>
      </c>
      <c r="BV38" s="176">
        <v>30000</v>
      </c>
      <c r="BW38" s="176">
        <v>30000</v>
      </c>
      <c r="BX38" s="176">
        <v>30000</v>
      </c>
      <c r="BY38" s="176">
        <v>30000</v>
      </c>
      <c r="BZ38" s="176">
        <v>30000</v>
      </c>
      <c r="CA38" s="176">
        <v>30000</v>
      </c>
      <c r="CB38" s="176">
        <v>30000</v>
      </c>
      <c r="CC38" s="176">
        <v>30000</v>
      </c>
      <c r="CD38" s="176">
        <v>30000</v>
      </c>
      <c r="CE38" s="176">
        <v>29436.708845682853</v>
      </c>
      <c r="CF38" s="176">
        <v>28620.670107712049</v>
      </c>
      <c r="CG38" s="176">
        <v>27824.836425256526</v>
      </c>
      <c r="CH38" s="176">
        <v>27050.337159766386</v>
      </c>
      <c r="CI38" s="176">
        <v>26298.433121602146</v>
      </c>
      <c r="CJ38" s="176">
        <v>25570.545583292667</v>
      </c>
      <c r="CK38" s="176">
        <v>24868.289807101675</v>
      </c>
      <c r="CL38" s="176">
        <v>24193.51472437839</v>
      </c>
      <c r="CM38" s="176">
        <v>23548.351290528281</v>
      </c>
      <c r="CN38" s="176">
        <v>22935.27350122486</v>
      </c>
      <c r="CO38" s="176">
        <v>22357.178511622315</v>
      </c>
      <c r="CP38" s="176">
        <v>21817.496518188287</v>
      </c>
      <c r="CQ38" s="176">
        <v>21320.34851232166</v>
      </c>
      <c r="CR38" s="176">
        <v>20870.783656188112</v>
      </c>
      <c r="CS38" s="176">
        <v>20475.154154390526</v>
      </c>
      <c r="CT38" s="176">
        <v>20141.73818531393</v>
      </c>
      <c r="CU38" s="176">
        <v>19881.833923487109</v>
      </c>
      <c r="CV38" s="176">
        <v>19711.802635026019</v>
      </c>
      <c r="CW38" s="176">
        <v>19490.472474203933</v>
      </c>
      <c r="CX38" s="176">
        <v>19290.63204274762</v>
      </c>
      <c r="CY38" s="176">
        <v>19147.105819498913</v>
      </c>
      <c r="CZ38" s="176">
        <v>19061.375620479612</v>
      </c>
      <c r="DA38" s="176">
        <v>19034.406159320988</v>
      </c>
      <c r="DB38" s="176">
        <v>19066.589634612472</v>
      </c>
      <c r="DC38" s="176">
        <v>19157.720710918878</v>
      </c>
      <c r="DD38" s="176">
        <v>19307.004738368698</v>
      </c>
      <c r="DE38" s="176">
        <v>19513.097875004056</v>
      </c>
      <c r="DF38" s="176">
        <v>19774.173912879884</v>
      </c>
      <c r="DG38" s="176">
        <v>20088.00985713425</v>
      </c>
      <c r="DH38" s="176">
        <v>20452.081135866123</v>
      </c>
      <c r="DI38" s="176">
        <v>20863.657695769027</v>
      </c>
      <c r="DJ38" s="176">
        <v>21269.599939453306</v>
      </c>
      <c r="DK38" s="176">
        <v>21606.633461901569</v>
      </c>
      <c r="DL38" s="176">
        <v>22036.180116923519</v>
      </c>
      <c r="DM38" s="176">
        <v>22533.913557530446</v>
      </c>
      <c r="DN38" s="176">
        <v>23085.043958030023</v>
      </c>
      <c r="DO38" s="176">
        <v>23679.863341650849</v>
      </c>
      <c r="DP38" s="176">
        <v>24311.553432286411</v>
      </c>
      <c r="DQ38" s="176">
        <v>24975.038302595851</v>
      </c>
      <c r="DR38" s="176">
        <v>25666.350439036909</v>
      </c>
      <c r="DS38" s="176">
        <v>26382.262834974761</v>
      </c>
      <c r="DT38" s="176">
        <v>27120.065454267664</v>
      </c>
      <c r="DU38" s="176">
        <v>27877.423369118816</v>
      </c>
      <c r="DV38" s="176">
        <v>28652.282921806178</v>
      </c>
      <c r="DW38" s="176">
        <v>29442.807188736198</v>
      </c>
      <c r="DX38" s="176">
        <v>30000</v>
      </c>
      <c r="DY38" s="176">
        <v>30000</v>
      </c>
      <c r="DZ38" s="176">
        <v>30000</v>
      </c>
      <c r="EA38" s="176">
        <v>30000</v>
      </c>
      <c r="EB38" s="176">
        <v>30000</v>
      </c>
      <c r="EC38" s="176">
        <v>30000</v>
      </c>
      <c r="ED38" s="176">
        <v>30000</v>
      </c>
      <c r="EE38" s="176">
        <v>30000</v>
      </c>
      <c r="EF38" s="176">
        <v>30000</v>
      </c>
      <c r="EG38" s="176">
        <v>30000</v>
      </c>
      <c r="EH38" s="176">
        <v>30000</v>
      </c>
      <c r="EI38" s="176">
        <v>30000</v>
      </c>
      <c r="EJ38" s="176">
        <v>30000</v>
      </c>
      <c r="EK38" s="176">
        <v>30000</v>
      </c>
      <c r="EL38" s="176">
        <v>30000</v>
      </c>
      <c r="EM38" s="176">
        <v>30000</v>
      </c>
      <c r="EN38" s="176">
        <v>30000</v>
      </c>
      <c r="EO38" s="176">
        <v>30000</v>
      </c>
      <c r="EP38" t="str">
        <f t="shared" si="0"/>
        <v>7y 212d</v>
      </c>
      <c r="ES38" s="252"/>
      <c r="ET38" s="253"/>
      <c r="EU38" s="253"/>
      <c r="EV38" s="253"/>
      <c r="EW38" s="253"/>
      <c r="EX38" s="256"/>
    </row>
    <row r="39" spans="2:154" ht="15.75" thickBot="1" x14ac:dyDescent="0.3">
      <c r="B39" s="70">
        <v>36</v>
      </c>
      <c r="D39">
        <v>10904578.342986226</v>
      </c>
      <c r="E39" s="12">
        <v>-78266124275.293503</v>
      </c>
      <c r="F39" s="12">
        <v>-129118954097.95338</v>
      </c>
      <c r="G39" s="12">
        <v>0</v>
      </c>
      <c r="H39" s="12">
        <v>299282987.62888241</v>
      </c>
      <c r="I39" s="12">
        <v>-1396052499139.1843</v>
      </c>
      <c r="J39" s="12">
        <v>211033573843.12314</v>
      </c>
      <c r="K39" s="12">
        <v>51815779328.592476</v>
      </c>
      <c r="L39" s="12">
        <v>4603335.2893797969</v>
      </c>
      <c r="M39" s="12">
        <v>156661950159.45526</v>
      </c>
      <c r="N39" s="12">
        <v>-46908210741.764565</v>
      </c>
      <c r="O39" s="12">
        <v>184232582.23448616</v>
      </c>
      <c r="P39" s="12">
        <v>4603335.4113362348</v>
      </c>
      <c r="Q39" s="12">
        <v>156662071979.19846</v>
      </c>
      <c r="R39" s="12">
        <v>-46908221200.068222</v>
      </c>
      <c r="S39" s="12">
        <v>0</v>
      </c>
      <c r="T39" s="12">
        <v>8640902.2415425684</v>
      </c>
      <c r="U39" s="12">
        <v>225603503991.1004</v>
      </c>
      <c r="V39" s="12">
        <v>317822187779.25006</v>
      </c>
      <c r="W39" s="12">
        <v>-82326823.859733537</v>
      </c>
      <c r="X39" s="12">
        <v>4435874.3776194593</v>
      </c>
      <c r="Y39" s="12">
        <v>178835523903.81909</v>
      </c>
      <c r="Z39" s="12">
        <v>-11075574648.387175</v>
      </c>
      <c r="AA39" s="12">
        <v>-6915629713.2708797</v>
      </c>
      <c r="AB39" s="12"/>
      <c r="AC39" s="12"/>
      <c r="AD39" s="12"/>
      <c r="AE39" s="12"/>
      <c r="AJ39">
        <v>856469081118.18652</v>
      </c>
      <c r="AK39">
        <v>1069485061820.793</v>
      </c>
      <c r="AL39">
        <v>-52674053645.259148</v>
      </c>
      <c r="AS39" s="6">
        <v>244488786.23350635</v>
      </c>
      <c r="AT39" s="176">
        <v>30000</v>
      </c>
      <c r="AU39" s="176">
        <v>30000</v>
      </c>
      <c r="AV39" s="176">
        <v>30000</v>
      </c>
      <c r="AW39" s="176">
        <v>30000</v>
      </c>
      <c r="AX39" s="176">
        <v>30000</v>
      </c>
      <c r="AY39" s="176">
        <v>30000</v>
      </c>
      <c r="AZ39" s="176">
        <v>30000</v>
      </c>
      <c r="BA39" s="176">
        <v>30000</v>
      </c>
      <c r="BB39" s="176">
        <v>30000</v>
      </c>
      <c r="BC39" s="176">
        <v>30000</v>
      </c>
      <c r="BD39" s="176">
        <v>30000</v>
      </c>
      <c r="BE39" s="176">
        <v>30000</v>
      </c>
      <c r="BF39" s="176">
        <v>30000</v>
      </c>
      <c r="BG39" s="176">
        <v>30000</v>
      </c>
      <c r="BH39" s="176">
        <v>30000</v>
      </c>
      <c r="BI39" s="176">
        <v>30000</v>
      </c>
      <c r="BJ39" s="176">
        <v>30000</v>
      </c>
      <c r="BK39" s="176">
        <v>30000</v>
      </c>
      <c r="BL39" s="176">
        <v>30000</v>
      </c>
      <c r="BM39" s="176">
        <v>30000</v>
      </c>
      <c r="BN39" s="176">
        <v>30000</v>
      </c>
      <c r="BO39" s="176">
        <v>30000</v>
      </c>
      <c r="BP39" s="176">
        <v>30000</v>
      </c>
      <c r="BQ39" s="176">
        <v>30000</v>
      </c>
      <c r="BR39" s="176">
        <v>30000</v>
      </c>
      <c r="BS39" s="176">
        <v>30000</v>
      </c>
      <c r="BT39" s="176">
        <v>30000</v>
      </c>
      <c r="BU39" s="176">
        <v>30000</v>
      </c>
      <c r="BV39" s="176">
        <v>30000</v>
      </c>
      <c r="BW39" s="176">
        <v>30000</v>
      </c>
      <c r="BX39" s="176">
        <v>30000</v>
      </c>
      <c r="BY39" s="176">
        <v>30000</v>
      </c>
      <c r="BZ39" s="176">
        <v>30000</v>
      </c>
      <c r="CA39" s="176">
        <v>30000</v>
      </c>
      <c r="CB39" s="176">
        <v>30000</v>
      </c>
      <c r="CC39" s="176">
        <v>30000</v>
      </c>
      <c r="CD39" s="176">
        <v>30000</v>
      </c>
      <c r="CE39" s="176">
        <v>29889.615310159155</v>
      </c>
      <c r="CF39" s="176">
        <v>29061.161928336471</v>
      </c>
      <c r="CG39" s="176">
        <v>28252.556074431064</v>
      </c>
      <c r="CH39" s="176">
        <v>27464.889289967876</v>
      </c>
      <c r="CI39" s="176">
        <v>26699.373411387867</v>
      </c>
      <c r="CJ39" s="176">
        <v>25957.368397298036</v>
      </c>
      <c r="CK39" s="176">
        <v>25240.414241773455</v>
      </c>
      <c r="CL39" s="176">
        <v>24550.268353167627</v>
      </c>
      <c r="CM39" s="176">
        <v>23888.950482147535</v>
      </c>
      <c r="CN39" s="176">
        <v>23258.798422228283</v>
      </c>
      <c r="CO39" s="176">
        <v>22662.53958360968</v>
      </c>
      <c r="CP39" s="176">
        <v>22103.386696503312</v>
      </c>
      <c r="CQ39" s="176">
        <v>21585.171337670967</v>
      </c>
      <c r="CR39" s="176">
        <v>21112.538656469169</v>
      </c>
      <c r="CS39" s="176">
        <v>20691.244652610036</v>
      </c>
      <c r="CT39" s="176">
        <v>20328.63243144811</v>
      </c>
      <c r="CU39" s="176">
        <v>20034.436155272939</v>
      </c>
      <c r="CV39" s="176">
        <v>19822.219202458484</v>
      </c>
      <c r="CW39" s="176">
        <v>19643.685789628442</v>
      </c>
      <c r="CX39" s="176">
        <v>19417.283088087923</v>
      </c>
      <c r="CY39" s="176">
        <v>19246.526808960527</v>
      </c>
      <c r="CZ39" s="176">
        <v>19133.100318033019</v>
      </c>
      <c r="DA39" s="176">
        <v>19078.201350443091</v>
      </c>
      <c r="DB39" s="176">
        <v>19082.474743976432</v>
      </c>
      <c r="DC39" s="176">
        <v>19145.97317881685</v>
      </c>
      <c r="DD39" s="176">
        <v>19268.150516834987</v>
      </c>
      <c r="DE39" s="176">
        <v>19447.888297782036</v>
      </c>
      <c r="DF39" s="176">
        <v>19683.551796351647</v>
      </c>
      <c r="DG39" s="176">
        <v>19973.068723292392</v>
      </c>
      <c r="DH39" s="176">
        <v>20314.021706190757</v>
      </c>
      <c r="DI39" s="176">
        <v>20703.745425614477</v>
      </c>
      <c r="DJ39" s="176">
        <v>21139.420376324357</v>
      </c>
      <c r="DK39" s="176">
        <v>21509.570246225689</v>
      </c>
      <c r="DL39" s="176">
        <v>21882.332327221615</v>
      </c>
      <c r="DM39" s="176">
        <v>22339.204701555434</v>
      </c>
      <c r="DN39" s="176">
        <v>22859.125352063114</v>
      </c>
      <c r="DO39" s="176">
        <v>23428.956654065303</v>
      </c>
      <c r="DP39" s="176">
        <v>24039.894793099818</v>
      </c>
      <c r="DQ39" s="176">
        <v>24685.654701982385</v>
      </c>
      <c r="DR39" s="176">
        <v>25361.49829984783</v>
      </c>
      <c r="DS39" s="176">
        <v>26063.686964588152</v>
      </c>
      <c r="DT39" s="176">
        <v>26789.158263986974</v>
      </c>
      <c r="DU39" s="176">
        <v>27535.326538559071</v>
      </c>
      <c r="DV39" s="176">
        <v>28299.954659628438</v>
      </c>
      <c r="DW39" s="176">
        <v>29081.068243833441</v>
      </c>
      <c r="DX39" s="176">
        <v>29876.896119711448</v>
      </c>
      <c r="DY39" s="176">
        <v>30000</v>
      </c>
      <c r="DZ39" s="176">
        <v>30000</v>
      </c>
      <c r="EA39" s="176">
        <v>30000</v>
      </c>
      <c r="EB39" s="176">
        <v>30000</v>
      </c>
      <c r="EC39" s="176">
        <v>30000</v>
      </c>
      <c r="ED39" s="176">
        <v>30000</v>
      </c>
      <c r="EE39" s="176">
        <v>30000</v>
      </c>
      <c r="EF39" s="176">
        <v>30000</v>
      </c>
      <c r="EG39" s="176">
        <v>30000</v>
      </c>
      <c r="EH39" s="176">
        <v>30000</v>
      </c>
      <c r="EI39" s="176">
        <v>30000</v>
      </c>
      <c r="EJ39" s="176">
        <v>30000</v>
      </c>
      <c r="EK39" s="176">
        <v>30000</v>
      </c>
      <c r="EL39" s="176">
        <v>30000</v>
      </c>
      <c r="EM39" s="176">
        <v>30000</v>
      </c>
      <c r="EN39" s="176">
        <v>30000</v>
      </c>
      <c r="EO39" s="176">
        <v>30000</v>
      </c>
      <c r="EP39" t="str">
        <f t="shared" si="0"/>
        <v>7y 273d</v>
      </c>
      <c r="ES39" s="254"/>
      <c r="ET39" s="255"/>
      <c r="EU39" s="255"/>
      <c r="EV39" s="255"/>
      <c r="EW39" s="255"/>
      <c r="EX39" s="257"/>
    </row>
    <row r="40" spans="2:154" x14ac:dyDescent="0.25">
      <c r="B40" s="70">
        <v>37</v>
      </c>
      <c r="D40">
        <v>11226447.275350349</v>
      </c>
      <c r="E40" s="12">
        <v>-70064022139.90448</v>
      </c>
      <c r="F40" s="12">
        <v>-133892786288.95923</v>
      </c>
      <c r="G40" s="12">
        <v>0</v>
      </c>
      <c r="H40" s="12">
        <v>308424485.03546631</v>
      </c>
      <c r="I40" s="12">
        <v>-1411359928365.7996</v>
      </c>
      <c r="J40" s="12">
        <v>123338010739.01111</v>
      </c>
      <c r="K40" s="12">
        <v>53951868311.300812</v>
      </c>
      <c r="L40" s="12">
        <v>4763451.6054676957</v>
      </c>
      <c r="M40" s="12">
        <v>160155353368.67145</v>
      </c>
      <c r="N40" s="12">
        <v>-41932294688.630379</v>
      </c>
      <c r="O40" s="12">
        <v>188774108.86898103</v>
      </c>
      <c r="P40" s="12">
        <v>4763451.7448182395</v>
      </c>
      <c r="Q40" s="12">
        <v>160155478801.96497</v>
      </c>
      <c r="R40" s="12">
        <v>-41932305209.813492</v>
      </c>
      <c r="S40" s="12">
        <v>0</v>
      </c>
      <c r="T40" s="12">
        <v>9053000.6312824897</v>
      </c>
      <c r="U40" s="12">
        <v>224483009117.14688</v>
      </c>
      <c r="V40" s="12">
        <v>327007009347.13275</v>
      </c>
      <c r="W40" s="12">
        <v>-85919366.044985309</v>
      </c>
      <c r="X40" s="12">
        <v>4609299.2160033742</v>
      </c>
      <c r="Y40" s="12">
        <v>181739420001.74057</v>
      </c>
      <c r="Z40" s="12">
        <v>-5546961919.6493053</v>
      </c>
      <c r="AA40" s="12">
        <v>-7127364002.9564924</v>
      </c>
      <c r="AB40" s="12"/>
      <c r="AC40" s="12"/>
      <c r="AD40" s="12"/>
      <c r="AE40" s="12"/>
      <c r="AG40" s="208" t="s">
        <v>65</v>
      </c>
      <c r="AH40" s="208"/>
      <c r="AI40" s="208"/>
      <c r="AS40" s="6">
        <v>249755551.46982905</v>
      </c>
      <c r="AT40" s="176">
        <v>30000</v>
      </c>
      <c r="AU40" s="176">
        <v>30000</v>
      </c>
      <c r="AV40" s="176">
        <v>30000</v>
      </c>
      <c r="AW40" s="176">
        <v>30000</v>
      </c>
      <c r="AX40" s="176">
        <v>30000</v>
      </c>
      <c r="AY40" s="176">
        <v>30000</v>
      </c>
      <c r="AZ40" s="176">
        <v>30000</v>
      </c>
      <c r="BA40" s="176">
        <v>30000</v>
      </c>
      <c r="BB40" s="176">
        <v>30000</v>
      </c>
      <c r="BC40" s="176">
        <v>30000</v>
      </c>
      <c r="BD40" s="176">
        <v>30000</v>
      </c>
      <c r="BE40" s="176">
        <v>30000</v>
      </c>
      <c r="BF40" s="176">
        <v>30000</v>
      </c>
      <c r="BG40" s="176">
        <v>30000</v>
      </c>
      <c r="BH40" s="176">
        <v>30000</v>
      </c>
      <c r="BI40" s="176">
        <v>30000</v>
      </c>
      <c r="BJ40" s="176">
        <v>30000</v>
      </c>
      <c r="BK40" s="176">
        <v>30000</v>
      </c>
      <c r="BL40" s="176">
        <v>30000</v>
      </c>
      <c r="BM40" s="176">
        <v>30000</v>
      </c>
      <c r="BN40" s="176">
        <v>30000</v>
      </c>
      <c r="BO40" s="176">
        <v>30000</v>
      </c>
      <c r="BP40" s="176">
        <v>30000</v>
      </c>
      <c r="BQ40" s="176">
        <v>30000</v>
      </c>
      <c r="BR40" s="176">
        <v>30000</v>
      </c>
      <c r="BS40" s="176">
        <v>30000</v>
      </c>
      <c r="BT40" s="176">
        <v>30000</v>
      </c>
      <c r="BU40" s="176">
        <v>30000</v>
      </c>
      <c r="BV40" s="176">
        <v>30000</v>
      </c>
      <c r="BW40" s="176">
        <v>30000</v>
      </c>
      <c r="BX40" s="176">
        <v>30000</v>
      </c>
      <c r="BY40" s="176">
        <v>30000</v>
      </c>
      <c r="BZ40" s="176">
        <v>30000</v>
      </c>
      <c r="CA40" s="176">
        <v>30000</v>
      </c>
      <c r="CB40" s="176">
        <v>30000</v>
      </c>
      <c r="CC40" s="176">
        <v>30000</v>
      </c>
      <c r="CD40" s="176">
        <v>30000</v>
      </c>
      <c r="CE40" s="176">
        <v>30000</v>
      </c>
      <c r="CF40" s="176">
        <v>29511.81760676856</v>
      </c>
      <c r="CG40" s="176">
        <v>28690.593906971397</v>
      </c>
      <c r="CH40" s="176">
        <v>27889.909357484172</v>
      </c>
      <c r="CI40" s="176">
        <v>27110.930689941382</v>
      </c>
      <c r="CJ40" s="176">
        <v>26354.960585486973</v>
      </c>
      <c r="CK40" s="176">
        <v>25623.468074603261</v>
      </c>
      <c r="CL40" s="176">
        <v>24918.123817696891</v>
      </c>
      <c r="CM40" s="176">
        <v>24240.841999017226</v>
      </c>
      <c r="CN40" s="176">
        <v>23593.831461717913</v>
      </c>
      <c r="CO40" s="176">
        <v>22979.660159346324</v>
      </c>
      <c r="CP40" s="176">
        <v>22401.339382815124</v>
      </c>
      <c r="CQ40" s="176">
        <v>21862.438236272665</v>
      </c>
      <c r="CR40" s="176">
        <v>21367.245797684744</v>
      </c>
      <c r="CS40" s="176">
        <v>20921.010948876021</v>
      </c>
      <c r="CT40" s="176">
        <v>20530.313578159588</v>
      </c>
      <c r="CU40" s="176">
        <v>20203.668163766357</v>
      </c>
      <c r="CV40" s="176">
        <v>19952.560538895581</v>
      </c>
      <c r="CW40" s="176">
        <v>19793.341378281726</v>
      </c>
      <c r="CX40" s="176">
        <v>19556.843011159926</v>
      </c>
      <c r="CY40" s="176">
        <v>19358.816042220955</v>
      </c>
      <c r="CZ40" s="176">
        <v>19217.553799438545</v>
      </c>
      <c r="DA40" s="176">
        <v>19134.478606189849</v>
      </c>
      <c r="DB40" s="176">
        <v>19110.485469303901</v>
      </c>
      <c r="DC40" s="176">
        <v>19145.889215273615</v>
      </c>
      <c r="DD40" s="176">
        <v>19240.40274326954</v>
      </c>
      <c r="DE40" s="176">
        <v>19393.148861232861</v>
      </c>
      <c r="DF40" s="176">
        <v>19602.703938181421</v>
      </c>
      <c r="DG40" s="176">
        <v>19867.16776823259</v>
      </c>
      <c r="DH40" s="176">
        <v>20184.251429029682</v>
      </c>
      <c r="DI40" s="176">
        <v>20551.373872973611</v>
      </c>
      <c r="DJ40" s="176">
        <v>20965.758539777107</v>
      </c>
      <c r="DK40" s="176">
        <v>21424.522949533632</v>
      </c>
      <c r="DL40" s="176">
        <v>21760.624826786923</v>
      </c>
      <c r="DM40" s="176">
        <v>22166.668379373048</v>
      </c>
      <c r="DN40" s="176">
        <v>22649.318353302595</v>
      </c>
      <c r="DO40" s="176">
        <v>23190.282820630273</v>
      </c>
      <c r="DP40" s="176">
        <v>23777.875426843406</v>
      </c>
      <c r="DQ40" s="176">
        <v>24404.110156276191</v>
      </c>
      <c r="DR40" s="176">
        <v>25063.195933103812</v>
      </c>
      <c r="DS40" s="176">
        <v>25750.713454570934</v>
      </c>
      <c r="DT40" s="176">
        <v>26463.142767781628</v>
      </c>
      <c r="DU40" s="176">
        <v>27197.579763835267</v>
      </c>
      <c r="DV40" s="176">
        <v>27951.558748003525</v>
      </c>
      <c r="DW40" s="176">
        <v>28722.936889777753</v>
      </c>
      <c r="DX40" s="176">
        <v>29509.816097004121</v>
      </c>
      <c r="DY40" s="176">
        <v>30000</v>
      </c>
      <c r="DZ40" s="176">
        <v>30000</v>
      </c>
      <c r="EA40" s="176">
        <v>30000</v>
      </c>
      <c r="EB40" s="176">
        <v>30000</v>
      </c>
      <c r="EC40" s="176">
        <v>30000</v>
      </c>
      <c r="ED40" s="176">
        <v>30000</v>
      </c>
      <c r="EE40" s="176">
        <v>30000</v>
      </c>
      <c r="EF40" s="176">
        <v>30000</v>
      </c>
      <c r="EG40" s="176">
        <v>30000</v>
      </c>
      <c r="EH40" s="176">
        <v>30000</v>
      </c>
      <c r="EI40" s="176">
        <v>30000</v>
      </c>
      <c r="EJ40" s="176">
        <v>30000</v>
      </c>
      <c r="EK40" s="176">
        <v>30000</v>
      </c>
      <c r="EL40" s="176">
        <v>30000</v>
      </c>
      <c r="EM40" s="176">
        <v>30000</v>
      </c>
      <c r="EN40" s="176">
        <v>30000</v>
      </c>
      <c r="EO40" s="176">
        <v>30000</v>
      </c>
      <c r="EP40" t="str">
        <f t="shared" si="0"/>
        <v>7y 334d</v>
      </c>
    </row>
    <row r="41" spans="2:154" ht="15" customHeight="1" x14ac:dyDescent="0.25">
      <c r="B41" s="70">
        <v>38</v>
      </c>
      <c r="D41">
        <v>11548853.328685608</v>
      </c>
      <c r="E41" s="12">
        <v>-61568614282.777946</v>
      </c>
      <c r="F41" s="12">
        <v>-138140220958.05042</v>
      </c>
      <c r="G41" s="12">
        <v>0</v>
      </c>
      <c r="H41" s="12">
        <v>317629950.57650471</v>
      </c>
      <c r="I41" s="12">
        <v>-1421228639573.2578</v>
      </c>
      <c r="J41" s="12">
        <v>34544349727.809746</v>
      </c>
      <c r="K41" s="12">
        <v>55890901334.444572</v>
      </c>
      <c r="L41" s="12">
        <v>4927647.1521889968</v>
      </c>
      <c r="M41" s="12">
        <v>163613132499.4726</v>
      </c>
      <c r="N41" s="12">
        <v>-36796989113.840225</v>
      </c>
      <c r="O41" s="12">
        <v>193284443.82975832</v>
      </c>
      <c r="P41" s="12">
        <v>4927647.3098837584</v>
      </c>
      <c r="Q41" s="12">
        <v>163613261561.17227</v>
      </c>
      <c r="R41" s="12">
        <v>-36796999678.008972</v>
      </c>
      <c r="S41" s="12">
        <v>0</v>
      </c>
      <c r="T41" s="12">
        <v>9479876.5877569113</v>
      </c>
      <c r="U41" s="12">
        <v>223236911676.63937</v>
      </c>
      <c r="V41" s="12">
        <v>336396744260.02521</v>
      </c>
      <c r="W41" s="12">
        <v>-89608034.921130612</v>
      </c>
      <c r="X41" s="12">
        <v>4787985.7288491558</v>
      </c>
      <c r="Y41" s="12">
        <v>184605582118.70566</v>
      </c>
      <c r="Z41" s="12">
        <v>153218721.46155441</v>
      </c>
      <c r="AA41" s="12">
        <v>-7340587061.9211569</v>
      </c>
      <c r="AB41" s="12"/>
      <c r="AC41" s="12"/>
      <c r="AD41" s="12"/>
      <c r="AE41" s="12"/>
      <c r="AG41" s="70" t="s">
        <v>22</v>
      </c>
      <c r="AH41" s="70" t="s">
        <v>23</v>
      </c>
      <c r="AI41" s="70" t="s">
        <v>26</v>
      </c>
      <c r="AS41" s="6">
        <v>255022316.70615175</v>
      </c>
      <c r="AT41" s="176">
        <v>30000</v>
      </c>
      <c r="AU41" s="176">
        <v>30000</v>
      </c>
      <c r="AV41" s="176">
        <v>30000</v>
      </c>
      <c r="AW41" s="176">
        <v>30000</v>
      </c>
      <c r="AX41" s="176">
        <v>30000</v>
      </c>
      <c r="AY41" s="176">
        <v>30000</v>
      </c>
      <c r="AZ41" s="176">
        <v>30000</v>
      </c>
      <c r="BA41" s="176">
        <v>30000</v>
      </c>
      <c r="BB41" s="176">
        <v>30000</v>
      </c>
      <c r="BC41" s="176">
        <v>30000</v>
      </c>
      <c r="BD41" s="176">
        <v>30000</v>
      </c>
      <c r="BE41" s="176">
        <v>30000</v>
      </c>
      <c r="BF41" s="176">
        <v>30000</v>
      </c>
      <c r="BG41" s="176">
        <v>30000</v>
      </c>
      <c r="BH41" s="176">
        <v>30000</v>
      </c>
      <c r="BI41" s="176">
        <v>30000</v>
      </c>
      <c r="BJ41" s="176">
        <v>30000</v>
      </c>
      <c r="BK41" s="176">
        <v>30000</v>
      </c>
      <c r="BL41" s="176">
        <v>30000</v>
      </c>
      <c r="BM41" s="176">
        <v>30000</v>
      </c>
      <c r="BN41" s="176">
        <v>30000</v>
      </c>
      <c r="BO41" s="176">
        <v>30000</v>
      </c>
      <c r="BP41" s="176">
        <v>30000</v>
      </c>
      <c r="BQ41" s="176">
        <v>30000</v>
      </c>
      <c r="BR41" s="176">
        <v>30000</v>
      </c>
      <c r="BS41" s="176">
        <v>30000</v>
      </c>
      <c r="BT41" s="176">
        <v>30000</v>
      </c>
      <c r="BU41" s="176">
        <v>30000</v>
      </c>
      <c r="BV41" s="176">
        <v>30000</v>
      </c>
      <c r="BW41" s="176">
        <v>30000</v>
      </c>
      <c r="BX41" s="176">
        <v>30000</v>
      </c>
      <c r="BY41" s="176">
        <v>30000</v>
      </c>
      <c r="BZ41" s="176">
        <v>30000</v>
      </c>
      <c r="CA41" s="176">
        <v>30000</v>
      </c>
      <c r="CB41" s="176">
        <v>30000</v>
      </c>
      <c r="CC41" s="176">
        <v>30000</v>
      </c>
      <c r="CD41" s="176">
        <v>30000</v>
      </c>
      <c r="CE41" s="176">
        <v>30000</v>
      </c>
      <c r="CF41" s="176">
        <v>29972.135735026633</v>
      </c>
      <c r="CG41" s="176">
        <v>29138.469278155073</v>
      </c>
      <c r="CH41" s="176">
        <v>28324.937443423176</v>
      </c>
      <c r="CI41" s="176">
        <v>27532.665913879915</v>
      </c>
      <c r="CJ41" s="176">
        <v>26762.904359214663</v>
      </c>
      <c r="CK41" s="176">
        <v>26017.055414718998</v>
      </c>
      <c r="CL41" s="176">
        <v>25296.708040279009</v>
      </c>
      <c r="CM41" s="176">
        <v>24603.676709882733</v>
      </c>
      <c r="CN41" s="176">
        <v>23940.048591080395</v>
      </c>
      <c r="CO41" s="176">
        <v>23308.241999363338</v>
      </c>
      <c r="CP41" s="176">
        <v>22711.081230749845</v>
      </c>
      <c r="CQ41" s="176">
        <v>22151.89587290998</v>
      </c>
      <c r="CR41" s="176">
        <v>21634.657765635191</v>
      </c>
      <c r="CS41" s="176">
        <v>21164.177665769737</v>
      </c>
      <c r="CT41" s="176">
        <v>20746.399953671367</v>
      </c>
      <c r="CU41" s="176">
        <v>20388.865174929109</v>
      </c>
      <c r="CV41" s="176">
        <v>20101.474491459761</v>
      </c>
      <c r="CW41" s="176">
        <v>19897.828937637882</v>
      </c>
      <c r="CX41" s="176">
        <v>19709.380837214816</v>
      </c>
      <c r="CY41" s="176">
        <v>19484.114267511075</v>
      </c>
      <c r="CZ41" s="176">
        <v>19314.951183996014</v>
      </c>
      <c r="DA41" s="176">
        <v>19203.527167491415</v>
      </c>
      <c r="DB41" s="176">
        <v>19150.981644337498</v>
      </c>
      <c r="DC41" s="176">
        <v>19157.892437164242</v>
      </c>
      <c r="DD41" s="176">
        <v>19224.23913481801</v>
      </c>
      <c r="DE41" s="176">
        <v>19349.399591995563</v>
      </c>
      <c r="DF41" s="176">
        <v>19532.179735569276</v>
      </c>
      <c r="DG41" s="176">
        <v>19770.872702186629</v>
      </c>
      <c r="DH41" s="176">
        <v>20063.340049537772</v>
      </c>
      <c r="DI41" s="176">
        <v>20407.106001792905</v>
      </c>
      <c r="DJ41" s="176">
        <v>20799.455539191753</v>
      </c>
      <c r="DK41" s="176">
        <v>21237.528377125658</v>
      </c>
      <c r="DL41" s="176">
        <v>21681.257368336723</v>
      </c>
      <c r="DM41" s="176">
        <v>22022.242162418479</v>
      </c>
      <c r="DN41" s="176">
        <v>22459.284724252931</v>
      </c>
      <c r="DO41" s="176">
        <v>22966.217810891394</v>
      </c>
      <c r="DP41" s="176">
        <v>23527.107629155711</v>
      </c>
      <c r="DQ41" s="176">
        <v>24131.542382740849</v>
      </c>
      <c r="DR41" s="176">
        <v>24772.273544225543</v>
      </c>
      <c r="DS41" s="176">
        <v>25443.965314268789</v>
      </c>
      <c r="DT41" s="176">
        <v>26142.497154006487</v>
      </c>
      <c r="DU41" s="176">
        <v>26864.556471540705</v>
      </c>
      <c r="DV41" s="176">
        <v>27607.390372741567</v>
      </c>
      <c r="DW41" s="176">
        <v>28368.648143170929</v>
      </c>
      <c r="DX41" s="176">
        <v>29146.277423390588</v>
      </c>
      <c r="DY41" s="176">
        <v>29938.453291328704</v>
      </c>
      <c r="DZ41" s="176">
        <v>30000</v>
      </c>
      <c r="EA41" s="176">
        <v>30000</v>
      </c>
      <c r="EB41" s="176">
        <v>30000</v>
      </c>
      <c r="EC41" s="176">
        <v>30000</v>
      </c>
      <c r="ED41" s="176">
        <v>30000</v>
      </c>
      <c r="EE41" s="176">
        <v>30000</v>
      </c>
      <c r="EF41" s="176">
        <v>30000</v>
      </c>
      <c r="EG41" s="176">
        <v>30000</v>
      </c>
      <c r="EH41" s="176">
        <v>30000</v>
      </c>
      <c r="EI41" s="176">
        <v>30000</v>
      </c>
      <c r="EJ41" s="176">
        <v>30000</v>
      </c>
      <c r="EK41" s="176">
        <v>30000</v>
      </c>
      <c r="EL41" s="176">
        <v>30000</v>
      </c>
      <c r="EM41" s="176">
        <v>30000</v>
      </c>
      <c r="EN41" s="176">
        <v>30000</v>
      </c>
      <c r="EO41" s="176">
        <v>30000</v>
      </c>
      <c r="EP41" t="str">
        <f t="shared" si="0"/>
        <v>8y 30d</v>
      </c>
      <c r="ES41" s="258" t="s">
        <v>109</v>
      </c>
      <c r="ET41" s="258"/>
      <c r="EU41" s="258"/>
      <c r="EV41" s="258"/>
      <c r="EW41" s="258"/>
      <c r="EX41" s="258"/>
    </row>
    <row r="42" spans="2:154" ht="15" customHeight="1" x14ac:dyDescent="0.25">
      <c r="B42" s="70">
        <v>39</v>
      </c>
      <c r="D42">
        <v>11871770.175332764</v>
      </c>
      <c r="E42" s="12">
        <v>-52813844270.632401</v>
      </c>
      <c r="F42" s="12">
        <v>-141842645747.6308</v>
      </c>
      <c r="G42" s="12">
        <v>0</v>
      </c>
      <c r="H42" s="12">
        <v>326900505.13067174</v>
      </c>
      <c r="I42" s="12">
        <v>-1425562745877.5432</v>
      </c>
      <c r="J42" s="12">
        <v>-55013156992.544998</v>
      </c>
      <c r="K42" s="12">
        <v>57623244397.36792</v>
      </c>
      <c r="L42" s="12">
        <v>5096230.5922286371</v>
      </c>
      <c r="M42" s="12">
        <v>167034271551.48953</v>
      </c>
      <c r="N42" s="12">
        <v>-31495437776.805519</v>
      </c>
      <c r="O42" s="12">
        <v>197762863.78405204</v>
      </c>
      <c r="P42" s="12">
        <v>5096230.7692575175</v>
      </c>
      <c r="Q42" s="12">
        <v>167034404256.77185</v>
      </c>
      <c r="R42" s="12">
        <v>-31495448363.282688</v>
      </c>
      <c r="S42" s="12">
        <v>0</v>
      </c>
      <c r="T42" s="12">
        <v>9922221.9610212408</v>
      </c>
      <c r="U42" s="12">
        <v>221859175911.56494</v>
      </c>
      <c r="V42" s="12">
        <v>345996418252.43506</v>
      </c>
      <c r="W42" s="12">
        <v>-93395657.425715908</v>
      </c>
      <c r="X42" s="12">
        <v>4972287.0519462349</v>
      </c>
      <c r="Y42" s="12">
        <v>187431957684.81757</v>
      </c>
      <c r="Z42" s="12">
        <v>6032396086.8525248</v>
      </c>
      <c r="AA42" s="12">
        <v>-7555346709.983963</v>
      </c>
      <c r="AB42" s="12"/>
      <c r="AC42" s="12"/>
      <c r="AD42" s="12"/>
      <c r="AE42" s="12"/>
      <c r="AG42" s="27">
        <v>0</v>
      </c>
      <c r="AH42" s="27">
        <v>0</v>
      </c>
      <c r="AI42" s="27">
        <v>0</v>
      </c>
      <c r="AS42" s="6">
        <v>260289081.94247445</v>
      </c>
      <c r="AT42" s="176">
        <v>30000</v>
      </c>
      <c r="AU42" s="176">
        <v>30000</v>
      </c>
      <c r="AV42" s="176">
        <v>30000</v>
      </c>
      <c r="AW42" s="176">
        <v>30000</v>
      </c>
      <c r="AX42" s="176">
        <v>30000</v>
      </c>
      <c r="AY42" s="176">
        <v>30000</v>
      </c>
      <c r="AZ42" s="176">
        <v>30000</v>
      </c>
      <c r="BA42" s="176">
        <v>30000</v>
      </c>
      <c r="BB42" s="176">
        <v>30000</v>
      </c>
      <c r="BC42" s="176">
        <v>30000</v>
      </c>
      <c r="BD42" s="176">
        <v>30000</v>
      </c>
      <c r="BE42" s="176">
        <v>30000</v>
      </c>
      <c r="BF42" s="176">
        <v>30000</v>
      </c>
      <c r="BG42" s="176">
        <v>30000</v>
      </c>
      <c r="BH42" s="176">
        <v>30000</v>
      </c>
      <c r="BI42" s="176">
        <v>30000</v>
      </c>
      <c r="BJ42" s="176">
        <v>30000</v>
      </c>
      <c r="BK42" s="176">
        <v>30000</v>
      </c>
      <c r="BL42" s="176">
        <v>30000</v>
      </c>
      <c r="BM42" s="176">
        <v>30000</v>
      </c>
      <c r="BN42" s="176">
        <v>30000</v>
      </c>
      <c r="BO42" s="176">
        <v>30000</v>
      </c>
      <c r="BP42" s="176">
        <v>30000</v>
      </c>
      <c r="BQ42" s="176">
        <v>30000</v>
      </c>
      <c r="BR42" s="176">
        <v>30000</v>
      </c>
      <c r="BS42" s="176">
        <v>30000</v>
      </c>
      <c r="BT42" s="176">
        <v>30000</v>
      </c>
      <c r="BU42" s="176">
        <v>30000</v>
      </c>
      <c r="BV42" s="176">
        <v>30000</v>
      </c>
      <c r="BW42" s="176">
        <v>30000</v>
      </c>
      <c r="BX42" s="176">
        <v>30000</v>
      </c>
      <c r="BY42" s="176">
        <v>30000</v>
      </c>
      <c r="BZ42" s="176">
        <v>30000</v>
      </c>
      <c r="CA42" s="176">
        <v>30000</v>
      </c>
      <c r="CB42" s="176">
        <v>30000</v>
      </c>
      <c r="CC42" s="176">
        <v>30000</v>
      </c>
      <c r="CD42" s="176">
        <v>30000</v>
      </c>
      <c r="CE42" s="176">
        <v>30000</v>
      </c>
      <c r="CF42" s="176">
        <v>30000</v>
      </c>
      <c r="CG42" s="176">
        <v>29595.716241644437</v>
      </c>
      <c r="CH42" s="176">
        <v>28769.526638089264</v>
      </c>
      <c r="CI42" s="176">
        <v>27964.151070025353</v>
      </c>
      <c r="CJ42" s="176">
        <v>27180.790630396532</v>
      </c>
      <c r="CK42" s="176">
        <v>26420.786322785752</v>
      </c>
      <c r="CL42" s="176">
        <v>25685.65065339924</v>
      </c>
      <c r="CM42" s="176">
        <v>24977.104394416448</v>
      </c>
      <c r="CN42" s="176">
        <v>24297.120306936224</v>
      </c>
      <c r="CO42" s="176">
        <v>23647.976494505419</v>
      </c>
      <c r="CP42" s="176">
        <v>23032.32345854272</v>
      </c>
      <c r="CQ42" s="176">
        <v>22453.271189102328</v>
      </c>
      <c r="CR42" s="176">
        <v>21914.506363574685</v>
      </c>
      <c r="CS42" s="176">
        <v>21420.456103680644</v>
      </c>
      <c r="CT42" s="176">
        <v>20976.526083437115</v>
      </c>
      <c r="CU42" s="176">
        <v>20589.462017437563</v>
      </c>
      <c r="CV42" s="176">
        <v>20267.925636592219</v>
      </c>
      <c r="CW42" s="176">
        <v>20023.464432493278</v>
      </c>
      <c r="CX42" s="176">
        <v>19872.249189164198</v>
      </c>
      <c r="CY42" s="176">
        <v>19622.512456671302</v>
      </c>
      <c r="CZ42" s="176">
        <v>19425.456756682197</v>
      </c>
      <c r="DA42" s="176">
        <v>19285.58626631719</v>
      </c>
      <c r="DB42" s="176">
        <v>19204.275866265863</v>
      </c>
      <c r="DC42" s="176">
        <v>19182.363796002985</v>
      </c>
      <c r="DD42" s="176">
        <v>19220.10076566572</v>
      </c>
      <c r="DE42" s="176">
        <v>19317.130843727904</v>
      </c>
      <c r="DF42" s="176">
        <v>19472.506086783767</v>
      </c>
      <c r="DG42" s="176">
        <v>19684.734162030141</v>
      </c>
      <c r="DH42" s="176">
        <v>19951.848890122823</v>
      </c>
      <c r="DI42" s="176">
        <v>20271.502125080009</v>
      </c>
      <c r="DJ42" s="176">
        <v>20641.060703228657</v>
      </c>
      <c r="DK42" s="176">
        <v>21057.703880381821</v>
      </c>
      <c r="DL42" s="176">
        <v>21518.512937898729</v>
      </c>
      <c r="DM42" s="176">
        <v>21914.158670469194</v>
      </c>
      <c r="DN42" s="176">
        <v>22293.915370770304</v>
      </c>
      <c r="DO42" s="176">
        <v>22759.830134150085</v>
      </c>
      <c r="DP42" s="176">
        <v>23289.611817700788</v>
      </c>
      <c r="DQ42" s="176">
        <v>23869.339657348704</v>
      </c>
      <c r="DR42" s="176">
        <v>24489.721194458547</v>
      </c>
      <c r="DS42" s="176">
        <v>25144.171410439805</v>
      </c>
      <c r="DT42" s="176">
        <v>25827.772357413945</v>
      </c>
      <c r="DU42" s="176">
        <v>26536.681998096836</v>
      </c>
      <c r="DV42" s="176">
        <v>27267.78321846465</v>
      </c>
      <c r="DW42" s="176">
        <v>28018.466721238514</v>
      </c>
      <c r="DX42" s="176">
        <v>28786.491442813327</v>
      </c>
      <c r="DY42" s="176">
        <v>29569.891485241096</v>
      </c>
      <c r="DZ42" s="176">
        <v>30000</v>
      </c>
      <c r="EA42" s="176">
        <v>30000</v>
      </c>
      <c r="EB42" s="176">
        <v>30000</v>
      </c>
      <c r="EC42" s="176">
        <v>30000</v>
      </c>
      <c r="ED42" s="176">
        <v>30000</v>
      </c>
      <c r="EE42" s="176">
        <v>30000</v>
      </c>
      <c r="EF42" s="176">
        <v>30000</v>
      </c>
      <c r="EG42" s="176">
        <v>30000</v>
      </c>
      <c r="EH42" s="176">
        <v>30000</v>
      </c>
      <c r="EI42" s="176">
        <v>30000</v>
      </c>
      <c r="EJ42" s="176">
        <v>30000</v>
      </c>
      <c r="EK42" s="176">
        <v>30000</v>
      </c>
      <c r="EL42" s="176">
        <v>30000</v>
      </c>
      <c r="EM42" s="176">
        <v>30000</v>
      </c>
      <c r="EN42" s="176">
        <v>30000</v>
      </c>
      <c r="EO42" s="176">
        <v>30000</v>
      </c>
      <c r="EP42" t="str">
        <f t="shared" si="0"/>
        <v>8y 91d</v>
      </c>
      <c r="ES42" s="258"/>
      <c r="ET42" s="258"/>
      <c r="EU42" s="258"/>
      <c r="EV42" s="258"/>
      <c r="EW42" s="258"/>
      <c r="EX42" s="258"/>
    </row>
    <row r="43" spans="2:154" ht="15" customHeight="1" x14ac:dyDescent="0.25">
      <c r="B43" s="70">
        <v>40</v>
      </c>
      <c r="D43">
        <v>12195169.271869998</v>
      </c>
      <c r="E43" s="12">
        <v>-43834911277.368652</v>
      </c>
      <c r="F43" s="12">
        <v>-144983664001.5759</v>
      </c>
      <c r="G43" s="12">
        <v>0</v>
      </c>
      <c r="H43" s="12">
        <v>336237032.36413747</v>
      </c>
      <c r="I43" s="12">
        <v>-1424286229098.1157</v>
      </c>
      <c r="J43" s="12">
        <v>-144990071124.81903</v>
      </c>
      <c r="K43" s="12">
        <v>59139875824.906013</v>
      </c>
      <c r="L43" s="12">
        <v>5269531.6736168265</v>
      </c>
      <c r="M43" s="12">
        <v>170417533403.43283</v>
      </c>
      <c r="N43" s="12">
        <v>-26020344946.905804</v>
      </c>
      <c r="O43" s="12">
        <v>202208412.22415766</v>
      </c>
      <c r="P43" s="12">
        <v>5269531.8710130183</v>
      </c>
      <c r="Q43" s="12">
        <v>170417669767.72656</v>
      </c>
      <c r="R43" s="12">
        <v>-26020355534.187962</v>
      </c>
      <c r="S43" s="12">
        <v>0</v>
      </c>
      <c r="T43" s="12">
        <v>10380764.968336644</v>
      </c>
      <c r="U43" s="12">
        <v>220343475854.8988</v>
      </c>
      <c r="V43" s="12">
        <v>355811113059.13245</v>
      </c>
      <c r="W43" s="12">
        <v>-97285127.403637558</v>
      </c>
      <c r="X43" s="12">
        <v>5162581.5454986114</v>
      </c>
      <c r="Y43" s="12">
        <v>190216243088.85968</v>
      </c>
      <c r="Z43" s="12">
        <v>12098430555.014034</v>
      </c>
      <c r="AA43" s="12">
        <v>-7771688306.0462341</v>
      </c>
      <c r="AB43" s="12"/>
      <c r="AC43" s="12"/>
      <c r="AD43" s="12"/>
      <c r="AE43" s="12"/>
      <c r="AS43" s="6">
        <v>265555847.17879716</v>
      </c>
      <c r="AT43" s="176">
        <v>30000</v>
      </c>
      <c r="AU43" s="176">
        <v>30000</v>
      </c>
      <c r="AV43" s="176">
        <v>30000</v>
      </c>
      <c r="AW43" s="176">
        <v>30000</v>
      </c>
      <c r="AX43" s="176">
        <v>30000</v>
      </c>
      <c r="AY43" s="176">
        <v>30000</v>
      </c>
      <c r="AZ43" s="176">
        <v>30000</v>
      </c>
      <c r="BA43" s="176">
        <v>30000</v>
      </c>
      <c r="BB43" s="176">
        <v>30000</v>
      </c>
      <c r="BC43" s="176">
        <v>30000</v>
      </c>
      <c r="BD43" s="176">
        <v>30000</v>
      </c>
      <c r="BE43" s="176">
        <v>30000</v>
      </c>
      <c r="BF43" s="176">
        <v>30000</v>
      </c>
      <c r="BG43" s="176">
        <v>30000</v>
      </c>
      <c r="BH43" s="176">
        <v>30000</v>
      </c>
      <c r="BI43" s="176">
        <v>30000</v>
      </c>
      <c r="BJ43" s="176">
        <v>30000</v>
      </c>
      <c r="BK43" s="176">
        <v>30000</v>
      </c>
      <c r="BL43" s="176">
        <v>30000</v>
      </c>
      <c r="BM43" s="176">
        <v>30000</v>
      </c>
      <c r="BN43" s="176">
        <v>30000</v>
      </c>
      <c r="BO43" s="176">
        <v>30000</v>
      </c>
      <c r="BP43" s="176">
        <v>30000</v>
      </c>
      <c r="BQ43" s="176">
        <v>30000</v>
      </c>
      <c r="BR43" s="176">
        <v>30000</v>
      </c>
      <c r="BS43" s="176">
        <v>30000</v>
      </c>
      <c r="BT43" s="176">
        <v>30000</v>
      </c>
      <c r="BU43" s="176">
        <v>30000</v>
      </c>
      <c r="BV43" s="176">
        <v>30000</v>
      </c>
      <c r="BW43" s="176">
        <v>30000</v>
      </c>
      <c r="BX43" s="176">
        <v>30000</v>
      </c>
      <c r="BY43" s="176">
        <v>30000</v>
      </c>
      <c r="BZ43" s="176">
        <v>30000</v>
      </c>
      <c r="CA43" s="176">
        <v>30000</v>
      </c>
      <c r="CB43" s="176">
        <v>30000</v>
      </c>
      <c r="CC43" s="176">
        <v>30000</v>
      </c>
      <c r="CD43" s="176">
        <v>30000</v>
      </c>
      <c r="CE43" s="176">
        <v>30000</v>
      </c>
      <c r="CF43" s="176">
        <v>30000</v>
      </c>
      <c r="CG43" s="176">
        <v>30000</v>
      </c>
      <c r="CH43" s="176">
        <v>29223.241763856513</v>
      </c>
      <c r="CI43" s="176">
        <v>28404.968173429152</v>
      </c>
      <c r="CJ43" s="176">
        <v>27608.218335500249</v>
      </c>
      <c r="CK43" s="176">
        <v>26834.276521014239</v>
      </c>
      <c r="CL43" s="176">
        <v>26084.584166323453</v>
      </c>
      <c r="CM43" s="176">
        <v>25360.774446661213</v>
      </c>
      <c r="CN43" s="176">
        <v>24664.712954055794</v>
      </c>
      <c r="CO43" s="176">
        <v>23998.546669704283</v>
      </c>
      <c r="CP43" s="176">
        <v>23364.764509427874</v>
      </c>
      <c r="CQ43" s="176">
        <v>22766.27444651971</v>
      </c>
      <c r="CR43" s="176">
        <v>22206.505007826745</v>
      </c>
      <c r="CS43" s="176">
        <v>21689.543580540085</v>
      </c>
      <c r="CT43" s="176">
        <v>21220.331985204495</v>
      </c>
      <c r="CU43" s="176">
        <v>20804.954320977267</v>
      </c>
      <c r="CV43" s="176">
        <v>20451.080043621612</v>
      </c>
      <c r="CW43" s="176">
        <v>20168.682145524974</v>
      </c>
      <c r="CX43" s="176">
        <v>19971.272491839813</v>
      </c>
      <c r="CY43" s="176">
        <v>19774.052607207272</v>
      </c>
      <c r="CZ43" s="176">
        <v>19549.183786290869</v>
      </c>
      <c r="DA43" s="176">
        <v>19380.843872929556</v>
      </c>
      <c r="DB43" s="176">
        <v>19270.631194855443</v>
      </c>
      <c r="DC43" s="176">
        <v>19219.638366490588</v>
      </c>
      <c r="DD43" s="176">
        <v>19228.388176930632</v>
      </c>
      <c r="DE43" s="176">
        <v>19296.79902924009</v>
      </c>
      <c r="DF43" s="176">
        <v>19424.184022372679</v>
      </c>
      <c r="DG43" s="176">
        <v>19609.283544772068</v>
      </c>
      <c r="DH43" s="176">
        <v>19850.327073955712</v>
      </c>
      <c r="DI43" s="176">
        <v>20145.11664259903</v>
      </c>
      <c r="DJ43" s="176">
        <v>20491.122746779849</v>
      </c>
      <c r="DK43" s="176">
        <v>20885.583441783052</v>
      </c>
      <c r="DL43" s="176">
        <v>21325.598708136782</v>
      </c>
      <c r="DM43" s="176">
        <v>21808.214321743326</v>
      </c>
      <c r="DN43" s="176">
        <v>22159.873809631659</v>
      </c>
      <c r="DO43" s="176">
        <v>22575.154879199028</v>
      </c>
      <c r="DP43" s="176">
        <v>23067.961261412434</v>
      </c>
      <c r="DQ43" s="176">
        <v>23619.220291892438</v>
      </c>
      <c r="DR43" s="176">
        <v>24216.733887763126</v>
      </c>
      <c r="DS43" s="176">
        <v>24852.19272200534</v>
      </c>
      <c r="DT43" s="176">
        <v>25519.607641856586</v>
      </c>
      <c r="DU43" s="176">
        <v>26214.442932453843</v>
      </c>
      <c r="DV43" s="176">
        <v>26933.115054465568</v>
      </c>
      <c r="DW43" s="176">
        <v>27672.690301445269</v>
      </c>
      <c r="DX43" s="176">
        <v>28430.695116608666</v>
      </c>
      <c r="DY43" s="176">
        <v>29204.992592828683</v>
      </c>
      <c r="DZ43" s="176">
        <v>29993.699216300902</v>
      </c>
      <c r="EA43" s="176">
        <v>30000</v>
      </c>
      <c r="EB43" s="176">
        <v>30000</v>
      </c>
      <c r="EC43" s="176">
        <v>30000</v>
      </c>
      <c r="ED43" s="176">
        <v>30000</v>
      </c>
      <c r="EE43" s="176">
        <v>30000</v>
      </c>
      <c r="EF43" s="176">
        <v>30000</v>
      </c>
      <c r="EG43" s="176">
        <v>30000</v>
      </c>
      <c r="EH43" s="176">
        <v>30000</v>
      </c>
      <c r="EI43" s="176">
        <v>30000</v>
      </c>
      <c r="EJ43" s="176">
        <v>30000</v>
      </c>
      <c r="EK43" s="176">
        <v>30000</v>
      </c>
      <c r="EL43" s="176">
        <v>30000</v>
      </c>
      <c r="EM43" s="176">
        <v>30000</v>
      </c>
      <c r="EN43" s="176">
        <v>30000</v>
      </c>
      <c r="EO43" s="176">
        <v>30000</v>
      </c>
      <c r="EP43" t="str">
        <f t="shared" si="0"/>
        <v>8y 152d</v>
      </c>
      <c r="ES43" s="258"/>
      <c r="ET43" s="258"/>
      <c r="EU43" s="258"/>
      <c r="EV43" s="258"/>
      <c r="EW43" s="258"/>
      <c r="EX43" s="258"/>
    </row>
    <row r="44" spans="2:154" ht="15" customHeight="1" x14ac:dyDescent="0.25">
      <c r="B44" s="70">
        <v>41</v>
      </c>
      <c r="D44">
        <v>12519019.969231158</v>
      </c>
      <c r="E44" s="12">
        <v>-34668121522.547287</v>
      </c>
      <c r="F44" s="12">
        <v>-147549188743.52545</v>
      </c>
      <c r="G44" s="12">
        <v>0</v>
      </c>
      <c r="H44" s="12">
        <v>345640167.38845634</v>
      </c>
      <c r="I44" s="12">
        <v>-1417344136022.9331</v>
      </c>
      <c r="J44" s="12">
        <v>-235032857831.6478</v>
      </c>
      <c r="K44" s="12">
        <v>60432452797.729118</v>
      </c>
      <c r="L44" s="12">
        <v>5447903.3034372842</v>
      </c>
      <c r="M44" s="12">
        <v>173761441120.53586</v>
      </c>
      <c r="N44" s="12">
        <v>-20363947258.247936</v>
      </c>
      <c r="O44" s="12">
        <v>206619879.10773882</v>
      </c>
      <c r="P44" s="12">
        <v>5447903.5222812593</v>
      </c>
      <c r="Q44" s="12">
        <v>173761581159.44937</v>
      </c>
      <c r="R44" s="12">
        <v>-20363957823.951378</v>
      </c>
      <c r="S44" s="12">
        <v>0</v>
      </c>
      <c r="T44" s="12">
        <v>10856272.175757714</v>
      </c>
      <c r="U44" s="12">
        <v>218683183150.2561</v>
      </c>
      <c r="V44" s="12">
        <v>365845956859.48334</v>
      </c>
      <c r="W44" s="12">
        <v>-101279403.9890541</v>
      </c>
      <c r="X44" s="12">
        <v>5359275.1039033122</v>
      </c>
      <c r="Y44" s="12">
        <v>192955861655.9881</v>
      </c>
      <c r="Z44" s="12">
        <v>18359640565.735714</v>
      </c>
      <c r="AA44" s="12">
        <v>-7989654334.2534618</v>
      </c>
      <c r="AB44" s="12"/>
      <c r="AC44" s="12"/>
      <c r="AD44" s="12"/>
      <c r="AE44" s="12"/>
      <c r="AG44" s="208" t="s">
        <v>66</v>
      </c>
      <c r="AH44" s="208"/>
      <c r="AI44" s="208"/>
      <c r="AS44" s="6">
        <v>270822612.41511983</v>
      </c>
      <c r="AT44" s="176">
        <v>30000</v>
      </c>
      <c r="AU44" s="176">
        <v>30000</v>
      </c>
      <c r="AV44" s="176">
        <v>30000</v>
      </c>
      <c r="AW44" s="176">
        <v>30000</v>
      </c>
      <c r="AX44" s="176">
        <v>30000</v>
      </c>
      <c r="AY44" s="176">
        <v>30000</v>
      </c>
      <c r="AZ44" s="176">
        <v>30000</v>
      </c>
      <c r="BA44" s="176">
        <v>30000</v>
      </c>
      <c r="BB44" s="176">
        <v>30000</v>
      </c>
      <c r="BC44" s="176">
        <v>30000</v>
      </c>
      <c r="BD44" s="176">
        <v>30000</v>
      </c>
      <c r="BE44" s="176">
        <v>30000</v>
      </c>
      <c r="BF44" s="176">
        <v>30000</v>
      </c>
      <c r="BG44" s="176">
        <v>30000</v>
      </c>
      <c r="BH44" s="176">
        <v>30000</v>
      </c>
      <c r="BI44" s="176">
        <v>30000</v>
      </c>
      <c r="BJ44" s="176">
        <v>30000</v>
      </c>
      <c r="BK44" s="176">
        <v>30000</v>
      </c>
      <c r="BL44" s="176">
        <v>30000</v>
      </c>
      <c r="BM44" s="176">
        <v>30000</v>
      </c>
      <c r="BN44" s="176">
        <v>30000</v>
      </c>
      <c r="BO44" s="176">
        <v>30000</v>
      </c>
      <c r="BP44" s="176">
        <v>30000</v>
      </c>
      <c r="BQ44" s="176">
        <v>30000</v>
      </c>
      <c r="BR44" s="176">
        <v>30000</v>
      </c>
      <c r="BS44" s="176">
        <v>30000</v>
      </c>
      <c r="BT44" s="176">
        <v>30000</v>
      </c>
      <c r="BU44" s="176">
        <v>30000</v>
      </c>
      <c r="BV44" s="176">
        <v>30000</v>
      </c>
      <c r="BW44" s="176">
        <v>30000</v>
      </c>
      <c r="BX44" s="176">
        <v>30000</v>
      </c>
      <c r="BY44" s="176">
        <v>30000</v>
      </c>
      <c r="BZ44" s="176">
        <v>30000</v>
      </c>
      <c r="CA44" s="176">
        <v>30000</v>
      </c>
      <c r="CB44" s="176">
        <v>30000</v>
      </c>
      <c r="CC44" s="176">
        <v>30000</v>
      </c>
      <c r="CD44" s="176">
        <v>30000</v>
      </c>
      <c r="CE44" s="176">
        <v>30000</v>
      </c>
      <c r="CF44" s="176">
        <v>30000</v>
      </c>
      <c r="CG44" s="176">
        <v>30000</v>
      </c>
      <c r="CH44" s="176">
        <v>29685.658359323163</v>
      </c>
      <c r="CI44" s="176">
        <v>28854.708500720822</v>
      </c>
      <c r="CJ44" s="176">
        <v>28044.793965112127</v>
      </c>
      <c r="CK44" s="176">
        <v>27257.147273815324</v>
      </c>
      <c r="CL44" s="176">
        <v>26493.144260411922</v>
      </c>
      <c r="CM44" s="176">
        <v>25754.3366562337</v>
      </c>
      <c r="CN44" s="176">
        <v>25042.490065207516</v>
      </c>
      <c r="CO44" s="176">
        <v>24359.629138021519</v>
      </c>
      <c r="CP44" s="176">
        <v>23708.092609706124</v>
      </c>
      <c r="CQ44" s="176">
        <v>23090.602194897168</v>
      </c>
      <c r="CR44" s="176">
        <v>22510.351444076674</v>
      </c>
      <c r="CS44" s="176">
        <v>21971.124088430995</v>
      </c>
      <c r="CT44" s="176">
        <v>21477.457153211464</v>
      </c>
      <c r="CU44" s="176">
        <v>21034.874238631164</v>
      </c>
      <c r="CV44" s="176">
        <v>20650.233206565503</v>
      </c>
      <c r="CW44" s="176">
        <v>20332.269765037337</v>
      </c>
      <c r="CX44" s="176">
        <v>20092.496350484791</v>
      </c>
      <c r="CY44" s="176">
        <v>19938.729291760224</v>
      </c>
      <c r="CZ44" s="176">
        <v>19686.19515340601</v>
      </c>
      <c r="DA44" s="176">
        <v>19489.436259681137</v>
      </c>
      <c r="DB44" s="176">
        <v>19350.259610860874</v>
      </c>
      <c r="DC44" s="176">
        <v>19270.002777001158</v>
      </c>
      <c r="DD44" s="176">
        <v>19249.45796935014</v>
      </c>
      <c r="DE44" s="176">
        <v>19288.822644667307</v>
      </c>
      <c r="DF44" s="176">
        <v>19387.68250561101</v>
      </c>
      <c r="DG44" s="176">
        <v>19545.02881941677</v>
      </c>
      <c r="DH44" s="176">
        <v>19759.307624956477</v>
      </c>
      <c r="DI44" s="176">
        <v>20028.494595742104</v>
      </c>
      <c r="DJ44" s="176">
        <v>20350.186869805435</v>
      </c>
      <c r="DK44" s="176">
        <v>20721.70231327866</v>
      </c>
      <c r="DL44" s="176">
        <v>21140.177507420707</v>
      </c>
      <c r="DM44" s="176">
        <v>21602.657568165367</v>
      </c>
      <c r="DN44" s="176">
        <v>22066.428058751007</v>
      </c>
      <c r="DO44" s="176">
        <v>22417.59904784834</v>
      </c>
      <c r="DP44" s="176">
        <v>22865.489900920464</v>
      </c>
      <c r="DQ44" s="176">
        <v>23383.343885774269</v>
      </c>
      <c r="DR44" s="176">
        <v>23954.773340262582</v>
      </c>
      <c r="DS44" s="176">
        <v>24569.057694281233</v>
      </c>
      <c r="DT44" s="176">
        <v>25218.751331393942</v>
      </c>
      <c r="DU44" s="176">
        <v>25898.399482267461</v>
      </c>
      <c r="DV44" s="176">
        <v>26603.815169278019</v>
      </c>
      <c r="DW44" s="176">
        <v>27331.653964695237</v>
      </c>
      <c r="DX44" s="176">
        <v>28079.153601544152</v>
      </c>
      <c r="DY44" s="176">
        <v>28843.968376960573</v>
      </c>
      <c r="DZ44" s="176">
        <v>29624.060021787649</v>
      </c>
      <c r="EA44" s="176">
        <v>30000</v>
      </c>
      <c r="EB44" s="176">
        <v>30000</v>
      </c>
      <c r="EC44" s="176">
        <v>30000</v>
      </c>
      <c r="ED44" s="176">
        <v>30000</v>
      </c>
      <c r="EE44" s="176">
        <v>30000</v>
      </c>
      <c r="EF44" s="176">
        <v>30000</v>
      </c>
      <c r="EG44" s="176">
        <v>30000</v>
      </c>
      <c r="EH44" s="176">
        <v>30000</v>
      </c>
      <c r="EI44" s="176">
        <v>30000</v>
      </c>
      <c r="EJ44" s="176">
        <v>30000</v>
      </c>
      <c r="EK44" s="176">
        <v>30000</v>
      </c>
      <c r="EL44" s="176">
        <v>30000</v>
      </c>
      <c r="EM44" s="176">
        <v>30000</v>
      </c>
      <c r="EN44" s="176">
        <v>30000</v>
      </c>
      <c r="EO44" s="176">
        <v>30000</v>
      </c>
      <c r="EP44" t="str">
        <f t="shared" si="0"/>
        <v>8y 212d</v>
      </c>
      <c r="ES44" s="258"/>
      <c r="ET44" s="258"/>
      <c r="EU44" s="258"/>
      <c r="EV44" s="258"/>
      <c r="EW44" s="258"/>
      <c r="EX44" s="258"/>
    </row>
    <row r="45" spans="2:154" ht="15" customHeight="1" x14ac:dyDescent="0.25">
      <c r="B45" s="70">
        <v>42</v>
      </c>
      <c r="D45">
        <v>12843289.634449827</v>
      </c>
      <c r="E45" s="12">
        <v>-25350731611.980877</v>
      </c>
      <c r="F45" s="12">
        <v>-149527526147.78024</v>
      </c>
      <c r="G45" s="12">
        <v>0</v>
      </c>
      <c r="H45" s="12">
        <v>355110286.02390736</v>
      </c>
      <c r="I45" s="12">
        <v>-1404703732862.8638</v>
      </c>
      <c r="J45" s="12">
        <v>-324780123226.69226</v>
      </c>
      <c r="K45" s="12">
        <v>61493378797.682686</v>
      </c>
      <c r="L45" s="12">
        <v>5631723.8335562097</v>
      </c>
      <c r="M45" s="12">
        <v>177064257061.24182</v>
      </c>
      <c r="N45" s="12">
        <v>-14517983331.779314</v>
      </c>
      <c r="O45" s="12">
        <v>210995778.02331051</v>
      </c>
      <c r="P45" s="12">
        <v>5631724.0749794673</v>
      </c>
      <c r="Q45" s="12">
        <v>177064400790.47067</v>
      </c>
      <c r="R45" s="12">
        <v>-14517993852.598244</v>
      </c>
      <c r="S45" s="12">
        <v>0</v>
      </c>
      <c r="T45" s="12">
        <v>11349550.576057686</v>
      </c>
      <c r="U45" s="12">
        <v>216871354673.3624</v>
      </c>
      <c r="V45" s="12">
        <v>376106113228.29803</v>
      </c>
      <c r="W45" s="12">
        <v>-105381509.46354632</v>
      </c>
      <c r="X45" s="12">
        <v>5562803.697962001</v>
      </c>
      <c r="Y45" s="12">
        <v>195647939335.48331</v>
      </c>
      <c r="Z45" s="12">
        <v>24824830894.284576</v>
      </c>
      <c r="AA45" s="12">
        <v>-8209283930.1317396</v>
      </c>
      <c r="AB45" s="12"/>
      <c r="AC45" s="12"/>
      <c r="AD45" s="12"/>
      <c r="AE45" s="12"/>
      <c r="AG45" s="70" t="s">
        <v>22</v>
      </c>
      <c r="AH45" s="70" t="s">
        <v>23</v>
      </c>
      <c r="AI45" s="70" t="s">
        <v>26</v>
      </c>
      <c r="AS45" s="6">
        <v>276089377.65144253</v>
      </c>
      <c r="AT45" s="176">
        <v>30000</v>
      </c>
      <c r="AU45" s="176">
        <v>30000</v>
      </c>
      <c r="AV45" s="176">
        <v>30000</v>
      </c>
      <c r="AW45" s="176">
        <v>30000</v>
      </c>
      <c r="AX45" s="176">
        <v>30000</v>
      </c>
      <c r="AY45" s="176">
        <v>30000</v>
      </c>
      <c r="AZ45" s="176">
        <v>30000</v>
      </c>
      <c r="BA45" s="176">
        <v>30000</v>
      </c>
      <c r="BB45" s="176">
        <v>30000</v>
      </c>
      <c r="BC45" s="176">
        <v>30000</v>
      </c>
      <c r="BD45" s="176">
        <v>30000</v>
      </c>
      <c r="BE45" s="176">
        <v>30000</v>
      </c>
      <c r="BF45" s="176">
        <v>30000</v>
      </c>
      <c r="BG45" s="176">
        <v>30000</v>
      </c>
      <c r="BH45" s="176">
        <v>30000</v>
      </c>
      <c r="BI45" s="176">
        <v>30000</v>
      </c>
      <c r="BJ45" s="176">
        <v>30000</v>
      </c>
      <c r="BK45" s="176">
        <v>30000</v>
      </c>
      <c r="BL45" s="176">
        <v>30000</v>
      </c>
      <c r="BM45" s="176">
        <v>30000</v>
      </c>
      <c r="BN45" s="176">
        <v>30000</v>
      </c>
      <c r="BO45" s="176">
        <v>30000</v>
      </c>
      <c r="BP45" s="176">
        <v>30000</v>
      </c>
      <c r="BQ45" s="176">
        <v>30000</v>
      </c>
      <c r="BR45" s="176">
        <v>30000</v>
      </c>
      <c r="BS45" s="176">
        <v>30000</v>
      </c>
      <c r="BT45" s="176">
        <v>30000</v>
      </c>
      <c r="BU45" s="176">
        <v>30000</v>
      </c>
      <c r="BV45" s="176">
        <v>30000</v>
      </c>
      <c r="BW45" s="176">
        <v>30000</v>
      </c>
      <c r="BX45" s="176">
        <v>30000</v>
      </c>
      <c r="BY45" s="176">
        <v>30000</v>
      </c>
      <c r="BZ45" s="176">
        <v>30000</v>
      </c>
      <c r="CA45" s="176">
        <v>30000</v>
      </c>
      <c r="CB45" s="176">
        <v>30000</v>
      </c>
      <c r="CC45" s="176">
        <v>30000</v>
      </c>
      <c r="CD45" s="176">
        <v>30000</v>
      </c>
      <c r="CE45" s="176">
        <v>30000</v>
      </c>
      <c r="CF45" s="176">
        <v>30000</v>
      </c>
      <c r="CG45" s="176">
        <v>30000</v>
      </c>
      <c r="CH45" s="176">
        <v>30000</v>
      </c>
      <c r="CI45" s="176">
        <v>29312.971999447054</v>
      </c>
      <c r="CJ45" s="176">
        <v>28490.131239510491</v>
      </c>
      <c r="CK45" s="176">
        <v>27689.025379581151</v>
      </c>
      <c r="CL45" s="176">
        <v>26910.970154393261</v>
      </c>
      <c r="CM45" s="176">
        <v>26157.442010724561</v>
      </c>
      <c r="CN45" s="176">
        <v>25430.113665632402</v>
      </c>
      <c r="CO45" s="176">
        <v>24730.895958858531</v>
      </c>
      <c r="CP45" s="176">
        <v>24061.988182647416</v>
      </c>
      <c r="CQ45" s="176">
        <v>23425.940107840477</v>
      </c>
      <c r="CR45" s="176">
        <v>22825.730536845746</v>
      </c>
      <c r="CS45" s="176">
        <v>22264.869774323652</v>
      </c>
      <c r="CT45" s="176">
        <v>21747.537594496574</v>
      </c>
      <c r="CU45" s="176">
        <v>21278.775429921479</v>
      </c>
      <c r="CV45" s="176">
        <v>20864.764388225194</v>
      </c>
      <c r="CW45" s="176">
        <v>20513.245417788617</v>
      </c>
      <c r="CX45" s="176">
        <v>20234.188295679167</v>
      </c>
      <c r="CY45" s="176">
        <v>20040.924034581636</v>
      </c>
      <c r="CZ45" s="176">
        <v>19836.504691512007</v>
      </c>
      <c r="DA45" s="176">
        <v>19611.448326668113</v>
      </c>
      <c r="DB45" s="176">
        <v>19443.321222585149</v>
      </c>
      <c r="DC45" s="176">
        <v>19333.693308590162</v>
      </c>
      <c r="DD45" s="176">
        <v>19283.619928567423</v>
      </c>
      <c r="DE45" s="176">
        <v>19293.578659050836</v>
      </c>
      <c r="DF45" s="176">
        <v>19363.43635619399</v>
      </c>
      <c r="DG45" s="176">
        <v>19492.450356825</v>
      </c>
      <c r="DH45" s="176">
        <v>19679.303448582985</v>
      </c>
      <c r="DI45" s="176">
        <v>19922.168023503185</v>
      </c>
      <c r="DJ45" s="176">
        <v>20218.791626213137</v>
      </c>
      <c r="DK45" s="176">
        <v>20566.594450206525</v>
      </c>
      <c r="DL45" s="176">
        <v>20962.769528812718</v>
      </c>
      <c r="DM45" s="176">
        <v>21404.377648745482</v>
      </c>
      <c r="DN45" s="176">
        <v>21888.431266996427</v>
      </c>
      <c r="DO45" s="176">
        <v>22294.551384551756</v>
      </c>
      <c r="DP45" s="176">
        <v>22686.595165965733</v>
      </c>
      <c r="DQ45" s="176">
        <v>23164.468982093706</v>
      </c>
      <c r="DR45" s="176">
        <v>23705.653431207356</v>
      </c>
      <c r="DS45" s="176">
        <v>24296.010169003093</v>
      </c>
      <c r="DT45" s="176">
        <v>24926.088469634022</v>
      </c>
      <c r="DU45" s="176">
        <v>25589.201796282679</v>
      </c>
      <c r="DV45" s="176">
        <v>26280.37414987637</v>
      </c>
      <c r="DW45" s="176">
        <v>26995.736086199584</v>
      </c>
      <c r="DX45" s="176">
        <v>27732.163764934056</v>
      </c>
      <c r="DY45" s="176">
        <v>28487.054704276317</v>
      </c>
      <c r="DZ45" s="176">
        <v>29258.183295847524</v>
      </c>
      <c r="EA45" s="176">
        <v>30000</v>
      </c>
      <c r="EB45" s="176">
        <v>30000</v>
      </c>
      <c r="EC45" s="176">
        <v>30000</v>
      </c>
      <c r="ED45" s="176">
        <v>30000</v>
      </c>
      <c r="EE45" s="176">
        <v>30000</v>
      </c>
      <c r="EF45" s="176">
        <v>30000</v>
      </c>
      <c r="EG45" s="176">
        <v>30000</v>
      </c>
      <c r="EH45" s="176">
        <v>30000</v>
      </c>
      <c r="EI45" s="176">
        <v>30000</v>
      </c>
      <c r="EJ45" s="176">
        <v>30000</v>
      </c>
      <c r="EK45" s="176">
        <v>30000</v>
      </c>
      <c r="EL45" s="176">
        <v>30000</v>
      </c>
      <c r="EM45" s="176">
        <v>30000</v>
      </c>
      <c r="EN45" s="176">
        <v>30000</v>
      </c>
      <c r="EO45" s="176">
        <v>30000</v>
      </c>
      <c r="EP45" t="str">
        <f t="shared" si="0"/>
        <v>8y 273d</v>
      </c>
      <c r="ES45" s="258"/>
      <c r="ET45" s="258"/>
      <c r="EU45" s="258"/>
      <c r="EV45" s="258"/>
      <c r="EW45" s="258"/>
      <c r="EX45" s="258"/>
    </row>
    <row r="46" spans="2:154" ht="15" customHeight="1" x14ac:dyDescent="0.25">
      <c r="B46" s="70">
        <v>43</v>
      </c>
      <c r="D46">
        <v>13167943.783559028</v>
      </c>
      <c r="E46" s="12">
        <v>-15920784595.649128</v>
      </c>
      <c r="F46" s="12">
        <v>-150909447689.98495</v>
      </c>
      <c r="G46" s="12">
        <v>0</v>
      </c>
      <c r="H46" s="12">
        <v>364647494.83201087</v>
      </c>
      <c r="I46" s="12">
        <v>-1386355599466.989</v>
      </c>
      <c r="J46" s="12">
        <v>-413864002053.46289</v>
      </c>
      <c r="K46" s="12">
        <v>62315871274.898705</v>
      </c>
      <c r="L46" s="12">
        <v>5821399.5841318946</v>
      </c>
      <c r="M46" s="12">
        <v>180323959537.80405</v>
      </c>
      <c r="N46" s="12">
        <v>-8473661004.8827963</v>
      </c>
      <c r="O46" s="12">
        <v>215334320.59861177</v>
      </c>
      <c r="P46" s="12">
        <v>5821399.8493212545</v>
      </c>
      <c r="Q46" s="12">
        <v>180324106973.03311</v>
      </c>
      <c r="R46" s="12">
        <v>-8473671456.5351458</v>
      </c>
      <c r="S46" s="12">
        <v>0</v>
      </c>
      <c r="T46" s="12">
        <v>11861449.764908474</v>
      </c>
      <c r="U46" s="12">
        <v>214900720007.76459</v>
      </c>
      <c r="V46" s="12">
        <v>386596768432.02496</v>
      </c>
      <c r="W46" s="12">
        <v>-109594526.52228287</v>
      </c>
      <c r="X46" s="12">
        <v>5773636.175977665</v>
      </c>
      <c r="Y46" s="12">
        <v>198289277856.99234</v>
      </c>
      <c r="Z46" s="12">
        <v>31503322801.143448</v>
      </c>
      <c r="AA46" s="12">
        <v>-8430612338.770505</v>
      </c>
      <c r="AB46" s="12"/>
      <c r="AC46" s="12"/>
      <c r="AD46" s="12"/>
      <c r="AE46" s="12"/>
      <c r="AG46" s="27">
        <v>0</v>
      </c>
      <c r="AH46" s="27">
        <v>0</v>
      </c>
      <c r="AI46" s="27">
        <v>0</v>
      </c>
      <c r="AS46" s="6">
        <v>281356142.88776523</v>
      </c>
      <c r="AT46" s="176">
        <v>30000</v>
      </c>
      <c r="AU46" s="176">
        <v>30000</v>
      </c>
      <c r="AV46" s="176">
        <v>30000</v>
      </c>
      <c r="AW46" s="176">
        <v>30000</v>
      </c>
      <c r="AX46" s="176">
        <v>30000</v>
      </c>
      <c r="AY46" s="176">
        <v>30000</v>
      </c>
      <c r="AZ46" s="176">
        <v>30000</v>
      </c>
      <c r="BA46" s="176">
        <v>30000</v>
      </c>
      <c r="BB46" s="176">
        <v>30000</v>
      </c>
      <c r="BC46" s="176">
        <v>30000</v>
      </c>
      <c r="BD46" s="176">
        <v>30000</v>
      </c>
      <c r="BE46" s="176">
        <v>30000</v>
      </c>
      <c r="BF46" s="176">
        <v>30000</v>
      </c>
      <c r="BG46" s="176">
        <v>30000</v>
      </c>
      <c r="BH46" s="176">
        <v>30000</v>
      </c>
      <c r="BI46" s="176">
        <v>30000</v>
      </c>
      <c r="BJ46" s="176">
        <v>30000</v>
      </c>
      <c r="BK46" s="176">
        <v>30000</v>
      </c>
      <c r="BL46" s="176">
        <v>30000</v>
      </c>
      <c r="BM46" s="176">
        <v>30000</v>
      </c>
      <c r="BN46" s="176">
        <v>30000</v>
      </c>
      <c r="BO46" s="176">
        <v>30000</v>
      </c>
      <c r="BP46" s="176">
        <v>30000</v>
      </c>
      <c r="BQ46" s="176">
        <v>30000</v>
      </c>
      <c r="BR46" s="176">
        <v>30000</v>
      </c>
      <c r="BS46" s="176">
        <v>30000</v>
      </c>
      <c r="BT46" s="176">
        <v>30000</v>
      </c>
      <c r="BU46" s="176">
        <v>30000</v>
      </c>
      <c r="BV46" s="176">
        <v>30000</v>
      </c>
      <c r="BW46" s="176">
        <v>30000</v>
      </c>
      <c r="BX46" s="176">
        <v>30000</v>
      </c>
      <c r="BY46" s="176">
        <v>30000</v>
      </c>
      <c r="BZ46" s="176">
        <v>30000</v>
      </c>
      <c r="CA46" s="176">
        <v>30000</v>
      </c>
      <c r="CB46" s="176">
        <v>30000</v>
      </c>
      <c r="CC46" s="176">
        <v>30000</v>
      </c>
      <c r="CD46" s="176">
        <v>30000</v>
      </c>
      <c r="CE46" s="176">
        <v>30000</v>
      </c>
      <c r="CF46" s="176">
        <v>30000</v>
      </c>
      <c r="CG46" s="176">
        <v>30000</v>
      </c>
      <c r="CH46" s="176">
        <v>30000</v>
      </c>
      <c r="CI46" s="176">
        <v>29779.366827841055</v>
      </c>
      <c r="CJ46" s="176">
        <v>28943.850885227152</v>
      </c>
      <c r="CK46" s="176">
        <v>28129.543229374034</v>
      </c>
      <c r="CL46" s="176">
        <v>27337.704996766923</v>
      </c>
      <c r="CM46" s="176">
        <v>26569.743478819393</v>
      </c>
      <c r="CN46" s="176">
        <v>25827.245505310457</v>
      </c>
      <c r="CO46" s="176">
        <v>25112.016367967779</v>
      </c>
      <c r="CP46" s="176">
        <v>24426.126087640623</v>
      </c>
      <c r="CQ46" s="176">
        <v>23771.965642605683</v>
      </c>
      <c r="CR46" s="176">
        <v>23152.317020869581</v>
      </c>
      <c r="CS46" s="176">
        <v>22570.442898173169</v>
      </c>
      <c r="CT46" s="176">
        <v>22030.204837775953</v>
      </c>
      <c r="CU46" s="176">
        <v>21536.224034287588</v>
      </c>
      <c r="CV46" s="176">
        <v>21094.107566503957</v>
      </c>
      <c r="CW46" s="176">
        <v>20710.779741558959</v>
      </c>
      <c r="CX46" s="176">
        <v>20394.991051646972</v>
      </c>
      <c r="CY46" s="176">
        <v>20158.146294716084</v>
      </c>
      <c r="CZ46" s="176">
        <v>20000.079209880721</v>
      </c>
      <c r="DA46" s="176">
        <v>19746.914689049856</v>
      </c>
      <c r="DB46" s="176">
        <v>19549.924256855713</v>
      </c>
      <c r="DC46" s="176">
        <v>19410.894733946076</v>
      </c>
      <c r="DD46" s="176">
        <v>19331.134781089528</v>
      </c>
      <c r="DE46" s="176">
        <v>19311.399375966725</v>
      </c>
      <c r="DF46" s="176">
        <v>19351.841510484726</v>
      </c>
      <c r="DG46" s="176">
        <v>19451.996883441429</v>
      </c>
      <c r="DH46" s="176">
        <v>19610.803319263752</v>
      </c>
      <c r="DI46" s="176">
        <v>19826.652225582588</v>
      </c>
      <c r="DJ46" s="176">
        <v>20097.465616502985</v>
      </c>
      <c r="DK46" s="176">
        <v>20420.789745688253</v>
      </c>
      <c r="DL46" s="176">
        <v>20793.895715153369</v>
      </c>
      <c r="DM46" s="176">
        <v>21213.878358002094</v>
      </c>
      <c r="DN46" s="176">
        <v>21677.746419616033</v>
      </c>
      <c r="DO46" s="176">
        <v>22182.499703712205</v>
      </c>
      <c r="DP46" s="176">
        <v>22537.186294136438</v>
      </c>
      <c r="DQ46" s="176">
        <v>22966.179501236536</v>
      </c>
      <c r="DR46" s="176">
        <v>23471.659775504493</v>
      </c>
      <c r="DS46" s="176">
        <v>24034.574949586251</v>
      </c>
      <c r="DT46" s="176">
        <v>24642.677944669915</v>
      </c>
      <c r="DU46" s="176">
        <v>25287.61155149393</v>
      </c>
      <c r="DV46" s="176">
        <v>25963.356694547583</v>
      </c>
      <c r="DW46" s="176">
        <v>26665.366041001835</v>
      </c>
      <c r="DX46" s="176">
        <v>27390.058831747199</v>
      </c>
      <c r="DY46" s="176">
        <v>28134.514310286308</v>
      </c>
      <c r="DZ46" s="176">
        <v>28896.278589792804</v>
      </c>
      <c r="EA46" s="176">
        <v>29673.238640204836</v>
      </c>
      <c r="EB46" s="176">
        <v>30000</v>
      </c>
      <c r="EC46" s="176">
        <v>30000</v>
      </c>
      <c r="ED46" s="176">
        <v>30000</v>
      </c>
      <c r="EE46" s="176">
        <v>30000</v>
      </c>
      <c r="EF46" s="176">
        <v>30000</v>
      </c>
      <c r="EG46" s="176">
        <v>30000</v>
      </c>
      <c r="EH46" s="176">
        <v>30000</v>
      </c>
      <c r="EI46" s="176">
        <v>30000</v>
      </c>
      <c r="EJ46" s="176">
        <v>30000</v>
      </c>
      <c r="EK46" s="176">
        <v>30000</v>
      </c>
      <c r="EL46" s="176">
        <v>30000</v>
      </c>
      <c r="EM46" s="176">
        <v>30000</v>
      </c>
      <c r="EN46" s="176">
        <v>30000</v>
      </c>
      <c r="EO46" s="176">
        <v>30000</v>
      </c>
      <c r="EP46" t="str">
        <f t="shared" si="0"/>
        <v>8y 334d</v>
      </c>
      <c r="ES46" s="258"/>
      <c r="ET46" s="258"/>
      <c r="EU46" s="258"/>
      <c r="EV46" s="258"/>
      <c r="EW46" s="258"/>
      <c r="EX46" s="258"/>
    </row>
    <row r="47" spans="2:154" ht="15" customHeight="1" x14ac:dyDescent="0.25">
      <c r="B47" s="70">
        <v>44</v>
      </c>
      <c r="D47">
        <v>13492946.225074925</v>
      </c>
      <c r="E47" s="12">
        <v>-6416939651.2035236</v>
      </c>
      <c r="F47" s="12">
        <v>-151688250236.99194</v>
      </c>
      <c r="G47" s="12">
        <v>0</v>
      </c>
      <c r="H47" s="12">
        <v>374251622.08883369</v>
      </c>
      <c r="I47" s="12">
        <v>-1362314643785.8699</v>
      </c>
      <c r="J47" s="12">
        <v>-501911695515.10059</v>
      </c>
      <c r="K47" s="12">
        <v>62894028760.416557</v>
      </c>
      <c r="L47" s="12">
        <v>6017367.6339911595</v>
      </c>
      <c r="M47" s="12">
        <v>183538216754.33176</v>
      </c>
      <c r="N47" s="12">
        <v>-2221621999.8096461</v>
      </c>
      <c r="O47" s="12">
        <v>219633387.83292314</v>
      </c>
      <c r="P47" s="12">
        <v>6017367.9241932379</v>
      </c>
      <c r="Q47" s="12">
        <v>183538367911.12256</v>
      </c>
      <c r="R47" s="12">
        <v>-2221632356.9834933</v>
      </c>
      <c r="S47" s="12">
        <v>0</v>
      </c>
      <c r="T47" s="12">
        <v>12392864.216716377</v>
      </c>
      <c r="U47" s="12">
        <v>212763668838.14365</v>
      </c>
      <c r="V47" s="12">
        <v>397323116894.85498</v>
      </c>
      <c r="W47" s="12">
        <v>-113921594.87290849</v>
      </c>
      <c r="X47" s="12">
        <v>5992277.3534150971</v>
      </c>
      <c r="Y47" s="12">
        <v>200876325086.83508</v>
      </c>
      <c r="Z47" s="12">
        <v>38404986152.867188</v>
      </c>
      <c r="AA47" s="12">
        <v>-8653670296.0464802</v>
      </c>
      <c r="AB47" s="12"/>
      <c r="AC47" s="12"/>
      <c r="AD47" s="12"/>
      <c r="AE47" s="12"/>
      <c r="AS47" s="6">
        <v>286622908.12408793</v>
      </c>
      <c r="AT47" s="176">
        <v>30000</v>
      </c>
      <c r="AU47" s="176">
        <v>30000</v>
      </c>
      <c r="AV47" s="176">
        <v>30000</v>
      </c>
      <c r="AW47" s="176">
        <v>30000</v>
      </c>
      <c r="AX47" s="176">
        <v>30000</v>
      </c>
      <c r="AY47" s="176">
        <v>30000</v>
      </c>
      <c r="AZ47" s="176">
        <v>30000</v>
      </c>
      <c r="BA47" s="176">
        <v>30000</v>
      </c>
      <c r="BB47" s="176">
        <v>30000</v>
      </c>
      <c r="BC47" s="176">
        <v>30000</v>
      </c>
      <c r="BD47" s="176">
        <v>30000</v>
      </c>
      <c r="BE47" s="176">
        <v>30000</v>
      </c>
      <c r="BF47" s="176">
        <v>30000</v>
      </c>
      <c r="BG47" s="176">
        <v>30000</v>
      </c>
      <c r="BH47" s="176">
        <v>30000</v>
      </c>
      <c r="BI47" s="176">
        <v>30000</v>
      </c>
      <c r="BJ47" s="176">
        <v>30000</v>
      </c>
      <c r="BK47" s="176">
        <v>30000</v>
      </c>
      <c r="BL47" s="176">
        <v>30000</v>
      </c>
      <c r="BM47" s="176">
        <v>30000</v>
      </c>
      <c r="BN47" s="176">
        <v>30000</v>
      </c>
      <c r="BO47" s="176">
        <v>30000</v>
      </c>
      <c r="BP47" s="176">
        <v>30000</v>
      </c>
      <c r="BQ47" s="176">
        <v>30000</v>
      </c>
      <c r="BR47" s="176">
        <v>30000</v>
      </c>
      <c r="BS47" s="176">
        <v>30000</v>
      </c>
      <c r="BT47" s="176">
        <v>30000</v>
      </c>
      <c r="BU47" s="176">
        <v>30000</v>
      </c>
      <c r="BV47" s="176">
        <v>30000</v>
      </c>
      <c r="BW47" s="176">
        <v>30000</v>
      </c>
      <c r="BX47" s="176">
        <v>30000</v>
      </c>
      <c r="BY47" s="176">
        <v>30000</v>
      </c>
      <c r="BZ47" s="176">
        <v>30000</v>
      </c>
      <c r="CA47" s="176">
        <v>30000</v>
      </c>
      <c r="CB47" s="176">
        <v>30000</v>
      </c>
      <c r="CC47" s="176">
        <v>30000</v>
      </c>
      <c r="CD47" s="176">
        <v>30000</v>
      </c>
      <c r="CE47" s="176">
        <v>30000</v>
      </c>
      <c r="CF47" s="176">
        <v>30000</v>
      </c>
      <c r="CG47" s="176">
        <v>30000</v>
      </c>
      <c r="CH47" s="176">
        <v>30000</v>
      </c>
      <c r="CI47" s="176">
        <v>30000</v>
      </c>
      <c r="CJ47" s="176">
        <v>29405.580478938271</v>
      </c>
      <c r="CK47" s="176">
        <v>28578.338900224575</v>
      </c>
      <c r="CL47" s="176">
        <v>27772.996254863352</v>
      </c>
      <c r="CM47" s="176">
        <v>26990.896746206323</v>
      </c>
      <c r="CN47" s="176">
        <v>26233.548194424166</v>
      </c>
      <c r="CO47" s="176">
        <v>25502.65835817438</v>
      </c>
      <c r="CP47" s="176">
        <v>24800.177664376843</v>
      </c>
      <c r="CQ47" s="176">
        <v>24128.350492657049</v>
      </c>
      <c r="CR47" s="176">
        <v>23489.778133305721</v>
      </c>
      <c r="CS47" s="176">
        <v>22887.498023812121</v>
      </c>
      <c r="CT47" s="176">
        <v>22325.086188465757</v>
      </c>
      <c r="CU47" s="176">
        <v>21806.793541759856</v>
      </c>
      <c r="CV47" s="176">
        <v>21337.733025072754</v>
      </c>
      <c r="CW47" s="176">
        <v>20924.145879302989</v>
      </c>
      <c r="CX47" s="176">
        <v>20573.797159431</v>
      </c>
      <c r="CY47" s="176">
        <v>20296.595235998058</v>
      </c>
      <c r="CZ47" s="176">
        <v>20105.625870822525</v>
      </c>
      <c r="DA47" s="176">
        <v>19895.821447566977</v>
      </c>
      <c r="DB47" s="176">
        <v>19670.12579621562</v>
      </c>
      <c r="DC47" s="176">
        <v>19501.739900930352</v>
      </c>
      <c r="DD47" s="176">
        <v>19392.212623855587</v>
      </c>
      <c r="DE47" s="176">
        <v>19342.569837482773</v>
      </c>
      <c r="DF47" s="176">
        <v>19353.251835476574</v>
      </c>
      <c r="DG47" s="176">
        <v>19424.081614509934</v>
      </c>
      <c r="DH47" s="176">
        <v>19554.267829952434</v>
      </c>
      <c r="DI47" s="176">
        <v>19742.441817760358</v>
      </c>
      <c r="DJ47" s="176">
        <v>19986.72394978903</v>
      </c>
      <c r="DK47" s="176">
        <v>20284.810966526071</v>
      </c>
      <c r="DL47" s="176">
        <v>20634.075249419875</v>
      </c>
      <c r="DM47" s="176">
        <v>21031.66605579172</v>
      </c>
      <c r="DN47" s="176">
        <v>21474.605124469399</v>
      </c>
      <c r="DO47" s="176">
        <v>21959.870904636609</v>
      </c>
      <c r="DP47" s="176">
        <v>22425.360095854725</v>
      </c>
      <c r="DQ47" s="176">
        <v>22793.215121628215</v>
      </c>
      <c r="DR47" s="176">
        <v>23255.719218325507</v>
      </c>
      <c r="DS47" s="176">
        <v>23786.648455733237</v>
      </c>
      <c r="DT47" s="176">
        <v>24369.802732015225</v>
      </c>
      <c r="DU47" s="176">
        <v>24994.530652651552</v>
      </c>
      <c r="DV47" s="176">
        <v>25653.41841826083</v>
      </c>
      <c r="DW47" s="176">
        <v>26341.034230893434</v>
      </c>
      <c r="DX47" s="176">
        <v>27053.214433670146</v>
      </c>
      <c r="DY47" s="176">
        <v>27786.640448619983</v>
      </c>
      <c r="DZ47" s="176">
        <v>28538.57821304903</v>
      </c>
      <c r="EA47" s="176">
        <v>29306.71181113839</v>
      </c>
      <c r="EB47" s="176">
        <v>30000</v>
      </c>
      <c r="EC47" s="176">
        <v>30000</v>
      </c>
      <c r="ED47" s="176">
        <v>30000</v>
      </c>
      <c r="EE47" s="176">
        <v>30000</v>
      </c>
      <c r="EF47" s="176">
        <v>30000</v>
      </c>
      <c r="EG47" s="176">
        <v>30000</v>
      </c>
      <c r="EH47" s="176">
        <v>30000</v>
      </c>
      <c r="EI47" s="176">
        <v>30000</v>
      </c>
      <c r="EJ47" s="176">
        <v>30000</v>
      </c>
      <c r="EK47" s="176">
        <v>30000</v>
      </c>
      <c r="EL47" s="176">
        <v>30000</v>
      </c>
      <c r="EM47" s="176">
        <v>30000</v>
      </c>
      <c r="EN47" s="176">
        <v>30000</v>
      </c>
      <c r="EO47" s="176">
        <v>30000</v>
      </c>
      <c r="EP47" t="str">
        <f t="shared" si="0"/>
        <v>9y 30d</v>
      </c>
      <c r="ES47" s="258"/>
      <c r="ET47" s="258"/>
      <c r="EU47" s="258"/>
      <c r="EV47" s="258"/>
      <c r="EW47" s="258"/>
      <c r="EX47" s="258"/>
    </row>
    <row r="48" spans="2:154" ht="15" customHeight="1" x14ac:dyDescent="0.25">
      <c r="B48" s="70">
        <v>45</v>
      </c>
      <c r="D48">
        <v>13818259.213393105</v>
      </c>
      <c r="E48" s="12">
        <v>3121703613.0325589</v>
      </c>
      <c r="F48" s="12">
        <v>-151859803419.33188</v>
      </c>
      <c r="G48" s="12">
        <v>0</v>
      </c>
      <c r="H48" s="12">
        <v>383922209.87617218</v>
      </c>
      <c r="I48" s="12">
        <v>-1332621016261.5515</v>
      </c>
      <c r="J48" s="12">
        <v>-588547156668.33289</v>
      </c>
      <c r="K48" s="12">
        <v>63222896571.500465</v>
      </c>
      <c r="L48" s="12">
        <v>6220098.9107517591</v>
      </c>
      <c r="M48" s="12">
        <v>186704357711.79507</v>
      </c>
      <c r="N48" s="12">
        <v>4248096147.6493406</v>
      </c>
      <c r="O48" s="12">
        <v>223890497.99436271</v>
      </c>
      <c r="P48" s="12">
        <v>6220099.2272778396</v>
      </c>
      <c r="Q48" s="12">
        <v>186704512605.46048</v>
      </c>
      <c r="R48" s="12">
        <v>4248085911.3560309</v>
      </c>
      <c r="S48" s="12">
        <v>0</v>
      </c>
      <c r="T48" s="12">
        <v>12944735.660873208</v>
      </c>
      <c r="U48" s="12">
        <v>210452238337.05194</v>
      </c>
      <c r="V48" s="12">
        <v>408290344644.16705</v>
      </c>
      <c r="W48" s="12">
        <v>-118365907.0842663</v>
      </c>
      <c r="X48" s="12">
        <v>6219271.4244472682</v>
      </c>
      <c r="Y48" s="12">
        <v>203405142286.19604</v>
      </c>
      <c r="Z48" s="12">
        <v>45540273607.211548</v>
      </c>
      <c r="AA48" s="12">
        <v>-8878483322.6591702</v>
      </c>
      <c r="AB48" s="12"/>
      <c r="AC48" s="12"/>
      <c r="AD48" s="12"/>
      <c r="AE48" s="12"/>
      <c r="AG48" s="208" t="s">
        <v>67</v>
      </c>
      <c r="AH48" s="208"/>
      <c r="AI48" s="208"/>
      <c r="AS48" s="6">
        <v>291889673.36041063</v>
      </c>
      <c r="AT48" s="176">
        <v>30000</v>
      </c>
      <c r="AU48" s="176">
        <v>30000</v>
      </c>
      <c r="AV48" s="176">
        <v>30000</v>
      </c>
      <c r="AW48" s="176">
        <v>30000</v>
      </c>
      <c r="AX48" s="176">
        <v>30000</v>
      </c>
      <c r="AY48" s="176">
        <v>30000</v>
      </c>
      <c r="AZ48" s="176">
        <v>30000</v>
      </c>
      <c r="BA48" s="176">
        <v>30000</v>
      </c>
      <c r="BB48" s="176">
        <v>30000</v>
      </c>
      <c r="BC48" s="176">
        <v>30000</v>
      </c>
      <c r="BD48" s="176">
        <v>30000</v>
      </c>
      <c r="BE48" s="176">
        <v>30000</v>
      </c>
      <c r="BF48" s="176">
        <v>30000</v>
      </c>
      <c r="BG48" s="176">
        <v>30000</v>
      </c>
      <c r="BH48" s="176">
        <v>30000</v>
      </c>
      <c r="BI48" s="176">
        <v>30000</v>
      </c>
      <c r="BJ48" s="176">
        <v>30000</v>
      </c>
      <c r="BK48" s="176">
        <v>30000</v>
      </c>
      <c r="BL48" s="176">
        <v>30000</v>
      </c>
      <c r="BM48" s="176">
        <v>30000</v>
      </c>
      <c r="BN48" s="176">
        <v>30000</v>
      </c>
      <c r="BO48" s="176">
        <v>30000</v>
      </c>
      <c r="BP48" s="176">
        <v>30000</v>
      </c>
      <c r="BQ48" s="176">
        <v>30000</v>
      </c>
      <c r="BR48" s="176">
        <v>30000</v>
      </c>
      <c r="BS48" s="176">
        <v>30000</v>
      </c>
      <c r="BT48" s="176">
        <v>30000</v>
      </c>
      <c r="BU48" s="176">
        <v>30000</v>
      </c>
      <c r="BV48" s="176">
        <v>30000</v>
      </c>
      <c r="BW48" s="176">
        <v>30000</v>
      </c>
      <c r="BX48" s="176">
        <v>30000</v>
      </c>
      <c r="BY48" s="176">
        <v>30000</v>
      </c>
      <c r="BZ48" s="176">
        <v>30000</v>
      </c>
      <c r="CA48" s="176">
        <v>30000</v>
      </c>
      <c r="CB48" s="176">
        <v>30000</v>
      </c>
      <c r="CC48" s="176">
        <v>30000</v>
      </c>
      <c r="CD48" s="176">
        <v>30000</v>
      </c>
      <c r="CE48" s="176">
        <v>30000</v>
      </c>
      <c r="CF48" s="176">
        <v>30000</v>
      </c>
      <c r="CG48" s="176">
        <v>30000</v>
      </c>
      <c r="CH48" s="176">
        <v>30000</v>
      </c>
      <c r="CI48" s="176">
        <v>30000</v>
      </c>
      <c r="CJ48" s="176">
        <v>29874.954333931539</v>
      </c>
      <c r="CK48" s="176">
        <v>29035.056259983859</v>
      </c>
      <c r="CL48" s="176">
        <v>28216.496079661498</v>
      </c>
      <c r="CM48" s="176">
        <v>27420.56088608376</v>
      </c>
      <c r="CN48" s="176">
        <v>26648.686227058377</v>
      </c>
      <c r="CO48" s="176">
        <v>25902.490099020379</v>
      </c>
      <c r="CP48" s="176">
        <v>25183.812571135626</v>
      </c>
      <c r="CQ48" s="176">
        <v>24494.762813580091</v>
      </c>
      <c r="CR48" s="176">
        <v>23837.776070636508</v>
      </c>
      <c r="CS48" s="176">
        <v>23215.684271625691</v>
      </c>
      <c r="CT48" s="176">
        <v>22631.805735205926</v>
      </c>
      <c r="CU48" s="176">
        <v>22090.062189326811</v>
      </c>
      <c r="CV48" s="176">
        <v>21595.135855304165</v>
      </c>
      <c r="CW48" s="176">
        <v>21152.687194762926</v>
      </c>
      <c r="CX48" s="176">
        <v>20769.668532037038</v>
      </c>
      <c r="CY48" s="176">
        <v>20454.797919580018</v>
      </c>
      <c r="CZ48" s="176">
        <v>20219.319056277578</v>
      </c>
      <c r="DA48" s="176">
        <v>20058.108574448412</v>
      </c>
      <c r="DB48" s="176">
        <v>19803.933227819187</v>
      </c>
      <c r="DC48" s="176">
        <v>19606.310066241072</v>
      </c>
      <c r="DD48" s="176">
        <v>19467.012072303132</v>
      </c>
      <c r="DE48" s="176">
        <v>19387.325846500644</v>
      </c>
      <c r="DF48" s="176">
        <v>19367.976211513494</v>
      </c>
      <c r="DG48" s="176">
        <v>19409.078679790557</v>
      </c>
      <c r="DH48" s="176">
        <v>19510.125507518344</v>
      </c>
      <c r="DI48" s="176">
        <v>19670.006914139751</v>
      </c>
      <c r="DJ48" s="176">
        <v>19887.064563540076</v>
      </c>
      <c r="DK48" s="176">
        <v>20159.17057398169</v>
      </c>
      <c r="DL48" s="176">
        <v>20483.822926831883</v>
      </c>
      <c r="DM48" s="176">
        <v>20858.24749442621</v>
      </c>
      <c r="DN48" s="176">
        <v>21279.497842081466</v>
      </c>
      <c r="DO48" s="176">
        <v>21744.545971739419</v>
      </c>
      <c r="DP48" s="176">
        <v>22250.359640041985</v>
      </c>
      <c r="DQ48" s="176">
        <v>22651.961071441765</v>
      </c>
      <c r="DR48" s="176">
        <v>23061.643556651019</v>
      </c>
      <c r="DS48" s="176">
        <v>23554.625600751169</v>
      </c>
      <c r="DT48" s="176">
        <v>24109.038573575843</v>
      </c>
      <c r="DU48" s="176">
        <v>24711.039675932519</v>
      </c>
      <c r="DV48" s="176">
        <v>25351.32799201466</v>
      </c>
      <c r="DW48" s="176">
        <v>26023.305132546902</v>
      </c>
      <c r="DX48" s="176">
        <v>26722.056430878067</v>
      </c>
      <c r="DY48" s="176">
        <v>27443.761621663114</v>
      </c>
      <c r="DZ48" s="176">
        <v>28185.340085359287</v>
      </c>
      <c r="EA48" s="176">
        <v>28944.229220504822</v>
      </c>
      <c r="EB48" s="176">
        <v>29718.241090623189</v>
      </c>
      <c r="EC48" s="176">
        <v>30000</v>
      </c>
      <c r="ED48" s="176">
        <v>30000</v>
      </c>
      <c r="EE48" s="176">
        <v>30000</v>
      </c>
      <c r="EF48" s="176">
        <v>30000</v>
      </c>
      <c r="EG48" s="176">
        <v>30000</v>
      </c>
      <c r="EH48" s="176">
        <v>30000</v>
      </c>
      <c r="EI48" s="176">
        <v>30000</v>
      </c>
      <c r="EJ48" s="176">
        <v>30000</v>
      </c>
      <c r="EK48" s="176">
        <v>30000</v>
      </c>
      <c r="EL48" s="176">
        <v>30000</v>
      </c>
      <c r="EM48" s="176">
        <v>30000</v>
      </c>
      <c r="EN48" s="176">
        <v>30000</v>
      </c>
      <c r="EO48" s="176">
        <v>30000</v>
      </c>
      <c r="EP48" t="str">
        <f t="shared" si="0"/>
        <v>9y 91d</v>
      </c>
      <c r="ES48" s="258"/>
      <c r="ET48" s="258"/>
      <c r="EU48" s="258"/>
      <c r="EV48" s="258"/>
      <c r="EW48" s="258"/>
      <c r="EX48" s="258"/>
    </row>
    <row r="49" spans="2:154" ht="15" customHeight="1" x14ac:dyDescent="0.25">
      <c r="B49" s="70">
        <v>46</v>
      </c>
      <c r="D49">
        <v>14143843.611330913</v>
      </c>
      <c r="E49" s="12">
        <v>12655785165.103178</v>
      </c>
      <c r="F49" s="12">
        <v>-151422583724.68152</v>
      </c>
      <c r="G49" s="12">
        <v>0</v>
      </c>
      <c r="H49" s="12">
        <v>393658507.47032195</v>
      </c>
      <c r="I49" s="12">
        <v>-1297340903345.4666</v>
      </c>
      <c r="J49" s="12">
        <v>-673392918017.37805</v>
      </c>
      <c r="K49" s="12">
        <v>63298530189.473816</v>
      </c>
      <c r="L49" s="12">
        <v>6430101.6179048736</v>
      </c>
      <c r="M49" s="12">
        <v>189819339730.48163</v>
      </c>
      <c r="N49" s="12">
        <v>10946101085.919233</v>
      </c>
      <c r="O49" s="12">
        <v>228102770.6770457</v>
      </c>
      <c r="P49" s="12">
        <v>6430101.9621359603</v>
      </c>
      <c r="Q49" s="12">
        <v>189819498375.94122</v>
      </c>
      <c r="R49" s="12">
        <v>10946090998.056803</v>
      </c>
      <c r="S49" s="12">
        <v>0</v>
      </c>
      <c r="T49" s="12">
        <v>13518055.558398146</v>
      </c>
      <c r="U49" s="12">
        <v>207958100635.03293</v>
      </c>
      <c r="V49" s="12">
        <v>419503610528.80225</v>
      </c>
      <c r="W49" s="12">
        <v>-122930703.59389357</v>
      </c>
      <c r="X49" s="12">
        <v>6455205.732824007</v>
      </c>
      <c r="Y49" s="12">
        <v>205871367940.09171</v>
      </c>
      <c r="Z49" s="12">
        <v>52920256950.846596</v>
      </c>
      <c r="AA49" s="12">
        <v>-9105070919.3549595</v>
      </c>
      <c r="AB49" s="12"/>
      <c r="AC49" s="12"/>
      <c r="AD49" s="12"/>
      <c r="AE49" s="12"/>
      <c r="AG49" s="70" t="s">
        <v>22</v>
      </c>
      <c r="AH49" s="70" t="s">
        <v>23</v>
      </c>
      <c r="AI49" s="70" t="s">
        <v>26</v>
      </c>
      <c r="AS49" s="6">
        <v>297156438.59673333</v>
      </c>
      <c r="AT49" s="176">
        <v>30000</v>
      </c>
      <c r="AU49" s="176">
        <v>30000</v>
      </c>
      <c r="AV49" s="176">
        <v>30000</v>
      </c>
      <c r="AW49" s="176">
        <v>30000</v>
      </c>
      <c r="AX49" s="176">
        <v>30000</v>
      </c>
      <c r="AY49" s="176">
        <v>30000</v>
      </c>
      <c r="AZ49" s="176">
        <v>30000</v>
      </c>
      <c r="BA49" s="176">
        <v>30000</v>
      </c>
      <c r="BB49" s="176">
        <v>30000</v>
      </c>
      <c r="BC49" s="176">
        <v>30000</v>
      </c>
      <c r="BD49" s="176">
        <v>30000</v>
      </c>
      <c r="BE49" s="176">
        <v>30000</v>
      </c>
      <c r="BF49" s="176">
        <v>30000</v>
      </c>
      <c r="BG49" s="176">
        <v>30000</v>
      </c>
      <c r="BH49" s="176">
        <v>30000</v>
      </c>
      <c r="BI49" s="176">
        <v>30000</v>
      </c>
      <c r="BJ49" s="176">
        <v>30000</v>
      </c>
      <c r="BK49" s="176">
        <v>30000</v>
      </c>
      <c r="BL49" s="176">
        <v>30000</v>
      </c>
      <c r="BM49" s="176">
        <v>30000</v>
      </c>
      <c r="BN49" s="176">
        <v>30000</v>
      </c>
      <c r="BO49" s="176">
        <v>30000</v>
      </c>
      <c r="BP49" s="176">
        <v>30000</v>
      </c>
      <c r="BQ49" s="176">
        <v>30000</v>
      </c>
      <c r="BR49" s="176">
        <v>30000</v>
      </c>
      <c r="BS49" s="176">
        <v>30000</v>
      </c>
      <c r="BT49" s="176">
        <v>30000</v>
      </c>
      <c r="BU49" s="176">
        <v>30000</v>
      </c>
      <c r="BV49" s="176">
        <v>30000</v>
      </c>
      <c r="BW49" s="176">
        <v>30000</v>
      </c>
      <c r="BX49" s="176">
        <v>30000</v>
      </c>
      <c r="BY49" s="176">
        <v>30000</v>
      </c>
      <c r="BZ49" s="176">
        <v>30000</v>
      </c>
      <c r="CA49" s="176">
        <v>30000</v>
      </c>
      <c r="CB49" s="176">
        <v>30000</v>
      </c>
      <c r="CC49" s="176">
        <v>30000</v>
      </c>
      <c r="CD49" s="176">
        <v>30000</v>
      </c>
      <c r="CE49" s="176">
        <v>30000</v>
      </c>
      <c r="CF49" s="176">
        <v>30000</v>
      </c>
      <c r="CG49" s="176">
        <v>30000</v>
      </c>
      <c r="CH49" s="176">
        <v>30000</v>
      </c>
      <c r="CI49" s="176">
        <v>30000</v>
      </c>
      <c r="CJ49" s="176">
        <v>30000</v>
      </c>
      <c r="CK49" s="176">
        <v>29499.345067810362</v>
      </c>
      <c r="CL49" s="176">
        <v>28667.861632806169</v>
      </c>
      <c r="CM49" s="176">
        <v>27858.398953527038</v>
      </c>
      <c r="CN49" s="176">
        <v>27072.326885624669</v>
      </c>
      <c r="CO49" s="176">
        <v>26311.181190901938</v>
      </c>
      <c r="CP49" s="176">
        <v>25576.700413793002</v>
      </c>
      <c r="CQ49" s="176">
        <v>24870.869212918711</v>
      </c>
      <c r="CR49" s="176">
        <v>24195.970234299719</v>
      </c>
      <c r="CS49" s="176">
        <v>23554.647515937446</v>
      </c>
      <c r="CT49" s="176">
        <v>22949.985769953852</v>
      </c>
      <c r="CU49" s="176">
        <v>22385.611969343885</v>
      </c>
      <c r="CV49" s="176">
        <v>21865.828970004794</v>
      </c>
      <c r="CW49" s="176">
        <v>21395.796429698919</v>
      </c>
      <c r="CX49" s="176">
        <v>20981.784218757311</v>
      </c>
      <c r="CY49" s="176">
        <v>20631.542754416085</v>
      </c>
      <c r="CZ49" s="176">
        <v>20354.874409645869</v>
      </c>
      <c r="DA49" s="176">
        <v>20164.575802615</v>
      </c>
      <c r="DB49" s="176">
        <v>19951.306343869903</v>
      </c>
      <c r="DC49" s="176">
        <v>19724.63595690814</v>
      </c>
      <c r="DD49" s="176">
        <v>19555.640146589325</v>
      </c>
      <c r="DE49" s="176">
        <v>19445.852665205835</v>
      </c>
      <c r="DF49" s="176">
        <v>19396.27616495001</v>
      </c>
      <c r="DG49" s="176">
        <v>19407.319928869223</v>
      </c>
      <c r="DH49" s="176">
        <v>19478.769094473486</v>
      </c>
      <c r="DI49" s="176">
        <v>19609.789085252814</v>
      </c>
      <c r="DJ49" s="176">
        <v>19798.964481959523</v>
      </c>
      <c r="DK49" s="176">
        <v>20044.367266829988</v>
      </c>
      <c r="DL49" s="176">
        <v>20343.646184947676</v>
      </c>
      <c r="DM49" s="176">
        <v>20694.127461155738</v>
      </c>
      <c r="DN49" s="176">
        <v>21092.917329622363</v>
      </c>
      <c r="DO49" s="176">
        <v>21536.998424710117</v>
      </c>
      <c r="DP49" s="176">
        <v>22023.314423476113</v>
      </c>
      <c r="DQ49" s="176">
        <v>22548.83982419633</v>
      </c>
      <c r="DR49" s="176">
        <v>22894.485454212947</v>
      </c>
      <c r="DS49" s="176">
        <v>23341.579773132988</v>
      </c>
      <c r="DT49" s="176">
        <v>23862.348936865477</v>
      </c>
      <c r="DU49" s="176">
        <v>24438.44984608611</v>
      </c>
      <c r="DV49" s="176">
        <v>25057.99650819079</v>
      </c>
      <c r="DW49" s="176">
        <v>25712.834337654331</v>
      </c>
      <c r="DX49" s="176">
        <v>26397.071015044305</v>
      </c>
      <c r="DY49" s="176">
        <v>27106.247662264173</v>
      </c>
      <c r="DZ49" s="176">
        <v>27836.851422012234</v>
      </c>
      <c r="EA49" s="176">
        <v>28586.017602201955</v>
      </c>
      <c r="EB49" s="176">
        <v>29351.340971123325</v>
      </c>
      <c r="EC49" s="176">
        <v>30000</v>
      </c>
      <c r="ED49" s="176">
        <v>30000</v>
      </c>
      <c r="EE49" s="176">
        <v>30000</v>
      </c>
      <c r="EF49" s="176">
        <v>30000</v>
      </c>
      <c r="EG49" s="176">
        <v>30000</v>
      </c>
      <c r="EH49" s="176">
        <v>30000</v>
      </c>
      <c r="EI49" s="176">
        <v>30000</v>
      </c>
      <c r="EJ49" s="176">
        <v>30000</v>
      </c>
      <c r="EK49" s="176">
        <v>30000</v>
      </c>
      <c r="EL49" s="176">
        <v>30000</v>
      </c>
      <c r="EM49" s="176">
        <v>30000</v>
      </c>
      <c r="EN49" s="176">
        <v>30000</v>
      </c>
      <c r="EO49" s="176">
        <v>30000</v>
      </c>
      <c r="EP49" t="str">
        <f t="shared" si="0"/>
        <v>9y 152d</v>
      </c>
      <c r="ES49" s="258"/>
      <c r="ET49" s="258"/>
      <c r="EU49" s="258"/>
      <c r="EV49" s="258"/>
      <c r="EW49" s="258"/>
      <c r="EX49" s="258"/>
    </row>
    <row r="50" spans="2:154" ht="15" customHeight="1" x14ac:dyDescent="0.25">
      <c r="B50" s="70">
        <v>47</v>
      </c>
      <c r="D50">
        <v>14469659.060958283</v>
      </c>
      <c r="E50" s="12">
        <v>22145867730.019245</v>
      </c>
      <c r="F50" s="12">
        <v>-150377694855.50604</v>
      </c>
      <c r="G50" s="12">
        <v>0</v>
      </c>
      <c r="H50" s="12">
        <v>403459466.20753211</v>
      </c>
      <c r="I50" s="12">
        <v>-1256567179250.5132</v>
      </c>
      <c r="J50" s="12">
        <v>-756072052980.79944</v>
      </c>
      <c r="K50" s="12">
        <v>63118055334.508141</v>
      </c>
      <c r="L50" s="12">
        <v>6647925.0410231138</v>
      </c>
      <c r="M50" s="12">
        <v>192879712196.81857</v>
      </c>
      <c r="N50" s="12">
        <v>17883689765.826546</v>
      </c>
      <c r="O50" s="12">
        <v>232266886.56133392</v>
      </c>
      <c r="P50" s="12">
        <v>6647925.4144156016</v>
      </c>
      <c r="Q50" s="12">
        <v>192879874608.44037</v>
      </c>
      <c r="R50" s="12">
        <v>17883679855.164234</v>
      </c>
      <c r="S50" s="12">
        <v>0</v>
      </c>
      <c r="T50" s="12">
        <v>14113867.677994631</v>
      </c>
      <c r="U50" s="12">
        <v>205272550480.09164</v>
      </c>
      <c r="V50" s="12">
        <v>430968024986.91321</v>
      </c>
      <c r="W50" s="12">
        <v>-127619266.77446449</v>
      </c>
      <c r="X50" s="12">
        <v>6700714.9441448329</v>
      </c>
      <c r="Y50" s="12">
        <v>208270177789.6199</v>
      </c>
      <c r="Z50" s="12">
        <v>60556665670.003021</v>
      </c>
      <c r="AA50" s="12">
        <v>-9333445650.1318626</v>
      </c>
      <c r="AB50" s="12"/>
      <c r="AC50" s="12"/>
      <c r="AD50" s="12"/>
      <c r="AE50" s="12"/>
      <c r="AG50" s="27">
        <v>0</v>
      </c>
      <c r="AH50" s="27">
        <v>0</v>
      </c>
      <c r="AI50" s="27">
        <v>0</v>
      </c>
      <c r="AJ50">
        <v>8180928.888888889</v>
      </c>
      <c r="AS50" s="6">
        <v>302423203.83305603</v>
      </c>
      <c r="AT50" s="176">
        <v>30000</v>
      </c>
      <c r="AU50" s="176">
        <v>30000</v>
      </c>
      <c r="AV50" s="176">
        <v>30000</v>
      </c>
      <c r="AW50" s="176">
        <v>30000</v>
      </c>
      <c r="AX50" s="176">
        <v>30000</v>
      </c>
      <c r="AY50" s="176">
        <v>30000</v>
      </c>
      <c r="AZ50" s="176">
        <v>30000</v>
      </c>
      <c r="BA50" s="176">
        <v>30000</v>
      </c>
      <c r="BB50" s="176">
        <v>30000</v>
      </c>
      <c r="BC50" s="176">
        <v>30000</v>
      </c>
      <c r="BD50" s="176">
        <v>30000</v>
      </c>
      <c r="BE50" s="176">
        <v>30000</v>
      </c>
      <c r="BF50" s="176">
        <v>30000</v>
      </c>
      <c r="BG50" s="176">
        <v>30000</v>
      </c>
      <c r="BH50" s="176">
        <v>30000</v>
      </c>
      <c r="BI50" s="176">
        <v>30000</v>
      </c>
      <c r="BJ50" s="176">
        <v>30000</v>
      </c>
      <c r="BK50" s="176">
        <v>30000</v>
      </c>
      <c r="BL50" s="176">
        <v>30000</v>
      </c>
      <c r="BM50" s="176">
        <v>30000</v>
      </c>
      <c r="BN50" s="176">
        <v>30000</v>
      </c>
      <c r="BO50" s="176">
        <v>30000</v>
      </c>
      <c r="BP50" s="176">
        <v>30000</v>
      </c>
      <c r="BQ50" s="176">
        <v>30000</v>
      </c>
      <c r="BR50" s="176">
        <v>30000</v>
      </c>
      <c r="BS50" s="176">
        <v>30000</v>
      </c>
      <c r="BT50" s="176">
        <v>30000</v>
      </c>
      <c r="BU50" s="176">
        <v>30000</v>
      </c>
      <c r="BV50" s="176">
        <v>30000</v>
      </c>
      <c r="BW50" s="176">
        <v>30000</v>
      </c>
      <c r="BX50" s="176">
        <v>30000</v>
      </c>
      <c r="BY50" s="176">
        <v>30000</v>
      </c>
      <c r="BZ50" s="176">
        <v>30000</v>
      </c>
      <c r="CA50" s="176">
        <v>30000</v>
      </c>
      <c r="CB50" s="176">
        <v>30000</v>
      </c>
      <c r="CC50" s="176">
        <v>30000</v>
      </c>
      <c r="CD50" s="176">
        <v>30000</v>
      </c>
      <c r="CE50" s="176">
        <v>30000</v>
      </c>
      <c r="CF50" s="176">
        <v>30000</v>
      </c>
      <c r="CG50" s="176">
        <v>30000</v>
      </c>
      <c r="CH50" s="176">
        <v>30000</v>
      </c>
      <c r="CI50" s="176">
        <v>30000</v>
      </c>
      <c r="CJ50" s="176">
        <v>30000</v>
      </c>
      <c r="CK50" s="176">
        <v>29970.861059811556</v>
      </c>
      <c r="CL50" s="176">
        <v>29126.755367819194</v>
      </c>
      <c r="CM50" s="176">
        <v>28304.078498614192</v>
      </c>
      <c r="CN50" s="176">
        <v>27504.141024132332</v>
      </c>
      <c r="CO50" s="176">
        <v>26728.403754913306</v>
      </c>
      <c r="CP50" s="176">
        <v>25978.512168338028</v>
      </c>
      <c r="CQ50" s="176">
        <v>25256.336502935093</v>
      </c>
      <c r="CR50" s="176">
        <v>24564.019245162581</v>
      </c>
      <c r="CS50" s="176">
        <v>23904.032449872015</v>
      </c>
      <c r="CT50" s="176">
        <v>23279.248392078163</v>
      </c>
      <c r="CU50" s="176">
        <v>22693.028635437386</v>
      </c>
      <c r="CV50" s="176">
        <v>22149.339056176781</v>
      </c>
      <c r="CW50" s="176">
        <v>21652.902329378281</v>
      </c>
      <c r="CX50" s="176">
        <v>21209.406245253769</v>
      </c>
      <c r="CY50" s="176">
        <v>20825.799063707273</v>
      </c>
      <c r="CZ50" s="176">
        <v>20510.728991765198</v>
      </c>
      <c r="DA50" s="176">
        <v>20275.239859115711</v>
      </c>
      <c r="DB50" s="176">
        <v>20112.16001320945</v>
      </c>
      <c r="DC50" s="176">
        <v>19856.699511843643</v>
      </c>
      <c r="DD50" s="176">
        <v>19658.152888397039</v>
      </c>
      <c r="DE50" s="176">
        <v>19518.28442254999</v>
      </c>
      <c r="DF50" s="176">
        <v>19438.364116530596</v>
      </c>
      <c r="DG50" s="176">
        <v>19419.09220242126</v>
      </c>
      <c r="DH50" s="176">
        <v>19460.552126975846</v>
      </c>
      <c r="DI50" s="176">
        <v>19562.197714603328</v>
      </c>
      <c r="DJ50" s="176">
        <v>19722.875966501666</v>
      </c>
      <c r="DK50" s="176">
        <v>19940.882395636079</v>
      </c>
      <c r="DL50" s="176">
        <v>20214.041945846875</v>
      </c>
      <c r="DM50" s="176">
        <v>20539.80614021359</v>
      </c>
      <c r="DN50" s="176">
        <v>20915.356556596988</v>
      </c>
      <c r="DO50" s="176">
        <v>21337.70567920095</v>
      </c>
      <c r="DP50" s="176">
        <v>21803.788296283081</v>
      </c>
      <c r="DQ50" s="176">
        <v>22310.539140476281</v>
      </c>
      <c r="DR50" s="176">
        <v>22761.067318279922</v>
      </c>
      <c r="DS50" s="176">
        <v>23151.52194471447</v>
      </c>
      <c r="DT50" s="176">
        <v>23632.217990982972</v>
      </c>
      <c r="DU50" s="176">
        <v>24178.374069933201</v>
      </c>
      <c r="DV50" s="176">
        <v>24774.516767131368</v>
      </c>
      <c r="DW50" s="176">
        <v>25410.390941451944</v>
      </c>
      <c r="DX50" s="176">
        <v>26078.817793414397</v>
      </c>
      <c r="DY50" s="176">
        <v>26774.517534166902</v>
      </c>
      <c r="DZ50" s="176">
        <v>27493.433446943825</v>
      </c>
      <c r="EA50" s="176">
        <v>28232.328014269042</v>
      </c>
      <c r="EB50" s="176">
        <v>28988.532461401275</v>
      </c>
      <c r="EC50" s="176">
        <v>29759.786070506612</v>
      </c>
      <c r="ED50" s="176">
        <v>30000</v>
      </c>
      <c r="EE50" s="176">
        <v>30000</v>
      </c>
      <c r="EF50" s="176">
        <v>30000</v>
      </c>
      <c r="EG50" s="176">
        <v>30000</v>
      </c>
      <c r="EH50" s="176">
        <v>30000</v>
      </c>
      <c r="EI50" s="176">
        <v>30000</v>
      </c>
      <c r="EJ50" s="176">
        <v>30000</v>
      </c>
      <c r="EK50" s="176">
        <v>30000</v>
      </c>
      <c r="EL50" s="176">
        <v>30000</v>
      </c>
      <c r="EM50" s="176">
        <v>30000</v>
      </c>
      <c r="EN50" s="176">
        <v>30000</v>
      </c>
      <c r="EO50" s="176">
        <v>30000</v>
      </c>
      <c r="EP50" t="str">
        <f t="shared" si="0"/>
        <v>9y 213d</v>
      </c>
      <c r="ES50" s="258"/>
      <c r="ET50" s="258"/>
      <c r="EU50" s="258"/>
      <c r="EV50" s="258"/>
      <c r="EW50" s="258"/>
      <c r="EX50" s="258"/>
    </row>
    <row r="51" spans="2:154" x14ac:dyDescent="0.25">
      <c r="B51" s="70">
        <v>48</v>
      </c>
      <c r="D51">
        <v>14795664.161777033</v>
      </c>
      <c r="E51" s="12">
        <v>31552621953.40868</v>
      </c>
      <c r="F51" s="12">
        <v>-148728874007.31354</v>
      </c>
      <c r="G51" s="12">
        <v>0</v>
      </c>
      <c r="H51" s="12">
        <v>413323736.00101072</v>
      </c>
      <c r="I51" s="12">
        <v>-1210419895378.8962</v>
      </c>
      <c r="J51" s="12">
        <v>-836210259809.39844</v>
      </c>
      <c r="K51" s="12">
        <v>62679723721.22094</v>
      </c>
      <c r="L51" s="12">
        <v>6874163.7809220571</v>
      </c>
      <c r="M51" s="12">
        <v>195881576092.405</v>
      </c>
      <c r="N51" s="12">
        <v>25072895878.686077</v>
      </c>
      <c r="O51" s="12">
        <v>236379042.36203229</v>
      </c>
      <c r="P51" s="12">
        <v>6874164.1850133799</v>
      </c>
      <c r="Q51" s="12">
        <v>195881742283.8204</v>
      </c>
      <c r="R51" s="12">
        <v>25072886175.272091</v>
      </c>
      <c r="S51" s="12">
        <v>0</v>
      </c>
      <c r="T51" s="12">
        <v>14733270.769406304</v>
      </c>
      <c r="U51" s="12">
        <v>202386493210.52634</v>
      </c>
      <c r="V51" s="12">
        <v>442688626122.74243</v>
      </c>
      <c r="W51" s="12">
        <v>-132434913.95002137</v>
      </c>
      <c r="X51" s="12">
        <v>6956485.6668650433</v>
      </c>
      <c r="Y51" s="12">
        <v>210596240659.91049</v>
      </c>
      <c r="Z51" s="12">
        <v>68461927822.532974</v>
      </c>
      <c r="AA51" s="12">
        <v>-9563612098.4169044</v>
      </c>
      <c r="AB51" s="12"/>
      <c r="AC51" s="12"/>
      <c r="AD51" s="12"/>
      <c r="AE51" s="12"/>
      <c r="AS51" s="6">
        <v>307689969.06937873</v>
      </c>
      <c r="AT51" s="176">
        <v>30000</v>
      </c>
      <c r="AU51" s="176">
        <v>30000</v>
      </c>
      <c r="AV51" s="176">
        <v>30000</v>
      </c>
      <c r="AW51" s="176">
        <v>30000</v>
      </c>
      <c r="AX51" s="176">
        <v>30000</v>
      </c>
      <c r="AY51" s="176">
        <v>30000</v>
      </c>
      <c r="AZ51" s="176">
        <v>30000</v>
      </c>
      <c r="BA51" s="176">
        <v>30000</v>
      </c>
      <c r="BB51" s="176">
        <v>30000</v>
      </c>
      <c r="BC51" s="176">
        <v>30000</v>
      </c>
      <c r="BD51" s="176">
        <v>30000</v>
      </c>
      <c r="BE51" s="176">
        <v>30000</v>
      </c>
      <c r="BF51" s="176">
        <v>30000</v>
      </c>
      <c r="BG51" s="176">
        <v>30000</v>
      </c>
      <c r="BH51" s="176">
        <v>30000</v>
      </c>
      <c r="BI51" s="176">
        <v>30000</v>
      </c>
      <c r="BJ51" s="176">
        <v>30000</v>
      </c>
      <c r="BK51" s="176">
        <v>30000</v>
      </c>
      <c r="BL51" s="176">
        <v>30000</v>
      </c>
      <c r="BM51" s="176">
        <v>30000</v>
      </c>
      <c r="BN51" s="176">
        <v>30000</v>
      </c>
      <c r="BO51" s="176">
        <v>30000</v>
      </c>
      <c r="BP51" s="176">
        <v>30000</v>
      </c>
      <c r="BQ51" s="176">
        <v>30000</v>
      </c>
      <c r="BR51" s="176">
        <v>30000</v>
      </c>
      <c r="BS51" s="176">
        <v>30000</v>
      </c>
      <c r="BT51" s="176">
        <v>30000</v>
      </c>
      <c r="BU51" s="176">
        <v>30000</v>
      </c>
      <c r="BV51" s="176">
        <v>30000</v>
      </c>
      <c r="BW51" s="176">
        <v>30000</v>
      </c>
      <c r="BX51" s="176">
        <v>30000</v>
      </c>
      <c r="BY51" s="176">
        <v>30000</v>
      </c>
      <c r="BZ51" s="176">
        <v>30000</v>
      </c>
      <c r="CA51" s="176">
        <v>30000</v>
      </c>
      <c r="CB51" s="176">
        <v>30000</v>
      </c>
      <c r="CC51" s="176">
        <v>30000</v>
      </c>
      <c r="CD51" s="176">
        <v>30000</v>
      </c>
      <c r="CE51" s="176">
        <v>30000</v>
      </c>
      <c r="CF51" s="176">
        <v>30000</v>
      </c>
      <c r="CG51" s="176">
        <v>30000</v>
      </c>
      <c r="CH51" s="176">
        <v>30000</v>
      </c>
      <c r="CI51" s="176">
        <v>30000</v>
      </c>
      <c r="CJ51" s="176">
        <v>30000</v>
      </c>
      <c r="CK51" s="176">
        <v>30000</v>
      </c>
      <c r="CL51" s="176">
        <v>29592.845261634186</v>
      </c>
      <c r="CM51" s="176">
        <v>28757.271997359479</v>
      </c>
      <c r="CN51" s="176">
        <v>27943.803732585144</v>
      </c>
      <c r="CO51" s="176">
        <v>27153.833363848949</v>
      </c>
      <c r="CP51" s="176">
        <v>26388.921404331482</v>
      </c>
      <c r="CQ51" s="176">
        <v>25650.833221644651</v>
      </c>
      <c r="CR51" s="176">
        <v>24941.582719184727</v>
      </c>
      <c r="CS51" s="176">
        <v>24263.484469907882</v>
      </c>
      <c r="CT51" s="176">
        <v>23619.217142958951</v>
      </c>
      <c r="CU51" s="176">
        <v>23011.902291434555</v>
      </c>
      <c r="CV51" s="176">
        <v>22445.204421843431</v>
      </c>
      <c r="CW51" s="176">
        <v>21923.46116681899</v>
      </c>
      <c r="CX51" s="176">
        <v>21451.857207753215</v>
      </c>
      <c r="CY51" s="176">
        <v>21036.664284357343</v>
      </c>
      <c r="CZ51" s="176">
        <v>20685.586631157719</v>
      </c>
      <c r="DA51" s="176">
        <v>20408.286688084234</v>
      </c>
      <c r="DB51" s="176">
        <v>20217.242995076034</v>
      </c>
      <c r="DC51" s="176">
        <v>20002.436242096657</v>
      </c>
      <c r="DD51" s="176">
        <v>19774.556685019026</v>
      </c>
      <c r="DE51" s="176">
        <v>19604.704250684124</v>
      </c>
      <c r="DF51" s="176">
        <v>19494.402305829939</v>
      </c>
      <c r="DG51" s="176">
        <v>19444.635159786507</v>
      </c>
      <c r="DH51" s="176">
        <v>19455.785902676882</v>
      </c>
      <c r="DI51" s="176">
        <v>19527.606348777808</v>
      </c>
      <c r="DJ51" s="176">
        <v>19659.222739454392</v>
      </c>
      <c r="DK51" s="176">
        <v>19849.176285674923</v>
      </c>
      <c r="DL51" s="176">
        <v>20095.493274121109</v>
      </c>
      <c r="DM51" s="176">
        <v>20395.776261800122</v>
      </c>
      <c r="DN51" s="176">
        <v>20747.306412805508</v>
      </c>
      <c r="DO51" s="176">
        <v>21147.147312992598</v>
      </c>
      <c r="DP51" s="176">
        <v>21592.242261911801</v>
      </c>
      <c r="DQ51" s="176">
        <v>22079.499445147656</v>
      </c>
      <c r="DR51" s="176">
        <v>22605.861926472997</v>
      </c>
      <c r="DS51" s="176">
        <v>22989.779748490579</v>
      </c>
      <c r="DT51" s="176">
        <v>23421.839436325485</v>
      </c>
      <c r="DU51" s="176">
        <v>23932.825185506947</v>
      </c>
      <c r="DV51" s="176">
        <v>24502.216368658555</v>
      </c>
      <c r="DW51" s="176">
        <v>25116.887192233349</v>
      </c>
      <c r="DX51" s="176">
        <v>25767.946823069196</v>
      </c>
      <c r="DY51" s="176">
        <v>26449.049353403527</v>
      </c>
      <c r="DZ51" s="176">
        <v>27155.447397966949</v>
      </c>
      <c r="EA51" s="176">
        <v>27883.439536432237</v>
      </c>
      <c r="EB51" s="176">
        <v>28630.035028307968</v>
      </c>
      <c r="EC51" s="176">
        <v>29392.743028627821</v>
      </c>
      <c r="ED51" s="176">
        <v>30000</v>
      </c>
      <c r="EE51" s="176">
        <v>30000</v>
      </c>
      <c r="EF51" s="176">
        <v>30000</v>
      </c>
      <c r="EG51" s="176">
        <v>30000</v>
      </c>
      <c r="EH51" s="176">
        <v>30000</v>
      </c>
      <c r="EI51" s="176">
        <v>30000</v>
      </c>
      <c r="EJ51" s="176">
        <v>30000</v>
      </c>
      <c r="EK51" s="176">
        <v>30000</v>
      </c>
      <c r="EL51" s="176">
        <v>30000</v>
      </c>
      <c r="EM51" s="176">
        <v>30000</v>
      </c>
      <c r="EN51" s="176">
        <v>30000</v>
      </c>
      <c r="EO51" s="176">
        <v>30000</v>
      </c>
      <c r="EP51" t="str">
        <f t="shared" si="0"/>
        <v>9y 274d</v>
      </c>
      <c r="ES51" s="258"/>
      <c r="ET51" s="258"/>
      <c r="EU51" s="258"/>
      <c r="EV51" s="258"/>
      <c r="EW51" s="258"/>
      <c r="EX51" s="258"/>
    </row>
    <row r="52" spans="2:154" x14ac:dyDescent="0.25">
      <c r="B52" s="70">
        <v>49</v>
      </c>
      <c r="D52">
        <v>15121816.655232539</v>
      </c>
      <c r="E52" s="12">
        <v>40837012316.729919</v>
      </c>
      <c r="F52" s="12">
        <v>-146482483844.15054</v>
      </c>
      <c r="G52" s="12">
        <v>0</v>
      </c>
      <c r="H52" s="12">
        <v>423249663.6761958</v>
      </c>
      <c r="I52" s="12">
        <v>-1159046587673.0078</v>
      </c>
      <c r="J52" s="12">
        <v>-913438053370.71448</v>
      </c>
      <c r="K52" s="12">
        <v>61982963455.871162</v>
      </c>
      <c r="L52" s="12">
        <v>7109462.4680786794</v>
      </c>
      <c r="M52" s="12">
        <v>198820538807.93591</v>
      </c>
      <c r="N52" s="12">
        <v>32526540816.628922</v>
      </c>
      <c r="O52" s="12">
        <v>240434900.38353679</v>
      </c>
      <c r="P52" s="12">
        <v>7109462.9044936839</v>
      </c>
      <c r="Q52" s="12">
        <v>198820708791.83612</v>
      </c>
      <c r="R52" s="12">
        <v>32526531351.86441</v>
      </c>
      <c r="S52" s="12">
        <v>0</v>
      </c>
      <c r="T52" s="12">
        <v>15377421.330595892</v>
      </c>
      <c r="U52" s="12">
        <v>199290433185.42615</v>
      </c>
      <c r="V52" s="12">
        <v>454670352833.69043</v>
      </c>
      <c r="W52" s="12">
        <v>-137380989.24292484</v>
      </c>
      <c r="X52" s="12">
        <v>7223261.5752831232</v>
      </c>
      <c r="Y52" s="12">
        <v>212843669632.07373</v>
      </c>
      <c r="Z52" s="12">
        <v>76649213262.881104</v>
      </c>
      <c r="AA52" s="12">
        <v>-9795565679.1582947</v>
      </c>
      <c r="AB52" s="12"/>
      <c r="AC52" s="12"/>
      <c r="AD52" s="12"/>
      <c r="AE52" s="12"/>
      <c r="AG52" s="208" t="s">
        <v>68</v>
      </c>
      <c r="AH52" s="208"/>
      <c r="AI52" s="208"/>
      <c r="AS52" s="6">
        <v>312956734.30570143</v>
      </c>
      <c r="AT52" s="176">
        <v>30000</v>
      </c>
      <c r="AU52" s="176">
        <v>30000</v>
      </c>
      <c r="AV52" s="176">
        <v>30000</v>
      </c>
      <c r="AW52" s="176">
        <v>30000</v>
      </c>
      <c r="AX52" s="176">
        <v>30000</v>
      </c>
      <c r="AY52" s="176">
        <v>30000</v>
      </c>
      <c r="AZ52" s="176">
        <v>30000</v>
      </c>
      <c r="BA52" s="176">
        <v>30000</v>
      </c>
      <c r="BB52" s="176">
        <v>30000</v>
      </c>
      <c r="BC52" s="176">
        <v>30000</v>
      </c>
      <c r="BD52" s="176">
        <v>30000</v>
      </c>
      <c r="BE52" s="176">
        <v>30000</v>
      </c>
      <c r="BF52" s="176">
        <v>30000</v>
      </c>
      <c r="BG52" s="176">
        <v>30000</v>
      </c>
      <c r="BH52" s="176">
        <v>30000</v>
      </c>
      <c r="BI52" s="176">
        <v>30000</v>
      </c>
      <c r="BJ52" s="176">
        <v>30000</v>
      </c>
      <c r="BK52" s="176">
        <v>30000</v>
      </c>
      <c r="BL52" s="176">
        <v>30000</v>
      </c>
      <c r="BM52" s="176">
        <v>30000</v>
      </c>
      <c r="BN52" s="176">
        <v>30000</v>
      </c>
      <c r="BO52" s="176">
        <v>30000</v>
      </c>
      <c r="BP52" s="176">
        <v>30000</v>
      </c>
      <c r="BQ52" s="176">
        <v>30000</v>
      </c>
      <c r="BR52" s="176">
        <v>30000</v>
      </c>
      <c r="BS52" s="176">
        <v>30000</v>
      </c>
      <c r="BT52" s="176">
        <v>30000</v>
      </c>
      <c r="BU52" s="176">
        <v>30000</v>
      </c>
      <c r="BV52" s="176">
        <v>30000</v>
      </c>
      <c r="BW52" s="176">
        <v>30000</v>
      </c>
      <c r="BX52" s="176">
        <v>30000</v>
      </c>
      <c r="BY52" s="176">
        <v>30000</v>
      </c>
      <c r="BZ52" s="176">
        <v>30000</v>
      </c>
      <c r="CA52" s="176">
        <v>30000</v>
      </c>
      <c r="CB52" s="176">
        <v>30000</v>
      </c>
      <c r="CC52" s="176">
        <v>30000</v>
      </c>
      <c r="CD52" s="176">
        <v>30000</v>
      </c>
      <c r="CE52" s="176">
        <v>30000</v>
      </c>
      <c r="CF52" s="176">
        <v>30000</v>
      </c>
      <c r="CG52" s="176">
        <v>30000</v>
      </c>
      <c r="CH52" s="176">
        <v>30000</v>
      </c>
      <c r="CI52" s="176">
        <v>30000</v>
      </c>
      <c r="CJ52" s="176">
        <v>30000</v>
      </c>
      <c r="CK52" s="176">
        <v>30000</v>
      </c>
      <c r="CL52" s="176">
        <v>30000</v>
      </c>
      <c r="CM52" s="176">
        <v>29217.657202501297</v>
      </c>
      <c r="CN52" s="176">
        <v>28390.994887733359</v>
      </c>
      <c r="CO52" s="176">
        <v>27587.149822790663</v>
      </c>
      <c r="CP52" s="176">
        <v>26807.605320106668</v>
      </c>
      <c r="CQ52" s="176">
        <v>26054.030932374655</v>
      </c>
      <c r="CR52" s="176">
        <v>25328.322806080327</v>
      </c>
      <c r="CS52" s="176">
        <v>24632.651353886431</v>
      </c>
      <c r="CT52" s="176">
        <v>23969.518571437126</v>
      </c>
      <c r="CU52" s="176">
        <v>23341.828285106021</v>
      </c>
      <c r="CV52" s="176">
        <v>22752.974037283948</v>
      </c>
      <c r="CW52" s="176">
        <v>22206.951476755628</v>
      </c>
      <c r="CX52" s="176">
        <v>21708.505582652499</v>
      </c>
      <c r="CY52" s="176">
        <v>21263.329030524099</v>
      </c>
      <c r="CZ52" s="176">
        <v>20878.339300608277</v>
      </c>
      <c r="DA52" s="176">
        <v>20562.085183426272</v>
      </c>
      <c r="DB52" s="176">
        <v>20325.382846420096</v>
      </c>
      <c r="DC52" s="176">
        <v>20161.738127986486</v>
      </c>
      <c r="DD52" s="176">
        <v>19904.810250332052</v>
      </c>
      <c r="DE52" s="176">
        <v>19705.145140225417</v>
      </c>
      <c r="DF52" s="176">
        <v>19564.502423019716</v>
      </c>
      <c r="DG52" s="176">
        <v>19484.139728362738</v>
      </c>
      <c r="DH52" s="176">
        <v>19464.736925743717</v>
      </c>
      <c r="DI52" s="176">
        <v>19506.349436548218</v>
      </c>
      <c r="DJ52" s="176">
        <v>19608.396323173514</v>
      </c>
      <c r="DK52" s="176">
        <v>19769.68451410381</v>
      </c>
      <c r="DL52" s="176">
        <v>19988.465931777955</v>
      </c>
      <c r="DM52" s="176">
        <v>20262.520030523687</v>
      </c>
      <c r="DN52" s="176">
        <v>20589.253170272823</v>
      </c>
      <c r="DO52" s="176">
        <v>20965.803094576866</v>
      </c>
      <c r="DP52" s="176">
        <v>21389.141161148877</v>
      </c>
      <c r="DQ52" s="176">
        <v>21856.164451963308</v>
      </c>
      <c r="DR52" s="176">
        <v>22363.773805155299</v>
      </c>
      <c r="DS52" s="176">
        <v>22863.561922288965</v>
      </c>
      <c r="DT52" s="176">
        <v>23235.388761958882</v>
      </c>
      <c r="DU52" s="176">
        <v>23704.353660638277</v>
      </c>
      <c r="DV52" s="176">
        <v>24242.730276892296</v>
      </c>
      <c r="DW52" s="176">
        <v>24833.418127963465</v>
      </c>
      <c r="DX52" s="176">
        <v>25465.220948746217</v>
      </c>
      <c r="DY52" s="176">
        <v>26130.393320363502</v>
      </c>
      <c r="DZ52" s="176">
        <v>26823.302182695334</v>
      </c>
      <c r="EA52" s="176">
        <v>27539.663838650777</v>
      </c>
      <c r="EB52" s="176">
        <v>28276.091191695898</v>
      </c>
      <c r="EC52" s="176">
        <v>29029.81497211949</v>
      </c>
      <c r="ED52" s="176">
        <v>29798.505969246529</v>
      </c>
      <c r="EE52" s="176">
        <v>30000</v>
      </c>
      <c r="EF52" s="176">
        <v>30000</v>
      </c>
      <c r="EG52" s="176">
        <v>30000</v>
      </c>
      <c r="EH52" s="176">
        <v>30000</v>
      </c>
      <c r="EI52" s="176">
        <v>30000</v>
      </c>
      <c r="EJ52" s="176">
        <v>30000</v>
      </c>
      <c r="EK52" s="176">
        <v>30000</v>
      </c>
      <c r="EL52" s="176">
        <v>30000</v>
      </c>
      <c r="EM52" s="176">
        <v>30000</v>
      </c>
      <c r="EN52" s="176">
        <v>30000</v>
      </c>
      <c r="EO52" s="176">
        <v>30000</v>
      </c>
      <c r="EP52" t="str">
        <f t="shared" si="0"/>
        <v>9y 335d</v>
      </c>
      <c r="ES52" s="258"/>
      <c r="ET52" s="258"/>
      <c r="EU52" s="258"/>
      <c r="EV52" s="258"/>
      <c r="EW52" s="258"/>
      <c r="EX52" s="258"/>
    </row>
    <row r="53" spans="2:154" x14ac:dyDescent="0.25">
      <c r="B53" s="70">
        <v>50</v>
      </c>
      <c r="D53">
        <v>15448073.614476057</v>
      </c>
      <c r="E53" s="12">
        <v>49960482545.66951</v>
      </c>
      <c r="F53" s="12">
        <v>-143647490073.36847</v>
      </c>
      <c r="G53" s="12">
        <v>0</v>
      </c>
      <c r="H53" s="12">
        <v>433235293.2787531</v>
      </c>
      <c r="I53" s="12">
        <v>-1102622383442.7253</v>
      </c>
      <c r="J53" s="12">
        <v>-987393047060.81177</v>
      </c>
      <c r="K53" s="12">
        <v>61028423032.900703</v>
      </c>
      <c r="L53" s="12">
        <v>7354521.0200225543</v>
      </c>
      <c r="M53" s="12">
        <v>201691663682.80994</v>
      </c>
      <c r="N53" s="12">
        <v>40258288356.966873</v>
      </c>
      <c r="O53" s="12">
        <v>244429532.02678424</v>
      </c>
      <c r="P53" s="12">
        <v>7354521.490480125</v>
      </c>
      <c r="Q53" s="12">
        <v>201691837470.71436</v>
      </c>
      <c r="R53" s="12">
        <v>40258279163.678062</v>
      </c>
      <c r="S53" s="12">
        <v>0</v>
      </c>
      <c r="T53" s="12">
        <v>16047536.463664422</v>
      </c>
      <c r="U53" s="12">
        <v>195974462839.86987</v>
      </c>
      <c r="V53" s="12">
        <v>466918014710.67712</v>
      </c>
      <c r="W53" s="12">
        <v>-142460854.12201762</v>
      </c>
      <c r="X53" s="12">
        <v>7501849.0944421114</v>
      </c>
      <c r="Y53" s="12">
        <v>215005968059.14505</v>
      </c>
      <c r="Z53" s="12">
        <v>85132479248.365707</v>
      </c>
      <c r="AA53" s="12">
        <v>-10029291287.45249</v>
      </c>
      <c r="AB53" s="12"/>
      <c r="AC53" s="12"/>
      <c r="AD53" s="12"/>
      <c r="AE53" s="12"/>
      <c r="AG53" s="70" t="s">
        <v>22</v>
      </c>
      <c r="AH53" s="70" t="s">
        <v>23</v>
      </c>
      <c r="AI53" s="70" t="s">
        <v>26</v>
      </c>
      <c r="AS53" s="6">
        <v>318223499.54202414</v>
      </c>
      <c r="AT53" s="176">
        <v>30000</v>
      </c>
      <c r="AU53" s="176">
        <v>30000</v>
      </c>
      <c r="AV53" s="176">
        <v>30000</v>
      </c>
      <c r="AW53" s="176">
        <v>30000</v>
      </c>
      <c r="AX53" s="176">
        <v>30000</v>
      </c>
      <c r="AY53" s="176">
        <v>30000</v>
      </c>
      <c r="AZ53" s="176">
        <v>30000</v>
      </c>
      <c r="BA53" s="176">
        <v>30000</v>
      </c>
      <c r="BB53" s="176">
        <v>30000</v>
      </c>
      <c r="BC53" s="176">
        <v>30000</v>
      </c>
      <c r="BD53" s="176">
        <v>30000</v>
      </c>
      <c r="BE53" s="176">
        <v>30000</v>
      </c>
      <c r="BF53" s="176">
        <v>30000</v>
      </c>
      <c r="BG53" s="176">
        <v>30000</v>
      </c>
      <c r="BH53" s="176">
        <v>30000</v>
      </c>
      <c r="BI53" s="176">
        <v>30000</v>
      </c>
      <c r="BJ53" s="176">
        <v>30000</v>
      </c>
      <c r="BK53" s="176">
        <v>30000</v>
      </c>
      <c r="BL53" s="176">
        <v>30000</v>
      </c>
      <c r="BM53" s="176">
        <v>30000</v>
      </c>
      <c r="BN53" s="176">
        <v>30000</v>
      </c>
      <c r="BO53" s="176">
        <v>30000</v>
      </c>
      <c r="BP53" s="176">
        <v>30000</v>
      </c>
      <c r="BQ53" s="176">
        <v>30000</v>
      </c>
      <c r="BR53" s="176">
        <v>30000</v>
      </c>
      <c r="BS53" s="176">
        <v>30000</v>
      </c>
      <c r="BT53" s="176">
        <v>30000</v>
      </c>
      <c r="BU53" s="176">
        <v>30000</v>
      </c>
      <c r="BV53" s="176">
        <v>30000</v>
      </c>
      <c r="BW53" s="176">
        <v>30000</v>
      </c>
      <c r="BX53" s="176">
        <v>30000</v>
      </c>
      <c r="BY53" s="176">
        <v>30000</v>
      </c>
      <c r="BZ53" s="176">
        <v>30000</v>
      </c>
      <c r="CA53" s="176">
        <v>30000</v>
      </c>
      <c r="CB53" s="176">
        <v>30000</v>
      </c>
      <c r="CC53" s="176">
        <v>30000</v>
      </c>
      <c r="CD53" s="176">
        <v>30000</v>
      </c>
      <c r="CE53" s="176">
        <v>30000</v>
      </c>
      <c r="CF53" s="176">
        <v>30000</v>
      </c>
      <c r="CG53" s="176">
        <v>30000</v>
      </c>
      <c r="CH53" s="176">
        <v>30000</v>
      </c>
      <c r="CI53" s="176">
        <v>30000</v>
      </c>
      <c r="CJ53" s="176">
        <v>30000</v>
      </c>
      <c r="CK53" s="176">
        <v>30000</v>
      </c>
      <c r="CL53" s="176">
        <v>30000</v>
      </c>
      <c r="CM53" s="176">
        <v>29684.917418260888</v>
      </c>
      <c r="CN53" s="176">
        <v>28845.399597412921</v>
      </c>
      <c r="CO53" s="176">
        <v>28028.037809701138</v>
      </c>
      <c r="CP53" s="176">
        <v>27234.24560277813</v>
      </c>
      <c r="CQ53" s="176">
        <v>26465.605315438988</v>
      </c>
      <c r="CR53" s="176">
        <v>25723.905499313554</v>
      </c>
      <c r="CS53" s="176">
        <v>25011.184721878093</v>
      </c>
      <c r="CT53" s="176">
        <v>24329.783668633081</v>
      </c>
      <c r="CU53" s="176">
        <v>23682.40822238721</v>
      </c>
      <c r="CV53" s="176">
        <v>23072.207301409471</v>
      </c>
      <c r="CW53" s="176">
        <v>22502.87087674507</v>
      </c>
      <c r="CX53" s="176">
        <v>21978.756122964449</v>
      </c>
      <c r="CY53" s="176">
        <v>21505.053852186866</v>
      </c>
      <c r="CZ53" s="176">
        <v>21088.014982851444</v>
      </c>
      <c r="DA53" s="176">
        <v>20735.271868216354</v>
      </c>
      <c r="DB53" s="176">
        <v>20456.321218100202</v>
      </c>
      <c r="DC53" s="176">
        <v>20263.305135739156</v>
      </c>
      <c r="DD53" s="176">
        <v>20048.827185067217</v>
      </c>
      <c r="DE53" s="176">
        <v>19819.591472223834</v>
      </c>
      <c r="DF53" s="176">
        <v>19648.725946848266</v>
      </c>
      <c r="DG53" s="176">
        <v>19537.747211351387</v>
      </c>
      <c r="DH53" s="176">
        <v>19487.624891765608</v>
      </c>
      <c r="DI53" s="176">
        <v>19498.719424706247</v>
      </c>
      <c r="DJ53" s="176">
        <v>19570.752562008667</v>
      </c>
      <c r="DK53" s="176">
        <v>19702.814205795421</v>
      </c>
      <c r="DL53" s="176">
        <v>19893.404518539945</v>
      </c>
      <c r="DM53" s="176">
        <v>20140.505832013481</v>
      </c>
      <c r="DN53" s="176">
        <v>20441.675664426468</v>
      </c>
      <c r="DO53" s="176">
        <v>20794.150706282868</v>
      </c>
      <c r="DP53" s="176">
        <v>21194.951982601422</v>
      </c>
      <c r="DQ53" s="176">
        <v>21640.983127141444</v>
      </c>
      <c r="DR53" s="176">
        <v>22129.116173599508</v>
      </c>
      <c r="DS53" s="176">
        <v>22656.261847606056</v>
      </c>
      <c r="DT53" s="176">
        <v>23078.422361251571</v>
      </c>
      <c r="DU53" s="176">
        <v>23496.243383083893</v>
      </c>
      <c r="DV53" s="176">
        <v>23998.101248642135</v>
      </c>
      <c r="DW53" s="176">
        <v>24561.315132830503</v>
      </c>
      <c r="DX53" s="176">
        <v>25171.545353203161</v>
      </c>
      <c r="DY53" s="176">
        <v>25819.188516874136</v>
      </c>
      <c r="DZ53" s="176">
        <v>26497.464173756453</v>
      </c>
      <c r="EA53" s="176">
        <v>27201.351026156473</v>
      </c>
      <c r="EB53" s="176">
        <v>27926.970053100216</v>
      </c>
      <c r="EC53" s="176">
        <v>28671.212737192567</v>
      </c>
      <c r="ED53" s="176">
        <v>29431.508763116795</v>
      </c>
      <c r="EE53" s="176">
        <v>30000</v>
      </c>
      <c r="EF53" s="176">
        <v>30000</v>
      </c>
      <c r="EG53" s="176">
        <v>30000</v>
      </c>
      <c r="EH53" s="176">
        <v>30000</v>
      </c>
      <c r="EI53" s="176">
        <v>30000</v>
      </c>
      <c r="EJ53" s="176">
        <v>30000</v>
      </c>
      <c r="EK53" s="176">
        <v>30000</v>
      </c>
      <c r="EL53" s="176">
        <v>30000</v>
      </c>
      <c r="EM53" s="176">
        <v>30000</v>
      </c>
      <c r="EN53" s="176">
        <v>30000</v>
      </c>
      <c r="EO53" s="176">
        <v>30000</v>
      </c>
      <c r="EP53" t="str">
        <f t="shared" si="0"/>
        <v>10y 31d</v>
      </c>
      <c r="ES53" s="258"/>
      <c r="ET53" s="258"/>
      <c r="EU53" s="258"/>
      <c r="EV53" s="258"/>
      <c r="EW53" s="258"/>
      <c r="EX53" s="258"/>
    </row>
    <row r="54" spans="2:154" x14ac:dyDescent="0.25">
      <c r="B54" s="70">
        <v>51</v>
      </c>
      <c r="D54">
        <v>15774391.638241142</v>
      </c>
      <c r="E54" s="12">
        <v>58885139241.210327</v>
      </c>
      <c r="F54" s="12">
        <v>-140235424650.44055</v>
      </c>
      <c r="G54" s="12">
        <v>0</v>
      </c>
      <c r="H54" s="12">
        <v>443278368.49320459</v>
      </c>
      <c r="I54" s="12">
        <v>-1041349891047.3151</v>
      </c>
      <c r="J54" s="12">
        <v>-1057722304039.7593</v>
      </c>
      <c r="K54" s="12">
        <v>59818007907.726334</v>
      </c>
      <c r="L54" s="12">
        <v>7610100.5118958354</v>
      </c>
      <c r="M54" s="12">
        <v>204489413641.76617</v>
      </c>
      <c r="N54" s="12">
        <v>48282703266.951569</v>
      </c>
      <c r="O54" s="12">
        <v>248357354.50929806</v>
      </c>
      <c r="P54" s="12">
        <v>7610101.0182162067</v>
      </c>
      <c r="Q54" s="12">
        <v>204489591243.76355</v>
      </c>
      <c r="R54" s="12">
        <v>48282694379.47036</v>
      </c>
      <c r="S54" s="12">
        <v>0</v>
      </c>
      <c r="T54" s="12">
        <v>16744896.812537996</v>
      </c>
      <c r="U54" s="12">
        <v>192428252557.23898</v>
      </c>
      <c r="V54" s="12">
        <v>479436258416.24634</v>
      </c>
      <c r="W54" s="12">
        <v>-147677876.5115698</v>
      </c>
      <c r="X54" s="12">
        <v>7793123.7144086743</v>
      </c>
      <c r="Y54" s="12">
        <v>217075969873.2395</v>
      </c>
      <c r="Z54" s="12">
        <v>93926518424.068146</v>
      </c>
      <c r="AA54" s="12">
        <v>-10264761761.68627</v>
      </c>
      <c r="AB54" s="12"/>
      <c r="AC54" s="12"/>
      <c r="AD54" s="12"/>
      <c r="AE54" s="12"/>
      <c r="AG54" s="27">
        <v>0</v>
      </c>
      <c r="AH54" s="27">
        <v>0</v>
      </c>
      <c r="AI54" s="27">
        <v>0</v>
      </c>
      <c r="AS54" s="6">
        <v>323490264.77834684</v>
      </c>
      <c r="AT54" s="176">
        <v>30000</v>
      </c>
      <c r="AU54" s="176">
        <v>30000</v>
      </c>
      <c r="AV54" s="176">
        <v>30000</v>
      </c>
      <c r="AW54" s="176">
        <v>30000</v>
      </c>
      <c r="AX54" s="176">
        <v>30000</v>
      </c>
      <c r="AY54" s="176">
        <v>30000</v>
      </c>
      <c r="AZ54" s="176">
        <v>30000</v>
      </c>
      <c r="BA54" s="176">
        <v>30000</v>
      </c>
      <c r="BB54" s="176">
        <v>30000</v>
      </c>
      <c r="BC54" s="176">
        <v>30000</v>
      </c>
      <c r="BD54" s="176">
        <v>30000</v>
      </c>
      <c r="BE54" s="176">
        <v>30000</v>
      </c>
      <c r="BF54" s="176">
        <v>30000</v>
      </c>
      <c r="BG54" s="176">
        <v>30000</v>
      </c>
      <c r="BH54" s="176">
        <v>30000</v>
      </c>
      <c r="BI54" s="176">
        <v>30000</v>
      </c>
      <c r="BJ54" s="176">
        <v>30000</v>
      </c>
      <c r="BK54" s="176">
        <v>30000</v>
      </c>
      <c r="BL54" s="176">
        <v>30000</v>
      </c>
      <c r="BM54" s="176">
        <v>30000</v>
      </c>
      <c r="BN54" s="176">
        <v>30000</v>
      </c>
      <c r="BO54" s="176">
        <v>30000</v>
      </c>
      <c r="BP54" s="176">
        <v>30000</v>
      </c>
      <c r="BQ54" s="176">
        <v>30000</v>
      </c>
      <c r="BR54" s="176">
        <v>30000</v>
      </c>
      <c r="BS54" s="176">
        <v>30000</v>
      </c>
      <c r="BT54" s="176">
        <v>30000</v>
      </c>
      <c r="BU54" s="176">
        <v>30000</v>
      </c>
      <c r="BV54" s="176">
        <v>30000</v>
      </c>
      <c r="BW54" s="176">
        <v>30000</v>
      </c>
      <c r="BX54" s="176">
        <v>30000</v>
      </c>
      <c r="BY54" s="176">
        <v>30000</v>
      </c>
      <c r="BZ54" s="176">
        <v>30000</v>
      </c>
      <c r="CA54" s="176">
        <v>30000</v>
      </c>
      <c r="CB54" s="176">
        <v>30000</v>
      </c>
      <c r="CC54" s="176">
        <v>30000</v>
      </c>
      <c r="CD54" s="176">
        <v>30000</v>
      </c>
      <c r="CE54" s="176">
        <v>30000</v>
      </c>
      <c r="CF54" s="176">
        <v>30000</v>
      </c>
      <c r="CG54" s="176">
        <v>30000</v>
      </c>
      <c r="CH54" s="176">
        <v>30000</v>
      </c>
      <c r="CI54" s="176">
        <v>30000</v>
      </c>
      <c r="CJ54" s="176">
        <v>30000</v>
      </c>
      <c r="CK54" s="176">
        <v>30000</v>
      </c>
      <c r="CL54" s="176">
        <v>30000</v>
      </c>
      <c r="CM54" s="176">
        <v>30000</v>
      </c>
      <c r="CN54" s="176">
        <v>29306.708546928647</v>
      </c>
      <c r="CO54" s="176">
        <v>28476.187387632424</v>
      </c>
      <c r="CP54" s="176">
        <v>27668.529127486312</v>
      </c>
      <c r="CQ54" s="176">
        <v>26885.237067684498</v>
      </c>
      <c r="CR54" s="176">
        <v>26128.001730450233</v>
      </c>
      <c r="CS54" s="176">
        <v>25398.741280274327</v>
      </c>
      <c r="CT54" s="176">
        <v>24699.649137498945</v>
      </c>
      <c r="CU54" s="176">
        <v>24033.250982841295</v>
      </c>
      <c r="CV54" s="176">
        <v>23402.474219861091</v>
      </c>
      <c r="CW54" s="176">
        <v>22810.734224897486</v>
      </c>
      <c r="CX54" s="176">
        <v>22262.043607536878</v>
      </c>
      <c r="CY54" s="176">
        <v>21761.153712021209</v>
      </c>
      <c r="CZ54" s="176">
        <v>21313.742796880568</v>
      </c>
      <c r="DA54" s="176">
        <v>20926.675280274147</v>
      </c>
      <c r="DB54" s="176">
        <v>20608.377074139233</v>
      </c>
      <c r="DC54" s="176">
        <v>20369.416869187949</v>
      </c>
      <c r="DD54" s="176">
        <v>20206.479050278464</v>
      </c>
      <c r="DE54" s="176">
        <v>19947.981194148626</v>
      </c>
      <c r="DF54" s="176">
        <v>19747.085200555128</v>
      </c>
      <c r="DG54" s="176">
        <v>19605.549114196157</v>
      </c>
      <c r="DH54" s="176">
        <v>19524.621317598867</v>
      </c>
      <c r="DI54" s="176">
        <v>19504.964365882657</v>
      </c>
      <c r="DJ54" s="176">
        <v>19546.60849270886</v>
      </c>
      <c r="DK54" s="176">
        <v>19648.940504177033</v>
      </c>
      <c r="DL54" s="176">
        <v>19810.729335079192</v>
      </c>
      <c r="DM54" s="176">
        <v>20030.184820276281</v>
      </c>
      <c r="DN54" s="176">
        <v>20305.042299212844</v>
      </c>
      <c r="DO54" s="176">
        <v>20632.663281136931</v>
      </c>
      <c r="DP54" s="176">
        <v>21010.141941454705</v>
      </c>
      <c r="DQ54" s="176">
        <v>21434.408306378577</v>
      </c>
      <c r="DR54" s="176">
        <v>21902.321239400018</v>
      </c>
      <c r="DS54" s="176">
        <v>22410.746969308104</v>
      </c>
      <c r="DT54" s="176">
        <v>22956.621342339997</v>
      </c>
      <c r="DU54" s="176">
        <v>23312.794454029739</v>
      </c>
      <c r="DV54" s="176">
        <v>23770.92073601485</v>
      </c>
      <c r="DW54" s="176">
        <v>24302.219163534312</v>
      </c>
      <c r="DX54" s="176">
        <v>24888.007043598693</v>
      </c>
      <c r="DY54" s="176">
        <v>25516.184901058929</v>
      </c>
      <c r="DZ54" s="176">
        <v>26178.469813462758</v>
      </c>
      <c r="EA54" s="176">
        <v>26868.89704124094</v>
      </c>
      <c r="EB54" s="176">
        <v>27582.971729681252</v>
      </c>
      <c r="EC54" s="176">
        <v>28317.168857555178</v>
      </c>
      <c r="ED54" s="176">
        <v>29068.627213543477</v>
      </c>
      <c r="EE54" s="176">
        <v>29834.955536763657</v>
      </c>
      <c r="EF54" s="176">
        <v>30000</v>
      </c>
      <c r="EG54" s="176">
        <v>30000</v>
      </c>
      <c r="EH54" s="176">
        <v>30000</v>
      </c>
      <c r="EI54" s="176">
        <v>30000</v>
      </c>
      <c r="EJ54" s="176">
        <v>30000</v>
      </c>
      <c r="EK54" s="176">
        <v>30000</v>
      </c>
      <c r="EL54" s="176">
        <v>30000</v>
      </c>
      <c r="EM54" s="176">
        <v>30000</v>
      </c>
      <c r="EN54" s="176">
        <v>30000</v>
      </c>
      <c r="EO54" s="176">
        <v>30000</v>
      </c>
      <c r="EP54" t="str">
        <f t="shared" si="0"/>
        <v>10y 92d</v>
      </c>
      <c r="ES54" s="258"/>
      <c r="ET54" s="258"/>
      <c r="EU54" s="258"/>
      <c r="EV54" s="258"/>
      <c r="EW54" s="258"/>
      <c r="EX54" s="258"/>
    </row>
    <row r="55" spans="2:154" x14ac:dyDescent="0.25">
      <c r="B55" s="70">
        <v>52</v>
      </c>
      <c r="D55">
        <v>16100727.047653262</v>
      </c>
      <c r="E55" s="12">
        <v>67573932465.863159</v>
      </c>
      <c r="F55" s="12">
        <v>-136260334774.76605</v>
      </c>
      <c r="G55" s="12">
        <v>0</v>
      </c>
      <c r="H55" s="12">
        <v>453376337.2893061</v>
      </c>
      <c r="I55" s="12">
        <v>-975458858156.4248</v>
      </c>
      <c r="J55" s="12">
        <v>-1124084734104.74</v>
      </c>
      <c r="K55" s="12">
        <v>58354908665.737534</v>
      </c>
      <c r="L55" s="12">
        <v>7877029.7400909178</v>
      </c>
      <c r="M55" s="12">
        <v>207207588222.21756</v>
      </c>
      <c r="N55" s="12">
        <v>56615314013.658272</v>
      </c>
      <c r="O55" s="12">
        <v>252212059.96576548</v>
      </c>
      <c r="P55" s="12">
        <v>7877030.2842029771</v>
      </c>
      <c r="Q55" s="12">
        <v>207207769646.66901</v>
      </c>
      <c r="R55" s="12">
        <v>56615305467.891899</v>
      </c>
      <c r="S55" s="12">
        <v>0</v>
      </c>
      <c r="T55" s="12">
        <v>17470849.57324177</v>
      </c>
      <c r="U55" s="12">
        <v>188641041579.28055</v>
      </c>
      <c r="V55" s="12">
        <v>492229530226.42639</v>
      </c>
      <c r="W55" s="12">
        <v>-153035418.30923662</v>
      </c>
      <c r="X55" s="12">
        <v>8098037.0098824166</v>
      </c>
      <c r="Y55" s="12">
        <v>219045773573.78079</v>
      </c>
      <c r="Z55" s="12">
        <v>103047009142.68008</v>
      </c>
      <c r="AA55" s="12">
        <v>-10501936136.181105</v>
      </c>
      <c r="AB55" s="12"/>
      <c r="AC55" s="12"/>
      <c r="AD55" s="12"/>
      <c r="AE55" s="12"/>
      <c r="AS55" s="6">
        <v>328757030.01466954</v>
      </c>
      <c r="AT55" s="176">
        <v>30000</v>
      </c>
      <c r="AU55" s="176">
        <v>30000</v>
      </c>
      <c r="AV55" s="176">
        <v>30000</v>
      </c>
      <c r="AW55" s="176">
        <v>30000</v>
      </c>
      <c r="AX55" s="176">
        <v>30000</v>
      </c>
      <c r="AY55" s="176">
        <v>30000</v>
      </c>
      <c r="AZ55" s="176">
        <v>30000</v>
      </c>
      <c r="BA55" s="176">
        <v>30000</v>
      </c>
      <c r="BB55" s="176">
        <v>30000</v>
      </c>
      <c r="BC55" s="176">
        <v>30000</v>
      </c>
      <c r="BD55" s="176">
        <v>30000</v>
      </c>
      <c r="BE55" s="176">
        <v>30000</v>
      </c>
      <c r="BF55" s="176">
        <v>30000</v>
      </c>
      <c r="BG55" s="176">
        <v>30000</v>
      </c>
      <c r="BH55" s="176">
        <v>30000</v>
      </c>
      <c r="BI55" s="176">
        <v>30000</v>
      </c>
      <c r="BJ55" s="176">
        <v>30000</v>
      </c>
      <c r="BK55" s="176">
        <v>30000</v>
      </c>
      <c r="BL55" s="176">
        <v>30000</v>
      </c>
      <c r="BM55" s="176">
        <v>30000</v>
      </c>
      <c r="BN55" s="176">
        <v>30000</v>
      </c>
      <c r="BO55" s="176">
        <v>30000</v>
      </c>
      <c r="BP55" s="176">
        <v>30000</v>
      </c>
      <c r="BQ55" s="176">
        <v>30000</v>
      </c>
      <c r="BR55" s="176">
        <v>30000</v>
      </c>
      <c r="BS55" s="176">
        <v>30000</v>
      </c>
      <c r="BT55" s="176">
        <v>30000</v>
      </c>
      <c r="BU55" s="176">
        <v>30000</v>
      </c>
      <c r="BV55" s="176">
        <v>30000</v>
      </c>
      <c r="BW55" s="176">
        <v>30000</v>
      </c>
      <c r="BX55" s="176">
        <v>30000</v>
      </c>
      <c r="BY55" s="176">
        <v>30000</v>
      </c>
      <c r="BZ55" s="176">
        <v>30000</v>
      </c>
      <c r="CA55" s="176">
        <v>30000</v>
      </c>
      <c r="CB55" s="176">
        <v>30000</v>
      </c>
      <c r="CC55" s="176">
        <v>30000</v>
      </c>
      <c r="CD55" s="176">
        <v>30000</v>
      </c>
      <c r="CE55" s="176">
        <v>30000</v>
      </c>
      <c r="CF55" s="176">
        <v>30000</v>
      </c>
      <c r="CG55" s="176">
        <v>30000</v>
      </c>
      <c r="CH55" s="176">
        <v>30000</v>
      </c>
      <c r="CI55" s="176">
        <v>30000</v>
      </c>
      <c r="CJ55" s="176">
        <v>30000</v>
      </c>
      <c r="CK55" s="176">
        <v>30000</v>
      </c>
      <c r="CL55" s="176">
        <v>30000</v>
      </c>
      <c r="CM55" s="176">
        <v>30000</v>
      </c>
      <c r="CN55" s="176">
        <v>29774.618256603546</v>
      </c>
      <c r="CO55" s="176">
        <v>28931.294400711144</v>
      </c>
      <c r="CP55" s="176">
        <v>28110.148510912702</v>
      </c>
      <c r="CQ55" s="176">
        <v>27312.612626835748</v>
      </c>
      <c r="CR55" s="176">
        <v>26540.28826377527</v>
      </c>
      <c r="CS55" s="176">
        <v>25794.983857019546</v>
      </c>
      <c r="CT55" s="176">
        <v>25078.758481285273</v>
      </c>
      <c r="CU55" s="176">
        <v>24393.973662294553</v>
      </c>
      <c r="CV55" s="176">
        <v>23743.355787796987</v>
      </c>
      <c r="CW55" s="176">
        <v>23130.072611936226</v>
      </c>
      <c r="CX55" s="176">
        <v>22557.82878894217</v>
      </c>
      <c r="CY55" s="176">
        <v>22030.987576797666</v>
      </c>
      <c r="CZ55" s="176">
        <v>21554.729493017483</v>
      </c>
      <c r="DA55" s="176">
        <v>21135.265361946636</v>
      </c>
      <c r="DB55" s="176">
        <v>20780.134608168133</v>
      </c>
      <c r="DC55" s="176">
        <v>20498.64848171188</v>
      </c>
      <c r="DD55" s="176">
        <v>20302.601493710496</v>
      </c>
      <c r="DE55" s="176">
        <v>20090.208538005598</v>
      </c>
      <c r="DF55" s="176">
        <v>19859.545054126786</v>
      </c>
      <c r="DG55" s="176">
        <v>19687.587652622304</v>
      </c>
      <c r="DH55" s="176">
        <v>19575.848808257462</v>
      </c>
      <c r="DI55" s="176">
        <v>19525.286044240922</v>
      </c>
      <c r="DJ55" s="176">
        <v>19536.23955895425</v>
      </c>
      <c r="DK55" s="176">
        <v>19608.403190181984</v>
      </c>
      <c r="DL55" s="176">
        <v>19740.832300729438</v>
      </c>
      <c r="DM55" s="176">
        <v>19931.987395664433</v>
      </c>
      <c r="DN55" s="176">
        <v>20179.807835299045</v>
      </c>
      <c r="DO55" s="176">
        <v>20481.806660070299</v>
      </c>
      <c r="DP55" s="176">
        <v>20835.176277806961</v>
      </c>
      <c r="DQ55" s="176">
        <v>21236.895023812103</v>
      </c>
      <c r="DR55" s="176">
        <v>21683.826480555668</v>
      </c>
      <c r="DS55" s="176">
        <v>22172.805944189247</v>
      </c>
      <c r="DT55" s="176">
        <v>22700.711111063396</v>
      </c>
      <c r="DU55" s="176">
        <v>23159.738701077113</v>
      </c>
      <c r="DV55" s="176">
        <v>23564.529536457794</v>
      </c>
      <c r="DW55" s="176">
        <v>24058.182174560803</v>
      </c>
      <c r="DX55" s="176">
        <v>24615.928208625577</v>
      </c>
      <c r="DY55" s="176">
        <v>25222.272381166578</v>
      </c>
      <c r="DZ55" s="176">
        <v>25866.941954996117</v>
      </c>
      <c r="EA55" s="176">
        <v>26542.75310146964</v>
      </c>
      <c r="EB55" s="176">
        <v>27244.432934403572</v>
      </c>
      <c r="EC55" s="176">
        <v>27967.940926533596</v>
      </c>
      <c r="ED55" s="176">
        <v>28710.062423025433</v>
      </c>
      <c r="EE55" s="176">
        <v>29468.156258953</v>
      </c>
      <c r="EF55" s="176">
        <v>30000</v>
      </c>
      <c r="EG55" s="176">
        <v>30000</v>
      </c>
      <c r="EH55" s="176">
        <v>30000</v>
      </c>
      <c r="EI55" s="176">
        <v>30000</v>
      </c>
      <c r="EJ55" s="176">
        <v>30000</v>
      </c>
      <c r="EK55" s="176">
        <v>30000</v>
      </c>
      <c r="EL55" s="176">
        <v>30000</v>
      </c>
      <c r="EM55" s="176">
        <v>30000</v>
      </c>
      <c r="EN55" s="176">
        <v>30000</v>
      </c>
      <c r="EO55" s="176">
        <v>30000</v>
      </c>
      <c r="EP55" t="str">
        <f t="shared" si="0"/>
        <v>10y 152d</v>
      </c>
      <c r="ES55" s="258"/>
      <c r="ET55" s="258"/>
      <c r="EU55" s="258"/>
      <c r="EV55" s="258"/>
      <c r="EW55" s="258"/>
      <c r="EX55" s="258"/>
    </row>
    <row r="56" spans="2:154" x14ac:dyDescent="0.25">
      <c r="B56" s="70">
        <v>53</v>
      </c>
      <c r="D56">
        <v>16427036.08476082</v>
      </c>
      <c r="E56" s="12">
        <v>75990832035.931442</v>
      </c>
      <c r="F56" s="12">
        <v>-131738717966.92433</v>
      </c>
      <c r="G56" s="12">
        <v>0</v>
      </c>
      <c r="H56" s="12">
        <v>463526358.88834679</v>
      </c>
      <c r="I56" s="12">
        <v>-905205587169.24829</v>
      </c>
      <c r="J56" s="12">
        <v>-1186153509907.7742</v>
      </c>
      <c r="K56" s="12">
        <v>56643619875.511635</v>
      </c>
      <c r="L56" s="12">
        <v>8156212.5699888393</v>
      </c>
      <c r="M56" s="12">
        <v>209839253199.13171</v>
      </c>
      <c r="N56" s="12">
        <v>65272679743.602554</v>
      </c>
      <c r="O56" s="12">
        <v>255986535.99116826</v>
      </c>
      <c r="P56" s="12">
        <v>8156213.1539385542</v>
      </c>
      <c r="Q56" s="12">
        <v>209839438452.34369</v>
      </c>
      <c r="R56" s="12">
        <v>65272671577.124619</v>
      </c>
      <c r="S56" s="12">
        <v>0</v>
      </c>
      <c r="T56" s="12">
        <v>18226811.56501364</v>
      </c>
      <c r="U56" s="12">
        <v>184601630205.81799</v>
      </c>
      <c r="V56" s="12">
        <v>505302034404.38934</v>
      </c>
      <c r="W56" s="12">
        <v>-158536821.14961454</v>
      </c>
      <c r="X56" s="12">
        <v>8417624.4506378248</v>
      </c>
      <c r="Y56" s="12">
        <v>220906669224.83658</v>
      </c>
      <c r="Z56" s="12">
        <v>112510568023.02849</v>
      </c>
      <c r="AA56" s="12">
        <v>-10740757654.95241</v>
      </c>
      <c r="AB56" s="12"/>
      <c r="AC56" s="12"/>
      <c r="AD56" s="12"/>
      <c r="AE56" s="12"/>
      <c r="AG56" s="208" t="s">
        <v>69</v>
      </c>
      <c r="AH56" s="208"/>
      <c r="AI56" s="208"/>
      <c r="AS56" s="6">
        <v>334023795.25099224</v>
      </c>
      <c r="AT56" s="176">
        <v>30000</v>
      </c>
      <c r="AU56" s="176">
        <v>30000</v>
      </c>
      <c r="AV56" s="176">
        <v>30000</v>
      </c>
      <c r="AW56" s="176">
        <v>30000</v>
      </c>
      <c r="AX56" s="176">
        <v>30000</v>
      </c>
      <c r="AY56" s="176">
        <v>30000</v>
      </c>
      <c r="AZ56" s="176">
        <v>30000</v>
      </c>
      <c r="BA56" s="176">
        <v>30000</v>
      </c>
      <c r="BB56" s="176">
        <v>30000</v>
      </c>
      <c r="BC56" s="176">
        <v>30000</v>
      </c>
      <c r="BD56" s="176">
        <v>30000</v>
      </c>
      <c r="BE56" s="176">
        <v>30000</v>
      </c>
      <c r="BF56" s="176">
        <v>30000</v>
      </c>
      <c r="BG56" s="176">
        <v>30000</v>
      </c>
      <c r="BH56" s="176">
        <v>30000</v>
      </c>
      <c r="BI56" s="176">
        <v>30000</v>
      </c>
      <c r="BJ56" s="176">
        <v>30000</v>
      </c>
      <c r="BK56" s="176">
        <v>30000</v>
      </c>
      <c r="BL56" s="176">
        <v>30000</v>
      </c>
      <c r="BM56" s="176">
        <v>30000</v>
      </c>
      <c r="BN56" s="176">
        <v>30000</v>
      </c>
      <c r="BO56" s="176">
        <v>30000</v>
      </c>
      <c r="BP56" s="176">
        <v>30000</v>
      </c>
      <c r="BQ56" s="176">
        <v>30000</v>
      </c>
      <c r="BR56" s="176">
        <v>30000</v>
      </c>
      <c r="BS56" s="176">
        <v>30000</v>
      </c>
      <c r="BT56" s="176">
        <v>30000</v>
      </c>
      <c r="BU56" s="176">
        <v>30000</v>
      </c>
      <c r="BV56" s="176">
        <v>30000</v>
      </c>
      <c r="BW56" s="176">
        <v>30000</v>
      </c>
      <c r="BX56" s="176">
        <v>30000</v>
      </c>
      <c r="BY56" s="176">
        <v>30000</v>
      </c>
      <c r="BZ56" s="176">
        <v>30000</v>
      </c>
      <c r="CA56" s="176">
        <v>30000</v>
      </c>
      <c r="CB56" s="176">
        <v>30000</v>
      </c>
      <c r="CC56" s="176">
        <v>30000</v>
      </c>
      <c r="CD56" s="176">
        <v>30000</v>
      </c>
      <c r="CE56" s="176">
        <v>30000</v>
      </c>
      <c r="CF56" s="176">
        <v>30000</v>
      </c>
      <c r="CG56" s="176">
        <v>30000</v>
      </c>
      <c r="CH56" s="176">
        <v>30000</v>
      </c>
      <c r="CI56" s="176">
        <v>30000</v>
      </c>
      <c r="CJ56" s="176">
        <v>30000</v>
      </c>
      <c r="CK56" s="176">
        <v>30000</v>
      </c>
      <c r="CL56" s="176">
        <v>30000</v>
      </c>
      <c r="CM56" s="176">
        <v>30000</v>
      </c>
      <c r="CN56" s="176">
        <v>30000</v>
      </c>
      <c r="CO56" s="176">
        <v>29393.060766134677</v>
      </c>
      <c r="CP56" s="176">
        <v>28558.802534183098</v>
      </c>
      <c r="CQ56" s="176">
        <v>27747.424737976078</v>
      </c>
      <c r="CR56" s="176">
        <v>26960.448408715318</v>
      </c>
      <c r="CS56" s="176">
        <v>26199.582240777116</v>
      </c>
      <c r="CT56" s="176">
        <v>25466.762907850411</v>
      </c>
      <c r="CU56" s="176">
        <v>24764.202399679227</v>
      </c>
      <c r="CV56" s="176">
        <v>24094.444443279412</v>
      </c>
      <c r="CW56" s="176">
        <v>23460.432852738941</v>
      </c>
      <c r="CX56" s="176">
        <v>22865.595768515926</v>
      </c>
      <c r="CY56" s="176">
        <v>22313.951399565409</v>
      </c>
      <c r="CZ56" s="176">
        <v>21810.243488544005</v>
      </c>
      <c r="DA56" s="176">
        <v>21360.119255336835</v>
      </c>
      <c r="DB56" s="176">
        <v>20970.371370245281</v>
      </c>
      <c r="DC56" s="176">
        <v>20649.284070763588</v>
      </c>
      <c r="DD56" s="176">
        <v>20407.164378933703</v>
      </c>
      <c r="DE56" s="176">
        <v>20246.127218989735</v>
      </c>
      <c r="DF56" s="176">
        <v>19986.025245873825</v>
      </c>
      <c r="DG56" s="176">
        <v>19783.856963351525</v>
      </c>
      <c r="DH56" s="176">
        <v>19641.381032481815</v>
      </c>
      <c r="DI56" s="176">
        <v>19559.838742270615</v>
      </c>
      <c r="DJ56" s="176">
        <v>19539.877337983486</v>
      </c>
      <c r="DK56" s="176">
        <v>19581.503649411025</v>
      </c>
      <c r="DL56" s="176">
        <v>19684.073720428685</v>
      </c>
      <c r="DM56" s="176">
        <v>19846.319652631908</v>
      </c>
      <c r="DN56" s="176">
        <v>20066.410047770787</v>
      </c>
      <c r="DO56" s="176">
        <v>20342.036464488312</v>
      </c>
      <c r="DP56" s="176">
        <v>20670.515862095577</v>
      </c>
      <c r="DQ56" s="176">
        <v>21048.898696867167</v>
      </c>
      <c r="DR56" s="176">
        <v>21474.073348780053</v>
      </c>
      <c r="DS56" s="176">
        <v>21942.859994572853</v>
      </c>
      <c r="DT56" s="176">
        <v>22452.089694464587</v>
      </c>
      <c r="DU56" s="176">
        <v>22998.666817938007</v>
      </c>
      <c r="DV56" s="176">
        <v>23383.308187321381</v>
      </c>
      <c r="DW56" s="176">
        <v>23831.809596497144</v>
      </c>
      <c r="DX56" s="176">
        <v>24356.939209961929</v>
      </c>
      <c r="DY56" s="176">
        <v>24938.519655354838</v>
      </c>
      <c r="DZ56" s="176">
        <v>25563.611235274202</v>
      </c>
      <c r="EA56" s="176">
        <v>26223.437816287427</v>
      </c>
      <c r="EB56" s="176">
        <v>26911.734027786664</v>
      </c>
      <c r="EC56" s="176">
        <v>27623.815794693983</v>
      </c>
      <c r="ED56" s="176">
        <v>28356.035794279713</v>
      </c>
      <c r="EE56" s="176">
        <v>29105.452229811497</v>
      </c>
      <c r="EF56" s="176">
        <v>29869.620112364595</v>
      </c>
      <c r="EG56" s="176">
        <v>30000</v>
      </c>
      <c r="EH56" s="176">
        <v>30000</v>
      </c>
      <c r="EI56" s="176">
        <v>30000</v>
      </c>
      <c r="EJ56" s="176">
        <v>30000</v>
      </c>
      <c r="EK56" s="176">
        <v>30000</v>
      </c>
      <c r="EL56" s="176">
        <v>30000</v>
      </c>
      <c r="EM56" s="176">
        <v>30000</v>
      </c>
      <c r="EN56" s="176">
        <v>30000</v>
      </c>
      <c r="EO56" s="176">
        <v>30000</v>
      </c>
      <c r="EP56" t="str">
        <f t="shared" si="0"/>
        <v>10y 213d</v>
      </c>
      <c r="ES56" s="258"/>
      <c r="ET56" s="258"/>
      <c r="EU56" s="258"/>
      <c r="EV56" s="258"/>
      <c r="EW56" s="258"/>
      <c r="EX56" s="258"/>
    </row>
    <row r="57" spans="2:154" x14ac:dyDescent="0.25">
      <c r="B57" s="70">
        <v>54</v>
      </c>
      <c r="D57">
        <v>16753275.11155743</v>
      </c>
      <c r="E57" s="12">
        <v>84100998304.181488</v>
      </c>
      <c r="F57" s="12">
        <v>-126689443644.75052</v>
      </c>
      <c r="G57" s="12">
        <v>0</v>
      </c>
      <c r="H57" s="12">
        <v>473725313.11272186</v>
      </c>
      <c r="I57" s="12">
        <v>-830872099702.14319</v>
      </c>
      <c r="J57" s="12">
        <v>-1243618473989.0439</v>
      </c>
      <c r="K57" s="12">
        <v>54689948807.71965</v>
      </c>
      <c r="L57" s="12">
        <v>8448636.1715481989</v>
      </c>
      <c r="M57" s="12">
        <v>212376661917.6561</v>
      </c>
      <c r="N57" s="12">
        <v>74272461665.842377</v>
      </c>
      <c r="O57" s="12">
        <v>259672776.57052222</v>
      </c>
      <c r="P57" s="12">
        <v>8448636.7975069471</v>
      </c>
      <c r="Q57" s="12">
        <v>212376851003.50516</v>
      </c>
      <c r="R57" s="12">
        <v>74272453917.966904</v>
      </c>
      <c r="S57" s="12">
        <v>0</v>
      </c>
      <c r="T57" s="12">
        <v>19014272.347542766</v>
      </c>
      <c r="U57" s="12">
        <v>180298373570.4924</v>
      </c>
      <c r="V57" s="12">
        <v>518657687056.90527</v>
      </c>
      <c r="W57" s="12">
        <v>-164185390.23816764</v>
      </c>
      <c r="X57" s="12">
        <v>8753014.0990300998</v>
      </c>
      <c r="Y57" s="12">
        <v>222649057723.08118</v>
      </c>
      <c r="Z57" s="12">
        <v>122334804582.37199</v>
      </c>
      <c r="AA57" s="12">
        <v>-10981151514.357214</v>
      </c>
      <c r="AB57" s="12"/>
      <c r="AC57" s="12"/>
      <c r="AD57" s="12"/>
      <c r="AE57" s="12"/>
      <c r="AG57" s="70" t="s">
        <v>22</v>
      </c>
      <c r="AH57" s="70" t="s">
        <v>23</v>
      </c>
      <c r="AI57" s="70" t="s">
        <v>26</v>
      </c>
      <c r="AS57" s="6">
        <v>339290560.48731494</v>
      </c>
      <c r="AT57" s="176">
        <v>30000</v>
      </c>
      <c r="AU57" s="176">
        <v>30000</v>
      </c>
      <c r="AV57" s="176">
        <v>30000</v>
      </c>
      <c r="AW57" s="176">
        <v>30000</v>
      </c>
      <c r="AX57" s="176">
        <v>30000</v>
      </c>
      <c r="AY57" s="176">
        <v>30000</v>
      </c>
      <c r="AZ57" s="176">
        <v>30000</v>
      </c>
      <c r="BA57" s="176">
        <v>30000</v>
      </c>
      <c r="BB57" s="176">
        <v>30000</v>
      </c>
      <c r="BC57" s="176">
        <v>30000</v>
      </c>
      <c r="BD57" s="176">
        <v>30000</v>
      </c>
      <c r="BE57" s="176">
        <v>30000</v>
      </c>
      <c r="BF57" s="176">
        <v>30000</v>
      </c>
      <c r="BG57" s="176">
        <v>30000</v>
      </c>
      <c r="BH57" s="176">
        <v>30000</v>
      </c>
      <c r="BI57" s="176">
        <v>30000</v>
      </c>
      <c r="BJ57" s="176">
        <v>30000</v>
      </c>
      <c r="BK57" s="176">
        <v>30000</v>
      </c>
      <c r="BL57" s="176">
        <v>30000</v>
      </c>
      <c r="BM57" s="176">
        <v>30000</v>
      </c>
      <c r="BN57" s="176">
        <v>30000</v>
      </c>
      <c r="BO57" s="176">
        <v>30000</v>
      </c>
      <c r="BP57" s="176">
        <v>30000</v>
      </c>
      <c r="BQ57" s="176">
        <v>30000</v>
      </c>
      <c r="BR57" s="176">
        <v>30000</v>
      </c>
      <c r="BS57" s="176">
        <v>30000</v>
      </c>
      <c r="BT57" s="176">
        <v>30000</v>
      </c>
      <c r="BU57" s="176">
        <v>30000</v>
      </c>
      <c r="BV57" s="176">
        <v>30000</v>
      </c>
      <c r="BW57" s="176">
        <v>30000</v>
      </c>
      <c r="BX57" s="176">
        <v>30000</v>
      </c>
      <c r="BY57" s="176">
        <v>30000</v>
      </c>
      <c r="BZ57" s="176">
        <v>30000</v>
      </c>
      <c r="CA57" s="176">
        <v>30000</v>
      </c>
      <c r="CB57" s="176">
        <v>30000</v>
      </c>
      <c r="CC57" s="176">
        <v>30000</v>
      </c>
      <c r="CD57" s="176">
        <v>30000</v>
      </c>
      <c r="CE57" s="176">
        <v>30000</v>
      </c>
      <c r="CF57" s="176">
        <v>30000</v>
      </c>
      <c r="CG57" s="176">
        <v>30000</v>
      </c>
      <c r="CH57" s="176">
        <v>30000</v>
      </c>
      <c r="CI57" s="176">
        <v>30000</v>
      </c>
      <c r="CJ57" s="176">
        <v>30000</v>
      </c>
      <c r="CK57" s="176">
        <v>30000</v>
      </c>
      <c r="CL57" s="176">
        <v>30000</v>
      </c>
      <c r="CM57" s="176">
        <v>30000</v>
      </c>
      <c r="CN57" s="176">
        <v>30000</v>
      </c>
      <c r="CO57" s="176">
        <v>29861.194674134091</v>
      </c>
      <c r="CP57" s="176">
        <v>29014.196449898562</v>
      </c>
      <c r="CQ57" s="176">
        <v>28189.372879299899</v>
      </c>
      <c r="CR57" s="176">
        <v>27388.172568231192</v>
      </c>
      <c r="CS57" s="176">
        <v>26612.21383974421</v>
      </c>
      <c r="CT57" s="176">
        <v>25863.322055259123</v>
      </c>
      <c r="CU57" s="176">
        <v>25143.573066506742</v>
      </c>
      <c r="CV57" s="176">
        <v>24455.344507159294</v>
      </c>
      <c r="CW57" s="176">
        <v>23801.377256222895</v>
      </c>
      <c r="CX57" s="176">
        <v>23184.85028254558</v>
      </c>
      <c r="CY57" s="176">
        <v>22609.473343586287</v>
      </c>
      <c r="CZ57" s="176">
        <v>22079.603924256051</v>
      </c>
      <c r="DA57" s="176">
        <v>21600.39796055128</v>
      </c>
      <c r="DB57" s="176">
        <v>21178.009736817439</v>
      </c>
      <c r="DC57" s="176">
        <v>20819.86833924133</v>
      </c>
      <c r="DD57" s="176">
        <v>20535.084240195523</v>
      </c>
      <c r="DE57" s="176">
        <v>20335.097864763</v>
      </c>
      <c r="DF57" s="176">
        <v>20126.403222597299</v>
      </c>
      <c r="DG57" s="176">
        <v>19894.304939501635</v>
      </c>
      <c r="DH57" s="176">
        <v>19721.243382902107</v>
      </c>
      <c r="DI57" s="176">
        <v>19608.728659186771</v>
      </c>
      <c r="DJ57" s="176">
        <v>19557.707813615863</v>
      </c>
      <c r="DK57" s="176">
        <v>19568.502232490719</v>
      </c>
      <c r="DL57" s="176">
        <v>19640.779015765085</v>
      </c>
      <c r="DM57" s="176">
        <v>19773.559878264601</v>
      </c>
      <c r="DN57" s="176">
        <v>19965.266296228539</v>
      </c>
      <c r="DO57" s="176">
        <v>20213.794957834136</v>
      </c>
      <c r="DP57" s="176">
        <v>20516.614515027923</v>
      </c>
      <c r="DQ57" s="176">
        <v>20870.872967837404</v>
      </c>
      <c r="DR57" s="176">
        <v>21273.50567322506</v>
      </c>
      <c r="DS57" s="176">
        <v>21721.335751179624</v>
      </c>
      <c r="DT57" s="176">
        <v>22211.161312789191</v>
      </c>
      <c r="DU57" s="176">
        <v>22739.826457262778</v>
      </c>
      <c r="DV57" s="176">
        <v>23233.104738722228</v>
      </c>
      <c r="DW57" s="176">
        <v>23626.46357562561</v>
      </c>
      <c r="DX57" s="176">
        <v>24113.079778091207</v>
      </c>
      <c r="DY57" s="176">
        <v>24666.226705798246</v>
      </c>
      <c r="DZ57" s="176">
        <v>25269.344309243159</v>
      </c>
      <c r="EA57" s="176">
        <v>25911.552870120904</v>
      </c>
      <c r="EB57" s="176">
        <v>26585.307983390056</v>
      </c>
      <c r="EC57" s="176">
        <v>27285.114827395031</v>
      </c>
      <c r="ED57" s="176">
        <v>28006.792143881317</v>
      </c>
      <c r="EE57" s="176">
        <v>28747.033988995783</v>
      </c>
      <c r="EF57" s="176">
        <v>29503.13904903211</v>
      </c>
      <c r="EG57" s="176">
        <v>30000</v>
      </c>
      <c r="EH57" s="176">
        <v>30000</v>
      </c>
      <c r="EI57" s="176">
        <v>30000</v>
      </c>
      <c r="EJ57" s="176">
        <v>30000</v>
      </c>
      <c r="EK57" s="176">
        <v>30000</v>
      </c>
      <c r="EL57" s="176">
        <v>30000</v>
      </c>
      <c r="EM57" s="176">
        <v>30000</v>
      </c>
      <c r="EN57" s="176">
        <v>30000</v>
      </c>
      <c r="EO57" s="176">
        <v>30000</v>
      </c>
      <c r="EP57" t="str">
        <f t="shared" si="0"/>
        <v>10y 274d</v>
      </c>
    </row>
    <row r="58" spans="2:154" x14ac:dyDescent="0.25">
      <c r="B58" s="70">
        <v>55</v>
      </c>
      <c r="D58">
        <v>17079400.808259241</v>
      </c>
      <c r="E58" s="12">
        <v>91870946265.543762</v>
      </c>
      <c r="F58" s="12">
        <v>-121133661737.87871</v>
      </c>
      <c r="G58" s="12">
        <v>0</v>
      </c>
      <c r="H58" s="12">
        <v>483969812.14985317</v>
      </c>
      <c r="I58" s="12">
        <v>-752765045812.37964</v>
      </c>
      <c r="J58" s="12">
        <v>-1296188506323.6501</v>
      </c>
      <c r="K58" s="12">
        <v>52501013319.661293</v>
      </c>
      <c r="L58" s="12">
        <v>8755380.2610498182</v>
      </c>
      <c r="M58" s="12">
        <v>214811167336.32947</v>
      </c>
      <c r="N58" s="12">
        <v>83633498927.191406</v>
      </c>
      <c r="O58" s="12">
        <v>263261782.20747194</v>
      </c>
      <c r="P58" s="12">
        <v>8755380.9313237946</v>
      </c>
      <c r="Q58" s="12">
        <v>214811360255.84491</v>
      </c>
      <c r="R58" s="12">
        <v>83633491639.065353</v>
      </c>
      <c r="S58" s="12">
        <v>0</v>
      </c>
      <c r="T58" s="12">
        <v>19834797.366202068</v>
      </c>
      <c r="U58" s="12">
        <v>175719177316.76895</v>
      </c>
      <c r="V58" s="12">
        <v>532300065108.99249</v>
      </c>
      <c r="W58" s="12">
        <v>-169984376.0684866</v>
      </c>
      <c r="X58" s="12">
        <v>9105436.3028263804</v>
      </c>
      <c r="Y58" s="12">
        <v>224262361527.53854</v>
      </c>
      <c r="Z58" s="12">
        <v>132538377691.4173</v>
      </c>
      <c r="AA58" s="12">
        <v>-11223022298.105947</v>
      </c>
      <c r="AB58" s="12"/>
      <c r="AC58" s="12"/>
      <c r="AD58" s="12"/>
      <c r="AE58" s="12"/>
      <c r="AG58" s="27">
        <v>0</v>
      </c>
      <c r="AH58" s="27">
        <v>0</v>
      </c>
      <c r="AI58" s="27">
        <v>0</v>
      </c>
      <c r="AS58" s="6">
        <v>344557325.72363764</v>
      </c>
      <c r="AT58" s="176">
        <v>30000</v>
      </c>
      <c r="AU58" s="176">
        <v>30000</v>
      </c>
      <c r="AV58" s="176">
        <v>30000</v>
      </c>
      <c r="AW58" s="176">
        <v>30000</v>
      </c>
      <c r="AX58" s="176">
        <v>30000</v>
      </c>
      <c r="AY58" s="176">
        <v>30000</v>
      </c>
      <c r="AZ58" s="176">
        <v>30000</v>
      </c>
      <c r="BA58" s="176">
        <v>30000</v>
      </c>
      <c r="BB58" s="176">
        <v>30000</v>
      </c>
      <c r="BC58" s="176">
        <v>30000</v>
      </c>
      <c r="BD58" s="176">
        <v>30000</v>
      </c>
      <c r="BE58" s="176">
        <v>30000</v>
      </c>
      <c r="BF58" s="176">
        <v>30000</v>
      </c>
      <c r="BG58" s="176">
        <v>30000</v>
      </c>
      <c r="BH58" s="176">
        <v>30000</v>
      </c>
      <c r="BI58" s="176">
        <v>30000</v>
      </c>
      <c r="BJ58" s="176">
        <v>30000</v>
      </c>
      <c r="BK58" s="176">
        <v>30000</v>
      </c>
      <c r="BL58" s="176">
        <v>30000</v>
      </c>
      <c r="BM58" s="176">
        <v>30000</v>
      </c>
      <c r="BN58" s="176">
        <v>30000</v>
      </c>
      <c r="BO58" s="176">
        <v>30000</v>
      </c>
      <c r="BP58" s="176">
        <v>30000</v>
      </c>
      <c r="BQ58" s="176">
        <v>30000</v>
      </c>
      <c r="BR58" s="176">
        <v>30000</v>
      </c>
      <c r="BS58" s="176">
        <v>30000</v>
      </c>
      <c r="BT58" s="176">
        <v>30000</v>
      </c>
      <c r="BU58" s="176">
        <v>30000</v>
      </c>
      <c r="BV58" s="176">
        <v>30000</v>
      </c>
      <c r="BW58" s="176">
        <v>30000</v>
      </c>
      <c r="BX58" s="176">
        <v>30000</v>
      </c>
      <c r="BY58" s="176">
        <v>30000</v>
      </c>
      <c r="BZ58" s="176">
        <v>30000</v>
      </c>
      <c r="CA58" s="176">
        <v>30000</v>
      </c>
      <c r="CB58" s="176">
        <v>30000</v>
      </c>
      <c r="CC58" s="176">
        <v>30000</v>
      </c>
      <c r="CD58" s="176">
        <v>30000</v>
      </c>
      <c r="CE58" s="176">
        <v>30000</v>
      </c>
      <c r="CF58" s="176">
        <v>30000</v>
      </c>
      <c r="CG58" s="176">
        <v>30000</v>
      </c>
      <c r="CH58" s="176">
        <v>30000</v>
      </c>
      <c r="CI58" s="176">
        <v>30000</v>
      </c>
      <c r="CJ58" s="176">
        <v>30000</v>
      </c>
      <c r="CK58" s="176">
        <v>30000</v>
      </c>
      <c r="CL58" s="176">
        <v>30000</v>
      </c>
      <c r="CM58" s="176">
        <v>30000</v>
      </c>
      <c r="CN58" s="176">
        <v>30000</v>
      </c>
      <c r="CO58" s="176">
        <v>30000</v>
      </c>
      <c r="CP58" s="176">
        <v>29476.042187387298</v>
      </c>
      <c r="CQ58" s="176">
        <v>28638.16356369749</v>
      </c>
      <c r="CR58" s="176">
        <v>27823.158641268295</v>
      </c>
      <c r="CS58" s="176">
        <v>27032.564177312117</v>
      </c>
      <c r="CT58" s="176">
        <v>26268.104549478754</v>
      </c>
      <c r="CU58" s="176">
        <v>25531.73181160654</v>
      </c>
      <c r="CV58" s="176">
        <v>24825.672559379411</v>
      </c>
      <c r="CW58" s="176">
        <v>24152.483529816323</v>
      </c>
      <c r="CX58" s="176">
        <v>23515.118555715377</v>
      </c>
      <c r="CY58" s="176">
        <v>22917.010479583849</v>
      </c>
      <c r="CZ58" s="176">
        <v>22362.173068919485</v>
      </c>
      <c r="DA58" s="176">
        <v>21855.330231587577</v>
      </c>
      <c r="DB58" s="176">
        <v>21402.083785888066</v>
      </c>
      <c r="DC58" s="176">
        <v>21009.138847313123</v>
      </c>
      <c r="DD58" s="176">
        <v>20684.622678905209</v>
      </c>
      <c r="DE58" s="176">
        <v>20438.570255186474</v>
      </c>
      <c r="DF58" s="176">
        <v>20280.517437407034</v>
      </c>
      <c r="DG58" s="176">
        <v>20018.835683295954</v>
      </c>
      <c r="DH58" s="176">
        <v>19815.414303231741</v>
      </c>
      <c r="DI58" s="176">
        <v>19672.014005147252</v>
      </c>
      <c r="DJ58" s="176">
        <v>19589.870251800305</v>
      </c>
      <c r="DK58" s="176">
        <v>19569.61607263903</v>
      </c>
      <c r="DL58" s="176">
        <v>19611.235752697488</v>
      </c>
      <c r="DM58" s="176">
        <v>19714.055185025278</v>
      </c>
      <c r="DN58" s="176">
        <v>19876.770017563373</v>
      </c>
      <c r="DO58" s="176">
        <v>20097.50776064329</v>
      </c>
      <c r="DP58" s="176">
        <v>20373.91613240484</v>
      </c>
      <c r="DQ58" s="176">
        <v>20703.267355105017</v>
      </c>
      <c r="DR58" s="176">
        <v>21082.567852496963</v>
      </c>
      <c r="DS58" s="176">
        <v>21508.663972415285</v>
      </c>
      <c r="DT58" s="176">
        <v>21978.336812619622</v>
      </c>
      <c r="DU58" s="176">
        <v>22488.381790631083</v>
      </c>
      <c r="DV58" s="176">
        <v>23035.671423301661</v>
      </c>
      <c r="DW58" s="176">
        <v>23446.557766753205</v>
      </c>
      <c r="DX58" s="176">
        <v>23886.941365239829</v>
      </c>
      <c r="DY58" s="176">
        <v>24406.996654604125</v>
      </c>
      <c r="DZ58" s="176">
        <v>24985.181562647376</v>
      </c>
      <c r="EA58" s="176">
        <v>25607.803513467923</v>
      </c>
      <c r="EB58" s="176">
        <v>26265.651873005219</v>
      </c>
      <c r="EC58" s="176">
        <v>26952.200524853324</v>
      </c>
      <c r="ED58" s="176">
        <v>27662.60364255845</v>
      </c>
      <c r="EE58" s="176">
        <v>28393.110892171586</v>
      </c>
      <c r="EF58" s="176">
        <v>29140.713621194998</v>
      </c>
      <c r="EG58" s="176">
        <v>29902.923158678233</v>
      </c>
      <c r="EH58" s="176">
        <v>30000</v>
      </c>
      <c r="EI58" s="176">
        <v>30000</v>
      </c>
      <c r="EJ58" s="176">
        <v>30000</v>
      </c>
      <c r="EK58" s="176">
        <v>30000</v>
      </c>
      <c r="EL58" s="176">
        <v>30000</v>
      </c>
      <c r="EM58" s="176">
        <v>30000</v>
      </c>
      <c r="EN58" s="176">
        <v>30000</v>
      </c>
      <c r="EO58" s="176">
        <v>30000</v>
      </c>
      <c r="EP58" t="str">
        <f t="shared" si="0"/>
        <v>10y 335d</v>
      </c>
    </row>
    <row r="59" spans="2:154" x14ac:dyDescent="0.25">
      <c r="B59" s="70">
        <v>56</v>
      </c>
      <c r="D59">
        <v>17405370.369610045</v>
      </c>
      <c r="E59" s="13">
        <v>99268701880.715561</v>
      </c>
      <c r="F59" s="13">
        <v>-115094698996.15649</v>
      </c>
      <c r="G59" s="13">
        <v>0</v>
      </c>
      <c r="H59" s="13">
        <v>494256214.72633588</v>
      </c>
      <c r="I59" s="13">
        <v>-671214357740.21411</v>
      </c>
      <c r="J59" s="12">
        <v>-1343593820854.3333</v>
      </c>
      <c r="K59" s="12">
        <v>50085228347.57235</v>
      </c>
      <c r="L59" s="12">
        <v>9077627.4839517083</v>
      </c>
      <c r="M59" s="12">
        <v>217133123665.112</v>
      </c>
      <c r="N59" s="12">
        <v>93375889005.111633</v>
      </c>
      <c r="O59" s="12">
        <v>266743447.91741061</v>
      </c>
      <c r="P59" s="12">
        <v>9077628.200991312</v>
      </c>
      <c r="Q59" s="12">
        <v>217133320416.0018</v>
      </c>
      <c r="R59" s="12">
        <v>93375882219.792252</v>
      </c>
      <c r="S59" s="12">
        <v>0</v>
      </c>
      <c r="T59" s="12">
        <v>20690031.103233561</v>
      </c>
      <c r="U59" s="12">
        <v>170851495539.78998</v>
      </c>
      <c r="V59" s="12">
        <v>546232350018.73804</v>
      </c>
      <c r="W59" s="12">
        <v>-175936953.82428581</v>
      </c>
      <c r="X59" s="12">
        <v>9476234.5050792322</v>
      </c>
      <c r="Y59" s="12">
        <v>225734925968.2478</v>
      </c>
      <c r="Z59" s="12">
        <v>143141053491.19495</v>
      </c>
      <c r="AA59" s="12">
        <v>-11466251063.259424</v>
      </c>
      <c r="AB59" s="12"/>
      <c r="AC59" s="12"/>
      <c r="AD59" s="12"/>
      <c r="AE59" s="12"/>
      <c r="AS59" s="6">
        <v>349824090.95996034</v>
      </c>
      <c r="AT59" s="176">
        <v>30000</v>
      </c>
      <c r="AU59" s="176">
        <v>30000</v>
      </c>
      <c r="AV59" s="176">
        <v>30000</v>
      </c>
      <c r="AW59" s="176">
        <v>30000</v>
      </c>
      <c r="AX59" s="176">
        <v>30000</v>
      </c>
      <c r="AY59" s="176">
        <v>30000</v>
      </c>
      <c r="AZ59" s="176">
        <v>30000</v>
      </c>
      <c r="BA59" s="176">
        <v>30000</v>
      </c>
      <c r="BB59" s="176">
        <v>30000</v>
      </c>
      <c r="BC59" s="176">
        <v>30000</v>
      </c>
      <c r="BD59" s="176">
        <v>30000</v>
      </c>
      <c r="BE59" s="176">
        <v>30000</v>
      </c>
      <c r="BF59" s="176">
        <v>30000</v>
      </c>
      <c r="BG59" s="176">
        <v>30000</v>
      </c>
      <c r="BH59" s="176">
        <v>30000</v>
      </c>
      <c r="BI59" s="176">
        <v>30000</v>
      </c>
      <c r="BJ59" s="176">
        <v>30000</v>
      </c>
      <c r="BK59" s="176">
        <v>30000</v>
      </c>
      <c r="BL59" s="176">
        <v>30000</v>
      </c>
      <c r="BM59" s="176">
        <v>30000</v>
      </c>
      <c r="BN59" s="176">
        <v>30000</v>
      </c>
      <c r="BO59" s="176">
        <v>30000</v>
      </c>
      <c r="BP59" s="176">
        <v>30000</v>
      </c>
      <c r="BQ59" s="176">
        <v>30000</v>
      </c>
      <c r="BR59" s="176">
        <v>30000</v>
      </c>
      <c r="BS59" s="176">
        <v>30000</v>
      </c>
      <c r="BT59" s="176">
        <v>30000</v>
      </c>
      <c r="BU59" s="176">
        <v>30000</v>
      </c>
      <c r="BV59" s="176">
        <v>30000</v>
      </c>
      <c r="BW59" s="176">
        <v>30000</v>
      </c>
      <c r="BX59" s="176">
        <v>30000</v>
      </c>
      <c r="BY59" s="176">
        <v>30000</v>
      </c>
      <c r="BZ59" s="176">
        <v>30000</v>
      </c>
      <c r="CA59" s="176">
        <v>30000</v>
      </c>
      <c r="CB59" s="176">
        <v>30000</v>
      </c>
      <c r="CC59" s="176">
        <v>30000</v>
      </c>
      <c r="CD59" s="176">
        <v>30000</v>
      </c>
      <c r="CE59" s="176">
        <v>30000</v>
      </c>
      <c r="CF59" s="176">
        <v>30000</v>
      </c>
      <c r="CG59" s="176">
        <v>30000</v>
      </c>
      <c r="CH59" s="176">
        <v>30000</v>
      </c>
      <c r="CI59" s="176">
        <v>30000</v>
      </c>
      <c r="CJ59" s="176">
        <v>30000</v>
      </c>
      <c r="CK59" s="176">
        <v>30000</v>
      </c>
      <c r="CL59" s="176">
        <v>30000</v>
      </c>
      <c r="CM59" s="176">
        <v>30000</v>
      </c>
      <c r="CN59" s="176">
        <v>30000</v>
      </c>
      <c r="CO59" s="176">
        <v>30000</v>
      </c>
      <c r="CP59" s="176">
        <v>29944.058469424024</v>
      </c>
      <c r="CQ59" s="176">
        <v>29093.510531808486</v>
      </c>
      <c r="CR59" s="176">
        <v>28265.112296732674</v>
      </c>
      <c r="CS59" s="176">
        <v>27460.327242208972</v>
      </c>
      <c r="CT59" s="176">
        <v>26680.788408112348</v>
      </c>
      <c r="CU59" s="176">
        <v>25928.335463136937</v>
      </c>
      <c r="CV59" s="176">
        <v>25205.057724722759</v>
      </c>
      <c r="CW59" s="176">
        <v>24513.344727440268</v>
      </c>
      <c r="CX59" s="176">
        <v>23855.946494387848</v>
      </c>
      <c r="CY59" s="176">
        <v>23236.046442351406</v>
      </c>
      <c r="CZ59" s="176">
        <v>22657.350954890462</v>
      </c>
      <c r="DA59" s="176">
        <v>22124.20131355153</v>
      </c>
      <c r="DB59" s="176">
        <v>21641.716419407359</v>
      </c>
      <c r="DC59" s="176">
        <v>21215.979885005039</v>
      </c>
      <c r="DD59" s="176">
        <v>20854.295853694555</v>
      </c>
      <c r="DE59" s="176">
        <v>20565.561822607167</v>
      </c>
      <c r="DF59" s="176">
        <v>20360.860421633228</v>
      </c>
      <c r="DG59" s="176">
        <v>20157.312415103803</v>
      </c>
      <c r="DH59" s="176">
        <v>19923.827240751489</v>
      </c>
      <c r="DI59" s="176">
        <v>19749.70577568575</v>
      </c>
      <c r="DJ59" s="176">
        <v>19636.456736470336</v>
      </c>
      <c r="DK59" s="176">
        <v>19585.017470353207</v>
      </c>
      <c r="DL59" s="176">
        <v>19595.691109266852</v>
      </c>
      <c r="DM59" s="176">
        <v>19668.118343582511</v>
      </c>
      <c r="DN59" s="176">
        <v>19801.287364771626</v>
      </c>
      <c r="DO59" s="176">
        <v>19993.580519954216</v>
      </c>
      <c r="DP59" s="176">
        <v>20242.851503544309</v>
      </c>
      <c r="DQ59" s="176">
        <v>20546.524666954352</v>
      </c>
      <c r="DR59" s="176">
        <v>20901.702805617224</v>
      </c>
      <c r="DS59" s="176">
        <v>21305.278025381656</v>
      </c>
      <c r="DT59" s="176">
        <v>21754.03262733452</v>
      </c>
      <c r="DU59" s="176">
        <v>22244.727114715453</v>
      </c>
      <c r="DV59" s="176">
        <v>22774.171701480802</v>
      </c>
      <c r="DW59" s="176">
        <v>23297.992796798382</v>
      </c>
      <c r="DX59" s="176">
        <v>23681.870583164491</v>
      </c>
      <c r="DY59" s="176">
        <v>24162.835489710145</v>
      </c>
      <c r="DZ59" s="176">
        <v>24712.388097076931</v>
      </c>
      <c r="EA59" s="176">
        <v>25313.025617732746</v>
      </c>
      <c r="EB59" s="176">
        <v>25953.34171009804</v>
      </c>
      <c r="EC59" s="176">
        <v>26625.484915698424</v>
      </c>
      <c r="ED59" s="176">
        <v>27323.774686088473</v>
      </c>
      <c r="EE59" s="176">
        <v>28043.914018272757</v>
      </c>
      <c r="EF59" s="176">
        <v>28782.523207256789</v>
      </c>
      <c r="EG59" s="176">
        <v>29536.853414920963</v>
      </c>
      <c r="EH59" s="176">
        <v>30000</v>
      </c>
      <c r="EI59" s="176">
        <v>30000</v>
      </c>
      <c r="EJ59" s="176">
        <v>30000</v>
      </c>
      <c r="EK59" s="176">
        <v>30000</v>
      </c>
      <c r="EL59" s="176">
        <v>30000</v>
      </c>
      <c r="EM59" s="176">
        <v>30000</v>
      </c>
      <c r="EN59" s="176">
        <v>30000</v>
      </c>
      <c r="EO59" s="176">
        <v>30000</v>
      </c>
      <c r="EP59" t="str">
        <f t="shared" si="0"/>
        <v>11y 31d</v>
      </c>
    </row>
    <row r="60" spans="2:154" x14ac:dyDescent="0.25">
      <c r="B60" s="70">
        <v>57</v>
      </c>
      <c r="D60">
        <v>17731141.698007587</v>
      </c>
      <c r="E60" s="12">
        <v>106263949587.78192</v>
      </c>
      <c r="F60" s="12">
        <v>-108597943754.79123</v>
      </c>
      <c r="G60" s="12">
        <v>0</v>
      </c>
      <c r="H60" s="12">
        <v>504580642.650801</v>
      </c>
      <c r="I60" s="12">
        <v>-586571652335.87048</v>
      </c>
      <c r="J60" s="12">
        <v>-1385588158879.2456</v>
      </c>
      <c r="K60" s="12">
        <v>47452280612.611328</v>
      </c>
      <c r="L60" s="12">
        <v>9416675.092821544</v>
      </c>
      <c r="M60" s="12">
        <v>219331776351.97226</v>
      </c>
      <c r="N60" s="12">
        <v>103521072557.24033</v>
      </c>
      <c r="O60" s="12">
        <v>270106437.58829248</v>
      </c>
      <c r="P60" s="12">
        <v>9416675.8592318632</v>
      </c>
      <c r="Q60" s="12">
        <v>219331976928.09314</v>
      </c>
      <c r="R60" s="12">
        <v>103521066319.78865</v>
      </c>
      <c r="S60" s="12">
        <v>0</v>
      </c>
      <c r="T60" s="12">
        <v>21581700.208389334</v>
      </c>
      <c r="U60" s="12">
        <v>165682331404.55374</v>
      </c>
      <c r="V60" s="12">
        <v>560457265843.75854</v>
      </c>
      <c r="W60" s="12">
        <v>-182046200.25650772</v>
      </c>
      <c r="X60" s="12">
        <v>9866877.3077594675</v>
      </c>
      <c r="Y60" s="12">
        <v>227053910174.66559</v>
      </c>
      <c r="Z60" s="12">
        <v>154163764273.31638</v>
      </c>
      <c r="AA60" s="12">
        <v>-11710692030.400845</v>
      </c>
      <c r="AB60" s="12"/>
      <c r="AC60" s="12"/>
      <c r="AD60" s="12"/>
      <c r="AE60" s="12"/>
      <c r="AS60" s="6">
        <v>355090856.19628304</v>
      </c>
      <c r="AT60" s="176">
        <v>30000</v>
      </c>
      <c r="AU60" s="176">
        <v>30000</v>
      </c>
      <c r="AV60" s="176">
        <v>30000</v>
      </c>
      <c r="AW60" s="176">
        <v>30000</v>
      </c>
      <c r="AX60" s="176">
        <v>30000</v>
      </c>
      <c r="AY60" s="176">
        <v>30000</v>
      </c>
      <c r="AZ60" s="176">
        <v>30000</v>
      </c>
      <c r="BA60" s="176">
        <v>30000</v>
      </c>
      <c r="BB60" s="176">
        <v>30000</v>
      </c>
      <c r="BC60" s="176">
        <v>30000</v>
      </c>
      <c r="BD60" s="176">
        <v>30000</v>
      </c>
      <c r="BE60" s="176">
        <v>30000</v>
      </c>
      <c r="BF60" s="176">
        <v>30000</v>
      </c>
      <c r="BG60" s="176">
        <v>30000</v>
      </c>
      <c r="BH60" s="176">
        <v>30000</v>
      </c>
      <c r="BI60" s="176">
        <v>30000</v>
      </c>
      <c r="BJ60" s="176">
        <v>30000</v>
      </c>
      <c r="BK60" s="176">
        <v>30000</v>
      </c>
      <c r="BL60" s="176">
        <v>30000</v>
      </c>
      <c r="BM60" s="176">
        <v>30000</v>
      </c>
      <c r="BN60" s="176">
        <v>30000</v>
      </c>
      <c r="BO60" s="176">
        <v>30000</v>
      </c>
      <c r="BP60" s="176">
        <v>30000</v>
      </c>
      <c r="BQ60" s="176">
        <v>30000</v>
      </c>
      <c r="BR60" s="176">
        <v>30000</v>
      </c>
      <c r="BS60" s="176">
        <v>30000</v>
      </c>
      <c r="BT60" s="176">
        <v>30000</v>
      </c>
      <c r="BU60" s="176">
        <v>30000</v>
      </c>
      <c r="BV60" s="176">
        <v>30000</v>
      </c>
      <c r="BW60" s="176">
        <v>30000</v>
      </c>
      <c r="BX60" s="176">
        <v>30000</v>
      </c>
      <c r="BY60" s="176">
        <v>30000</v>
      </c>
      <c r="BZ60" s="176">
        <v>30000</v>
      </c>
      <c r="CA60" s="176">
        <v>30000</v>
      </c>
      <c r="CB60" s="176">
        <v>30000</v>
      </c>
      <c r="CC60" s="176">
        <v>30000</v>
      </c>
      <c r="CD60" s="176">
        <v>30000</v>
      </c>
      <c r="CE60" s="176">
        <v>30000</v>
      </c>
      <c r="CF60" s="176">
        <v>30000</v>
      </c>
      <c r="CG60" s="176">
        <v>30000</v>
      </c>
      <c r="CH60" s="176">
        <v>30000</v>
      </c>
      <c r="CI60" s="176">
        <v>30000</v>
      </c>
      <c r="CJ60" s="176">
        <v>30000</v>
      </c>
      <c r="CK60" s="176">
        <v>30000</v>
      </c>
      <c r="CL60" s="176">
        <v>30000</v>
      </c>
      <c r="CM60" s="176">
        <v>30000</v>
      </c>
      <c r="CN60" s="176">
        <v>30000</v>
      </c>
      <c r="CO60" s="176">
        <v>30000</v>
      </c>
      <c r="CP60" s="176">
        <v>30000</v>
      </c>
      <c r="CQ60" s="176">
        <v>29555.134851107847</v>
      </c>
      <c r="CR60" s="176">
        <v>28713.747135530637</v>
      </c>
      <c r="CS60" s="176">
        <v>27895.205710473394</v>
      </c>
      <c r="CT60" s="176">
        <v>27101.061305658652</v>
      </c>
      <c r="CU60" s="176">
        <v>26333.051795701896</v>
      </c>
      <c r="CV60" s="176">
        <v>25593.141856250004</v>
      </c>
      <c r="CW60" s="176">
        <v>24883.569185445158</v>
      </c>
      <c r="CX60" s="176">
        <v>24206.899071184365</v>
      </c>
      <c r="CY60" s="176">
        <v>23566.089704013357</v>
      </c>
      <c r="CZ60" s="176">
        <v>22964.571497720412</v>
      </c>
      <c r="DA60" s="176">
        <v>22406.344926462702</v>
      </c>
      <c r="DB60" s="176">
        <v>21896.103340536582</v>
      </c>
      <c r="DC60" s="176">
        <v>21439.390682646997</v>
      </c>
      <c r="DD60" s="176">
        <v>21042.810989497535</v>
      </c>
      <c r="DE60" s="176">
        <v>20714.321820768037</v>
      </c>
      <c r="DF60" s="176">
        <v>20463.678178391354</v>
      </c>
      <c r="DG60" s="176">
        <v>20303.170457800421</v>
      </c>
      <c r="DH60" s="176">
        <v>20046.373158286235</v>
      </c>
      <c r="DI60" s="176">
        <v>19841.769175243233</v>
      </c>
      <c r="DJ60" s="176">
        <v>19697.512362525078</v>
      </c>
      <c r="DK60" s="176">
        <v>19614.832873609452</v>
      </c>
      <c r="DL60" s="176">
        <v>19594.349796415794</v>
      </c>
      <c r="DM60" s="176">
        <v>19636.024925850892</v>
      </c>
      <c r="DN60" s="176">
        <v>19739.153864217486</v>
      </c>
      <c r="DO60" s="176">
        <v>19902.395477072834</v>
      </c>
      <c r="DP60" s="176">
        <v>20123.835782883612</v>
      </c>
      <c r="DQ60" s="176">
        <v>20401.078176386334</v>
      </c>
      <c r="DR60" s="176">
        <v>20731.349652236597</v>
      </c>
      <c r="DS60" s="176">
        <v>21111.612134536863</v>
      </c>
      <c r="DT60" s="176">
        <v>21538.669553764299</v>
      </c>
      <c r="DU60" s="176">
        <v>22009.263536560102</v>
      </c>
      <c r="DV60" s="176">
        <v>22520.1536261539</v>
      </c>
      <c r="DW60" s="176">
        <v>23068.180274146805</v>
      </c>
      <c r="DX60" s="176">
        <v>23502.264986920203</v>
      </c>
      <c r="DY60" s="176">
        <v>23936.29255906837</v>
      </c>
      <c r="DZ60" s="176">
        <v>24452.523568177534</v>
      </c>
      <c r="EA60" s="176">
        <v>25028.221808623632</v>
      </c>
      <c r="EB60" s="176">
        <v>25649.051824568989</v>
      </c>
      <c r="EC60" s="176">
        <v>26305.440287226986</v>
      </c>
      <c r="ED60" s="176">
        <v>26990.648017071624</v>
      </c>
      <c r="EE60" s="176">
        <v>27699.699759263316</v>
      </c>
      <c r="EF60" s="176">
        <v>28428.764500156372</v>
      </c>
      <c r="EG60" s="176">
        <v>29174.782545772483</v>
      </c>
      <c r="EH60" s="176">
        <v>29935.232909516704</v>
      </c>
      <c r="EI60" s="176">
        <v>30000</v>
      </c>
      <c r="EJ60" s="176">
        <v>30000</v>
      </c>
      <c r="EK60" s="176">
        <v>30000</v>
      </c>
      <c r="EL60" s="176">
        <v>30000</v>
      </c>
      <c r="EM60" s="176">
        <v>30000</v>
      </c>
      <c r="EN60" s="176">
        <v>30000</v>
      </c>
      <c r="EO60" s="176">
        <v>30000</v>
      </c>
      <c r="EP60" t="str">
        <f t="shared" si="0"/>
        <v>11y 92d</v>
      </c>
    </row>
    <row r="61" spans="2:154" x14ac:dyDescent="0.25">
      <c r="B61" s="70">
        <v>58</v>
      </c>
      <c r="D61">
        <v>18056673.592278257</v>
      </c>
      <c r="E61" s="12">
        <v>112828170058.98318</v>
      </c>
      <c r="F61" s="12">
        <v>-101670720016.63437</v>
      </c>
      <c r="G61" s="12">
        <v>0</v>
      </c>
      <c r="H61" s="12">
        <v>514938999.64519972</v>
      </c>
      <c r="I61" s="12">
        <v>-499208390889.57239</v>
      </c>
      <c r="J61" s="12">
        <v>-1421950847240.9617</v>
      </c>
      <c r="K61" s="12">
        <v>44613091328.696098</v>
      </c>
      <c r="L61" s="12">
        <v>9773948.0960092247</v>
      </c>
      <c r="M61" s="12">
        <v>221395139029.42041</v>
      </c>
      <c r="N61" s="12">
        <v>114091922550.93427</v>
      </c>
      <c r="O61" s="12">
        <v>273338043.03351921</v>
      </c>
      <c r="P61" s="12">
        <v>9773948.9145604614</v>
      </c>
      <c r="Q61" s="12">
        <v>221395343420.17737</v>
      </c>
      <c r="R61" s="12">
        <v>114091916908.49213</v>
      </c>
      <c r="S61" s="12">
        <v>0</v>
      </c>
      <c r="T61" s="12">
        <v>22511616.577477854</v>
      </c>
      <c r="U61" s="12">
        <v>160198240899.3508</v>
      </c>
      <c r="V61" s="12">
        <v>574977011264.19971</v>
      </c>
      <c r="W61" s="12">
        <v>-188315067.81576601</v>
      </c>
      <c r="X61" s="12">
        <v>10278971.942528391</v>
      </c>
      <c r="Y61" s="12">
        <v>228205166587.51471</v>
      </c>
      <c r="Z61" s="12">
        <v>165628667653.06232</v>
      </c>
      <c r="AA61" s="12">
        <v>-11956168825.11034</v>
      </c>
      <c r="AB61" s="12"/>
      <c r="AC61" s="12"/>
      <c r="AD61" s="12"/>
      <c r="AE61" s="12"/>
      <c r="AS61" s="6">
        <v>360357621.43260574</v>
      </c>
      <c r="AT61" s="176">
        <v>30000</v>
      </c>
      <c r="AU61" s="176">
        <v>30000</v>
      </c>
      <c r="AV61" s="176">
        <v>30000</v>
      </c>
      <c r="AW61" s="176">
        <v>30000</v>
      </c>
      <c r="AX61" s="176">
        <v>30000</v>
      </c>
      <c r="AY61" s="176">
        <v>30000</v>
      </c>
      <c r="AZ61" s="176">
        <v>30000</v>
      </c>
      <c r="BA61" s="176">
        <v>30000</v>
      </c>
      <c r="BB61" s="176">
        <v>30000</v>
      </c>
      <c r="BC61" s="176">
        <v>30000</v>
      </c>
      <c r="BD61" s="176">
        <v>30000</v>
      </c>
      <c r="BE61" s="176">
        <v>30000</v>
      </c>
      <c r="BF61" s="176">
        <v>30000</v>
      </c>
      <c r="BG61" s="176">
        <v>30000</v>
      </c>
      <c r="BH61" s="176">
        <v>30000</v>
      </c>
      <c r="BI61" s="176">
        <v>30000</v>
      </c>
      <c r="BJ61" s="176">
        <v>30000</v>
      </c>
      <c r="BK61" s="176">
        <v>30000</v>
      </c>
      <c r="BL61" s="176">
        <v>30000</v>
      </c>
      <c r="BM61" s="176">
        <v>30000</v>
      </c>
      <c r="BN61" s="176">
        <v>30000</v>
      </c>
      <c r="BO61" s="176">
        <v>30000</v>
      </c>
      <c r="BP61" s="176">
        <v>30000</v>
      </c>
      <c r="BQ61" s="176">
        <v>30000</v>
      </c>
      <c r="BR61" s="176">
        <v>30000</v>
      </c>
      <c r="BS61" s="176">
        <v>30000</v>
      </c>
      <c r="BT61" s="176">
        <v>30000</v>
      </c>
      <c r="BU61" s="176">
        <v>30000</v>
      </c>
      <c r="BV61" s="176">
        <v>30000</v>
      </c>
      <c r="BW61" s="176">
        <v>30000</v>
      </c>
      <c r="BX61" s="176">
        <v>30000</v>
      </c>
      <c r="BY61" s="176">
        <v>30000</v>
      </c>
      <c r="BZ61" s="176">
        <v>30000</v>
      </c>
      <c r="CA61" s="176">
        <v>30000</v>
      </c>
      <c r="CB61" s="176">
        <v>30000</v>
      </c>
      <c r="CC61" s="176">
        <v>30000</v>
      </c>
      <c r="CD61" s="176">
        <v>30000</v>
      </c>
      <c r="CE61" s="176">
        <v>30000</v>
      </c>
      <c r="CF61" s="176">
        <v>30000</v>
      </c>
      <c r="CG61" s="176">
        <v>30000</v>
      </c>
      <c r="CH61" s="176">
        <v>30000</v>
      </c>
      <c r="CI61" s="176">
        <v>30000</v>
      </c>
      <c r="CJ61" s="176">
        <v>30000</v>
      </c>
      <c r="CK61" s="176">
        <v>30000</v>
      </c>
      <c r="CL61" s="176">
        <v>30000</v>
      </c>
      <c r="CM61" s="176">
        <v>30000</v>
      </c>
      <c r="CN61" s="176">
        <v>30000</v>
      </c>
      <c r="CO61" s="176">
        <v>30000</v>
      </c>
      <c r="CP61" s="176">
        <v>30000</v>
      </c>
      <c r="CQ61" s="176">
        <v>30000</v>
      </c>
      <c r="CR61" s="176">
        <v>29168.784756018991</v>
      </c>
      <c r="CS61" s="176">
        <v>28336.911055848199</v>
      </c>
      <c r="CT61" s="176">
        <v>27528.620716227524</v>
      </c>
      <c r="CU61" s="176">
        <v>26745.55967381144</v>
      </c>
      <c r="CV61" s="176">
        <v>25989.57961463424</v>
      </c>
      <c r="CW61" s="176">
        <v>25262.780414953788</v>
      </c>
      <c r="CX61" s="176">
        <v>24567.559805717094</v>
      </c>
      <c r="CY61" s="176">
        <v>23906.672236741833</v>
      </c>
      <c r="CZ61" s="176">
        <v>23283.299599860897</v>
      </c>
      <c r="DA61" s="176">
        <v>22701.137430155599</v>
      </c>
      <c r="DB61" s="176">
        <v>22164.501636317749</v>
      </c>
      <c r="DC61" s="176">
        <v>21678.463195290769</v>
      </c>
      <c r="DD61" s="176">
        <v>21249.022800627681</v>
      </c>
      <c r="DE61" s="176">
        <v>20883.347189081316</v>
      </c>
      <c r="DF61" s="176">
        <v>20590.11082190524</v>
      </c>
      <c r="DG61" s="176">
        <v>20380.036255373678</v>
      </c>
      <c r="DH61" s="176">
        <v>20182.903525464255</v>
      </c>
      <c r="DI61" s="176">
        <v>19948.125645743738</v>
      </c>
      <c r="DJ61" s="176">
        <v>19773.036100548758</v>
      </c>
      <c r="DK61" s="176">
        <v>19659.142501284994</v>
      </c>
      <c r="DL61" s="176">
        <v>19607.37253109823</v>
      </c>
      <c r="DM61" s="176">
        <v>19618.010863015359</v>
      </c>
      <c r="DN61" s="176">
        <v>19690.671375665628</v>
      </c>
      <c r="DO61" s="176">
        <v>19824.308169858894</v>
      </c>
      <c r="DP61" s="176">
        <v>20017.263831985554</v>
      </c>
      <c r="DQ61" s="176">
        <v>20267.348657283332</v>
      </c>
      <c r="DR61" s="176">
        <v>20571.941223981241</v>
      </c>
      <c r="DS61" s="176">
        <v>20928.099387444276</v>
      </c>
      <c r="DT61" s="176">
        <v>21332.67128486279</v>
      </c>
      <c r="DU61" s="176">
        <v>21782.397984757972</v>
      </c>
      <c r="DV61" s="176">
        <v>22274.002179373507</v>
      </c>
      <c r="DW61" s="176">
        <v>22804.260044080547</v>
      </c>
      <c r="DX61" s="176">
        <v>23354.01130783488</v>
      </c>
      <c r="DY61" s="176">
        <v>23730.661748424129</v>
      </c>
      <c r="DZ61" s="176">
        <v>24207.539221281662</v>
      </c>
      <c r="EA61" s="176">
        <v>24754.610330442934</v>
      </c>
      <c r="EB61" s="176">
        <v>25353.580429662812</v>
      </c>
      <c r="EC61" s="176">
        <v>25992.613032032281</v>
      </c>
      <c r="ED61" s="176">
        <v>26663.612465358048</v>
      </c>
      <c r="EE61" s="176">
        <v>27360.754277014941</v>
      </c>
      <c r="EF61" s="176">
        <v>28079.654146342251</v>
      </c>
      <c r="EG61" s="176">
        <v>28816.87840371691</v>
      </c>
      <c r="EH61" s="176">
        <v>29569.644737590384</v>
      </c>
      <c r="EI61" s="176">
        <v>30000</v>
      </c>
      <c r="EJ61" s="176">
        <v>30000</v>
      </c>
      <c r="EK61" s="176">
        <v>30000</v>
      </c>
      <c r="EL61" s="176">
        <v>30000</v>
      </c>
      <c r="EM61" s="176">
        <v>30000</v>
      </c>
      <c r="EN61" s="176">
        <v>30000</v>
      </c>
      <c r="EO61" s="176">
        <v>30000</v>
      </c>
      <c r="EP61" t="str">
        <f t="shared" si="0"/>
        <v>11y 153d</v>
      </c>
    </row>
    <row r="62" spans="2:154" x14ac:dyDescent="0.25">
      <c r="B62" s="70">
        <v>59</v>
      </c>
      <c r="D62">
        <v>18381925.930974074</v>
      </c>
      <c r="E62" s="12">
        <v>118934767357.09688</v>
      </c>
      <c r="F62" s="12">
        <v>-94342151798.223053</v>
      </c>
      <c r="G62" s="12">
        <v>0</v>
      </c>
      <c r="H62" s="12">
        <v>525326992.34498698</v>
      </c>
      <c r="I62" s="12">
        <v>-409513809685.26788</v>
      </c>
      <c r="J62" s="12">
        <v>-1452488690060.6333</v>
      </c>
      <c r="K62" s="12">
        <v>41579766897.202766</v>
      </c>
      <c r="L62" s="12">
        <v>10151014.077422509</v>
      </c>
      <c r="M62" s="12">
        <v>223309855878.04065</v>
      </c>
      <c r="N62" s="12">
        <v>125112837342.13148</v>
      </c>
      <c r="O62" s="12">
        <v>276424025.86537308</v>
      </c>
      <c r="P62" s="12">
        <v>10151014.951061169</v>
      </c>
      <c r="Q62" s="12">
        <v>223310064067.71396</v>
      </c>
      <c r="R62" s="12">
        <v>125112832344.00426</v>
      </c>
      <c r="S62" s="12">
        <v>0</v>
      </c>
      <c r="T62" s="12">
        <v>23481680.341566779</v>
      </c>
      <c r="U62" s="12">
        <v>154385340235.29651</v>
      </c>
      <c r="V62" s="12">
        <v>589793185165.64624</v>
      </c>
      <c r="W62" s="12">
        <v>-194746355.81154865</v>
      </c>
      <c r="X62" s="12">
        <v>10714279.320438763</v>
      </c>
      <c r="Y62" s="12">
        <v>229173107942.27002</v>
      </c>
      <c r="Z62" s="12">
        <v>177559205150.40317</v>
      </c>
      <c r="AA62" s="12">
        <v>-12202470211.133881</v>
      </c>
      <c r="AB62" s="12"/>
      <c r="AC62" s="12"/>
      <c r="AD62" s="12"/>
      <c r="AE62" s="12"/>
      <c r="AS62" s="6">
        <v>365624386.66892844</v>
      </c>
      <c r="AT62" s="176">
        <v>30000</v>
      </c>
      <c r="AU62" s="176">
        <v>30000</v>
      </c>
      <c r="AV62" s="176">
        <v>30000</v>
      </c>
      <c r="AW62" s="176">
        <v>30000</v>
      </c>
      <c r="AX62" s="176">
        <v>30000</v>
      </c>
      <c r="AY62" s="176">
        <v>30000</v>
      </c>
      <c r="AZ62" s="176">
        <v>30000</v>
      </c>
      <c r="BA62" s="176">
        <v>30000</v>
      </c>
      <c r="BB62" s="176">
        <v>30000</v>
      </c>
      <c r="BC62" s="176">
        <v>30000</v>
      </c>
      <c r="BD62" s="176">
        <v>30000</v>
      </c>
      <c r="BE62" s="176">
        <v>30000</v>
      </c>
      <c r="BF62" s="176">
        <v>30000</v>
      </c>
      <c r="BG62" s="176">
        <v>30000</v>
      </c>
      <c r="BH62" s="176">
        <v>30000</v>
      </c>
      <c r="BI62" s="176">
        <v>30000</v>
      </c>
      <c r="BJ62" s="176">
        <v>30000</v>
      </c>
      <c r="BK62" s="176">
        <v>30000</v>
      </c>
      <c r="BL62" s="176">
        <v>30000</v>
      </c>
      <c r="BM62" s="176">
        <v>30000</v>
      </c>
      <c r="BN62" s="176">
        <v>30000</v>
      </c>
      <c r="BO62" s="176">
        <v>30000</v>
      </c>
      <c r="BP62" s="176">
        <v>30000</v>
      </c>
      <c r="BQ62" s="176">
        <v>30000</v>
      </c>
      <c r="BR62" s="176">
        <v>30000</v>
      </c>
      <c r="BS62" s="176">
        <v>30000</v>
      </c>
      <c r="BT62" s="176">
        <v>30000</v>
      </c>
      <c r="BU62" s="176">
        <v>30000</v>
      </c>
      <c r="BV62" s="176">
        <v>30000</v>
      </c>
      <c r="BW62" s="176">
        <v>30000</v>
      </c>
      <c r="BX62" s="176">
        <v>30000</v>
      </c>
      <c r="BY62" s="176">
        <v>30000</v>
      </c>
      <c r="BZ62" s="176">
        <v>30000</v>
      </c>
      <c r="CA62" s="176">
        <v>30000</v>
      </c>
      <c r="CB62" s="176">
        <v>30000</v>
      </c>
      <c r="CC62" s="176">
        <v>30000</v>
      </c>
      <c r="CD62" s="176">
        <v>30000</v>
      </c>
      <c r="CE62" s="176">
        <v>30000</v>
      </c>
      <c r="CF62" s="176">
        <v>30000</v>
      </c>
      <c r="CG62" s="176">
        <v>30000</v>
      </c>
      <c r="CH62" s="176">
        <v>30000</v>
      </c>
      <c r="CI62" s="176">
        <v>30000</v>
      </c>
      <c r="CJ62" s="176">
        <v>30000</v>
      </c>
      <c r="CK62" s="176">
        <v>30000</v>
      </c>
      <c r="CL62" s="176">
        <v>30000</v>
      </c>
      <c r="CM62" s="176">
        <v>30000</v>
      </c>
      <c r="CN62" s="176">
        <v>30000</v>
      </c>
      <c r="CO62" s="176">
        <v>30000</v>
      </c>
      <c r="CP62" s="176">
        <v>30000</v>
      </c>
      <c r="CQ62" s="176">
        <v>30000</v>
      </c>
      <c r="CR62" s="176">
        <v>29629.954736942684</v>
      </c>
      <c r="CS62" s="176">
        <v>28785.163564094666</v>
      </c>
      <c r="CT62" s="176">
        <v>27963.173949371059</v>
      </c>
      <c r="CU62" s="176">
        <v>27165.549084627568</v>
      </c>
      <c r="CV62" s="176">
        <v>26394.038447793515</v>
      </c>
      <c r="CW62" s="176">
        <v>25650.616934752972</v>
      </c>
      <c r="CX62" s="176">
        <v>24937.530282175863</v>
      </c>
      <c r="CY62" s="176">
        <v>24257.348415717013</v>
      </c>
      <c r="CZ62" s="176">
        <v>23613.028904759143</v>
      </c>
      <c r="DA62" s="176">
        <v>23007.993457192773</v>
      </c>
      <c r="DB62" s="176">
        <v>22446.221466514857</v>
      </c>
      <c r="DC62" s="176">
        <v>21932.36631481252</v>
      </c>
      <c r="DD62" s="176">
        <v>21471.903172144725</v>
      </c>
      <c r="DE62" s="176">
        <v>21071.323275715382</v>
      </c>
      <c r="DF62" s="176">
        <v>20738.403612708651</v>
      </c>
      <c r="DG62" s="176">
        <v>20482.612745779501</v>
      </c>
      <c r="DH62" s="176">
        <v>20315.784959134107</v>
      </c>
      <c r="DI62" s="176">
        <v>20068.655428304504</v>
      </c>
      <c r="DJ62" s="176">
        <v>19862.98228259174</v>
      </c>
      <c r="DK62" s="176">
        <v>19717.98061183557</v>
      </c>
      <c r="DL62" s="176">
        <v>19634.875088894081</v>
      </c>
      <c r="DM62" s="176">
        <v>19614.270429440141</v>
      </c>
      <c r="DN62" s="176">
        <v>19656.105289780171</v>
      </c>
      <c r="DO62" s="176">
        <v>19759.644168848467</v>
      </c>
      <c r="DP62" s="176">
        <v>19923.508275491818</v>
      </c>
      <c r="DQ62" s="176">
        <v>20145.741225216367</v>
      </c>
      <c r="DR62" s="176">
        <v>20423.901282622137</v>
      </c>
      <c r="DS62" s="176">
        <v>20755.169487472565</v>
      </c>
      <c r="DT62" s="176">
        <v>21136.462718611281</v>
      </c>
      <c r="DU62" s="176">
        <v>21564.542037765728</v>
      </c>
      <c r="DV62" s="176">
        <v>22036.109381529033</v>
      </c>
      <c r="DW62" s="176">
        <v>22547.888295706038</v>
      </c>
      <c r="DX62" s="176">
        <v>23096.687177099764</v>
      </c>
      <c r="DY62" s="176">
        <v>23550.27471633815</v>
      </c>
      <c r="DZ62" s="176">
        <v>23979.914792084201</v>
      </c>
      <c r="EA62" s="176">
        <v>24493.692026092074</v>
      </c>
      <c r="EB62" s="176">
        <v>25067.883763407735</v>
      </c>
      <c r="EC62" s="176">
        <v>25687.641702571535</v>
      </c>
      <c r="ED62" s="176">
        <v>26343.112821972303</v>
      </c>
      <c r="EE62" s="176">
        <v>27027.399075738063</v>
      </c>
      <c r="EF62" s="176">
        <v>27735.431986537238</v>
      </c>
      <c r="EG62" s="176">
        <v>28463.324651579238</v>
      </c>
      <c r="EH62" s="176">
        <v>29207.983674610441</v>
      </c>
      <c r="EI62" s="176">
        <v>29966.86818466202</v>
      </c>
      <c r="EJ62" s="176">
        <v>30000</v>
      </c>
      <c r="EK62" s="176">
        <v>30000</v>
      </c>
      <c r="EL62" s="176">
        <v>30000</v>
      </c>
      <c r="EM62" s="176">
        <v>30000</v>
      </c>
      <c r="EN62" s="176">
        <v>30000</v>
      </c>
      <c r="EO62" s="176">
        <v>30000</v>
      </c>
      <c r="EP62" t="str">
        <f t="shared" si="0"/>
        <v>11y 214d</v>
      </c>
    </row>
    <row r="63" spans="2:154" x14ac:dyDescent="0.25">
      <c r="B63" s="70">
        <v>60</v>
      </c>
      <c r="D63">
        <v>18706859.849122863</v>
      </c>
      <c r="E63" s="12">
        <v>124559184751.90112</v>
      </c>
      <c r="F63" s="12">
        <v>-86643018759.922241</v>
      </c>
      <c r="G63" s="12">
        <v>0</v>
      </c>
      <c r="H63" s="12">
        <v>535740153.30997843</v>
      </c>
      <c r="I63" s="12">
        <v>-317892639127.00641</v>
      </c>
      <c r="J63" s="12">
        <v>-1477037664297.7063</v>
      </c>
      <c r="K63" s="12">
        <v>38365537780.301567</v>
      </c>
      <c r="L63" s="12">
        <v>10549599.9158324</v>
      </c>
      <c r="M63" s="12">
        <v>225061047699.11719</v>
      </c>
      <c r="N63" s="12">
        <v>136609837172.22406</v>
      </c>
      <c r="O63" s="12">
        <v>279348440.10548949</v>
      </c>
      <c r="P63" s="12">
        <v>10549600.84769286</v>
      </c>
      <c r="Q63" s="12">
        <v>225061259666.10394</v>
      </c>
      <c r="R63" s="12">
        <v>136609832869.96086</v>
      </c>
      <c r="S63" s="12">
        <v>0</v>
      </c>
      <c r="T63" s="12">
        <v>24493882.723197501</v>
      </c>
      <c r="U63" s="12">
        <v>148229317457.94894</v>
      </c>
      <c r="V63" s="12">
        <v>604906705390.17725</v>
      </c>
      <c r="W63" s="12">
        <v>-201342678.36265019</v>
      </c>
      <c r="X63" s="12">
        <v>11174730.852579894</v>
      </c>
      <c r="Y63" s="12">
        <v>229940560541.93558</v>
      </c>
      <c r="Z63" s="12">
        <v>189980159028.53171</v>
      </c>
      <c r="AA63" s="12">
        <v>-12449345248.209299</v>
      </c>
      <c r="AB63" s="12"/>
      <c r="AC63" s="12"/>
      <c r="AD63" s="12"/>
      <c r="AE63" s="12"/>
      <c r="AS63" s="6">
        <v>370891151.90525115</v>
      </c>
      <c r="AT63" s="176">
        <v>30000</v>
      </c>
      <c r="AU63" s="176">
        <v>30000</v>
      </c>
      <c r="AV63" s="176">
        <v>30000</v>
      </c>
      <c r="AW63" s="176">
        <v>30000</v>
      </c>
      <c r="AX63" s="176">
        <v>30000</v>
      </c>
      <c r="AY63" s="176">
        <v>30000</v>
      </c>
      <c r="AZ63" s="176">
        <v>30000</v>
      </c>
      <c r="BA63" s="176">
        <v>30000</v>
      </c>
      <c r="BB63" s="176">
        <v>30000</v>
      </c>
      <c r="BC63" s="176">
        <v>30000</v>
      </c>
      <c r="BD63" s="176">
        <v>30000</v>
      </c>
      <c r="BE63" s="176">
        <v>30000</v>
      </c>
      <c r="BF63" s="176">
        <v>30000</v>
      </c>
      <c r="BG63" s="176">
        <v>30000</v>
      </c>
      <c r="BH63" s="176">
        <v>30000</v>
      </c>
      <c r="BI63" s="176">
        <v>30000</v>
      </c>
      <c r="BJ63" s="176">
        <v>30000</v>
      </c>
      <c r="BK63" s="176">
        <v>30000</v>
      </c>
      <c r="BL63" s="176">
        <v>30000</v>
      </c>
      <c r="BM63" s="176">
        <v>30000</v>
      </c>
      <c r="BN63" s="176">
        <v>30000</v>
      </c>
      <c r="BO63" s="176">
        <v>30000</v>
      </c>
      <c r="BP63" s="176">
        <v>30000</v>
      </c>
      <c r="BQ63" s="176">
        <v>30000</v>
      </c>
      <c r="BR63" s="176">
        <v>30000</v>
      </c>
      <c r="BS63" s="176">
        <v>30000</v>
      </c>
      <c r="BT63" s="176">
        <v>30000</v>
      </c>
      <c r="BU63" s="176">
        <v>30000</v>
      </c>
      <c r="BV63" s="176">
        <v>30000</v>
      </c>
      <c r="BW63" s="176">
        <v>30000</v>
      </c>
      <c r="BX63" s="176">
        <v>30000</v>
      </c>
      <c r="BY63" s="176">
        <v>30000</v>
      </c>
      <c r="BZ63" s="176">
        <v>30000</v>
      </c>
      <c r="CA63" s="176">
        <v>30000</v>
      </c>
      <c r="CB63" s="176">
        <v>30000</v>
      </c>
      <c r="CC63" s="176">
        <v>30000</v>
      </c>
      <c r="CD63" s="176">
        <v>30000</v>
      </c>
      <c r="CE63" s="176">
        <v>30000</v>
      </c>
      <c r="CF63" s="176">
        <v>30000</v>
      </c>
      <c r="CG63" s="176">
        <v>30000</v>
      </c>
      <c r="CH63" s="176">
        <v>30000</v>
      </c>
      <c r="CI63" s="176">
        <v>30000</v>
      </c>
      <c r="CJ63" s="176">
        <v>30000</v>
      </c>
      <c r="CK63" s="176">
        <v>30000</v>
      </c>
      <c r="CL63" s="176">
        <v>30000</v>
      </c>
      <c r="CM63" s="176">
        <v>30000</v>
      </c>
      <c r="CN63" s="176">
        <v>30000</v>
      </c>
      <c r="CO63" s="176">
        <v>30000</v>
      </c>
      <c r="CP63" s="176">
        <v>30000</v>
      </c>
      <c r="CQ63" s="176">
        <v>30000</v>
      </c>
      <c r="CR63" s="176">
        <v>30000</v>
      </c>
      <c r="CS63" s="176">
        <v>29239.69226549461</v>
      </c>
      <c r="CT63" s="176">
        <v>28404.438093902529</v>
      </c>
      <c r="CU63" s="176">
        <v>27592.721073517198</v>
      </c>
      <c r="CV63" s="176">
        <v>26806.198478866503</v>
      </c>
      <c r="CW63" s="176">
        <v>26046.73203916019</v>
      </c>
      <c r="CX63" s="176">
        <v>25316.42966857164</v>
      </c>
      <c r="CY63" s="176">
        <v>24617.694065681615</v>
      </c>
      <c r="CZ63" s="176">
        <v>23953.279979440347</v>
      </c>
      <c r="DA63" s="176">
        <v>23326.362536496781</v>
      </c>
      <c r="DB63" s="176">
        <v>22740.619856503225</v>
      </c>
      <c r="DC63" s="176">
        <v>22200.33441890189</v>
      </c>
      <c r="DD63" s="176">
        <v>21710.519722982463</v>
      </c>
      <c r="DE63" s="176">
        <v>21277.082832747215</v>
      </c>
      <c r="DF63" s="176">
        <v>20907.042240242532</v>
      </c>
      <c r="DG63" s="176">
        <v>20608.84071966698</v>
      </c>
      <c r="DH63" s="176">
        <v>20392.83895917195</v>
      </c>
      <c r="DI63" s="176">
        <v>20203.200599678403</v>
      </c>
      <c r="DJ63" s="176">
        <v>19967.262693569493</v>
      </c>
      <c r="DK63" s="176">
        <v>19791.33643882371</v>
      </c>
      <c r="DL63" s="176">
        <v>19676.928011511056</v>
      </c>
      <c r="DM63" s="176">
        <v>19624.954805632533</v>
      </c>
      <c r="DN63" s="176">
        <v>19635.682170495325</v>
      </c>
      <c r="DO63" s="176">
        <v>19708.696125607457</v>
      </c>
      <c r="DP63" s="176">
        <v>19842.915554512121</v>
      </c>
      <c r="DQ63" s="176">
        <v>20036.642153561239</v>
      </c>
      <c r="DR63" s="176">
        <v>20287.641633757688</v>
      </c>
      <c r="DS63" s="176">
        <v>20593.246325408742</v>
      </c>
      <c r="DT63" s="176">
        <v>20950.468030514887</v>
      </c>
      <c r="DU63" s="176">
        <v>21356.110525415494</v>
      </c>
      <c r="DV63" s="176">
        <v>21806.873374173818</v>
      </c>
      <c r="DW63" s="176">
        <v>22299.441334918327</v>
      </c>
      <c r="DX63" s="176">
        <v>22830.556588976244</v>
      </c>
      <c r="DY63" s="176">
        <v>23397.073345076384</v>
      </c>
      <c r="DZ63" s="176">
        <v>23772.854977579147</v>
      </c>
      <c r="EA63" s="176">
        <v>24247.343502966884</v>
      </c>
      <c r="EB63" s="176">
        <v>24793.122270999051</v>
      </c>
      <c r="EC63" s="176">
        <v>25391.280820847394</v>
      </c>
      <c r="ED63" s="176">
        <v>26029.662559553013</v>
      </c>
      <c r="EE63" s="176">
        <v>26699.998027164074</v>
      </c>
      <c r="EF63" s="176">
        <v>27396.365060877579</v>
      </c>
      <c r="EG63" s="176">
        <v>28114.323105190932</v>
      </c>
      <c r="EH63" s="176">
        <v>28850.405934161219</v>
      </c>
      <c r="EI63" s="176">
        <v>29601.81287650394</v>
      </c>
      <c r="EJ63" s="176">
        <v>30000</v>
      </c>
      <c r="EK63" s="176">
        <v>30000</v>
      </c>
      <c r="EL63" s="176">
        <v>30000</v>
      </c>
      <c r="EM63" s="176">
        <v>30000</v>
      </c>
      <c r="EN63" s="176">
        <v>30000</v>
      </c>
      <c r="EO63" s="176">
        <v>30000</v>
      </c>
      <c r="EP63" t="str">
        <f t="shared" si="0"/>
        <v>11y 275d</v>
      </c>
    </row>
    <row r="64" spans="2:154" x14ac:dyDescent="0.25">
      <c r="B64" s="70">
        <v>61</v>
      </c>
      <c r="D64">
        <v>19031437.907430384</v>
      </c>
      <c r="E64" s="12">
        <v>129679008570.10904</v>
      </c>
      <c r="F64" s="12">
        <v>-78605604200.801147</v>
      </c>
      <c r="G64" s="12">
        <v>0</v>
      </c>
      <c r="H64" s="12">
        <v>546173865.85056591</v>
      </c>
      <c r="I64" s="12">
        <v>-224762633610.53534</v>
      </c>
      <c r="J64" s="12">
        <v>-1495464391685.1875</v>
      </c>
      <c r="K64" s="12">
        <v>34984685956.09948</v>
      </c>
      <c r="L64" s="12">
        <v>10971610.66391954</v>
      </c>
      <c r="M64" s="12">
        <v>226632139814.31778</v>
      </c>
      <c r="N64" s="12">
        <v>148610663290.5043</v>
      </c>
      <c r="O64" s="12">
        <v>282093433.22154504</v>
      </c>
      <c r="P64" s="12">
        <v>10971611.657335734</v>
      </c>
      <c r="Q64" s="12">
        <v>226632355530.27829</v>
      </c>
      <c r="R64" s="12">
        <v>148610659737.96576</v>
      </c>
      <c r="S64" s="12">
        <v>0</v>
      </c>
      <c r="T64" s="12">
        <v>25550308.708832443</v>
      </c>
      <c r="U64" s="12">
        <v>141715448895.03949</v>
      </c>
      <c r="V64" s="12">
        <v>620317720276.59717</v>
      </c>
      <c r="W64" s="12">
        <v>-208106428.898844</v>
      </c>
      <c r="X64" s="12">
        <v>11662447.255718518</v>
      </c>
      <c r="Y64" s="12">
        <v>230488602575.84216</v>
      </c>
      <c r="Z64" s="12">
        <v>202917705911.32974</v>
      </c>
      <c r="AA64" s="12">
        <v>-12696497799.374065</v>
      </c>
      <c r="AB64" s="12"/>
      <c r="AC64" s="12"/>
      <c r="AD64" s="12"/>
      <c r="AE64" s="12"/>
      <c r="AS64" s="6">
        <v>376157917.14157385</v>
      </c>
      <c r="AT64" s="176">
        <v>30000</v>
      </c>
      <c r="AU64" s="176">
        <v>30000</v>
      </c>
      <c r="AV64" s="176">
        <v>30000</v>
      </c>
      <c r="AW64" s="176">
        <v>30000</v>
      </c>
      <c r="AX64" s="176">
        <v>30000</v>
      </c>
      <c r="AY64" s="176">
        <v>30000</v>
      </c>
      <c r="AZ64" s="176">
        <v>30000</v>
      </c>
      <c r="BA64" s="176">
        <v>30000</v>
      </c>
      <c r="BB64" s="176">
        <v>30000</v>
      </c>
      <c r="BC64" s="176">
        <v>30000</v>
      </c>
      <c r="BD64" s="176">
        <v>30000</v>
      </c>
      <c r="BE64" s="176">
        <v>30000</v>
      </c>
      <c r="BF64" s="176">
        <v>30000</v>
      </c>
      <c r="BG64" s="176">
        <v>30000</v>
      </c>
      <c r="BH64" s="176">
        <v>30000</v>
      </c>
      <c r="BI64" s="176">
        <v>30000</v>
      </c>
      <c r="BJ64" s="176">
        <v>30000</v>
      </c>
      <c r="BK64" s="176">
        <v>30000</v>
      </c>
      <c r="BL64" s="176">
        <v>30000</v>
      </c>
      <c r="BM64" s="176">
        <v>30000</v>
      </c>
      <c r="BN64" s="176">
        <v>30000</v>
      </c>
      <c r="BO64" s="176">
        <v>30000</v>
      </c>
      <c r="BP64" s="176">
        <v>30000</v>
      </c>
      <c r="BQ64" s="176">
        <v>30000</v>
      </c>
      <c r="BR64" s="176">
        <v>30000</v>
      </c>
      <c r="BS64" s="176">
        <v>30000</v>
      </c>
      <c r="BT64" s="176">
        <v>30000</v>
      </c>
      <c r="BU64" s="176">
        <v>30000</v>
      </c>
      <c r="BV64" s="176">
        <v>30000</v>
      </c>
      <c r="BW64" s="176">
        <v>30000</v>
      </c>
      <c r="BX64" s="176">
        <v>30000</v>
      </c>
      <c r="BY64" s="176">
        <v>30000</v>
      </c>
      <c r="BZ64" s="176">
        <v>30000</v>
      </c>
      <c r="CA64" s="176">
        <v>30000</v>
      </c>
      <c r="CB64" s="176">
        <v>30000</v>
      </c>
      <c r="CC64" s="176">
        <v>30000</v>
      </c>
      <c r="CD64" s="176">
        <v>30000</v>
      </c>
      <c r="CE64" s="176">
        <v>30000</v>
      </c>
      <c r="CF64" s="176">
        <v>30000</v>
      </c>
      <c r="CG64" s="176">
        <v>30000</v>
      </c>
      <c r="CH64" s="176">
        <v>30000</v>
      </c>
      <c r="CI64" s="176">
        <v>30000</v>
      </c>
      <c r="CJ64" s="176">
        <v>30000</v>
      </c>
      <c r="CK64" s="176">
        <v>30000</v>
      </c>
      <c r="CL64" s="176">
        <v>30000</v>
      </c>
      <c r="CM64" s="176">
        <v>30000</v>
      </c>
      <c r="CN64" s="176">
        <v>30000</v>
      </c>
      <c r="CO64" s="176">
        <v>30000</v>
      </c>
      <c r="CP64" s="176">
        <v>30000</v>
      </c>
      <c r="CQ64" s="176">
        <v>30000</v>
      </c>
      <c r="CR64" s="176">
        <v>30000</v>
      </c>
      <c r="CS64" s="176">
        <v>29700.234798439287</v>
      </c>
      <c r="CT64" s="176">
        <v>28852.1398835408</v>
      </c>
      <c r="CU64" s="176">
        <v>28026.787595746868</v>
      </c>
      <c r="CV64" s="176">
        <v>27225.752312472796</v>
      </c>
      <c r="CW64" s="176">
        <v>26450.793501698841</v>
      </c>
      <c r="CX64" s="176">
        <v>25703.894218164063</v>
      </c>
      <c r="CY64" s="176">
        <v>24987.305589537311</v>
      </c>
      <c r="CZ64" s="176">
        <v>24303.598778881045</v>
      </c>
      <c r="DA64" s="176">
        <v>23655.726388572381</v>
      </c>
      <c r="DB64" s="176">
        <v>23047.095923530615</v>
      </c>
      <c r="DC64" s="176">
        <v>22481.658862455333</v>
      </c>
      <c r="DD64" s="176">
        <v>21964.02035181332</v>
      </c>
      <c r="DE64" s="176">
        <v>21499.577215061956</v>
      </c>
      <c r="DF64" s="176">
        <v>21094.697598933293</v>
      </c>
      <c r="DG64" s="176">
        <v>20756.968379144302</v>
      </c>
      <c r="DH64" s="176">
        <v>20495.56596715223</v>
      </c>
      <c r="DI64" s="176">
        <v>20321.872675658225</v>
      </c>
      <c r="DJ64" s="176">
        <v>20085.74914372278</v>
      </c>
      <c r="DK64" s="176">
        <v>19879.15570500282</v>
      </c>
      <c r="DL64" s="176">
        <v>19733.556909995157</v>
      </c>
      <c r="DM64" s="176">
        <v>19650.171176179749</v>
      </c>
      <c r="DN64" s="176">
        <v>19629.587796955508</v>
      </c>
      <c r="DO64" s="176">
        <v>19671.721028774838</v>
      </c>
      <c r="DP64" s="176">
        <v>19775.8029010551</v>
      </c>
      <c r="DQ64" s="176">
        <v>19940.415592420715</v>
      </c>
      <c r="DR64" s="176">
        <v>20163.559042989273</v>
      </c>
      <c r="DS64" s="176">
        <v>20442.745266993414</v>
      </c>
      <c r="DT64" s="176">
        <v>20775.108491104285</v>
      </c>
      <c r="DU64" s="176">
        <v>21157.519882320536</v>
      </c>
      <c r="DV64" s="176">
        <v>21586.697282999728</v>
      </c>
      <c r="DW64" s="176">
        <v>22059.302779919679</v>
      </c>
      <c r="DX64" s="176">
        <v>22572.02397152374</v>
      </c>
      <c r="DY64" s="176">
        <v>23121.637413650213</v>
      </c>
      <c r="DZ64" s="176">
        <v>23590.57651770805</v>
      </c>
      <c r="EA64" s="176">
        <v>24017.948796867986</v>
      </c>
      <c r="EB64" s="176">
        <v>24530.723950449126</v>
      </c>
      <c r="EC64" s="176">
        <v>25104.432665822736</v>
      </c>
      <c r="ED64" s="176">
        <v>25723.860398328492</v>
      </c>
      <c r="EE64" s="176">
        <v>26378.966310624612</v>
      </c>
      <c r="EF64" s="176">
        <v>27062.752597048311</v>
      </c>
      <c r="EG64" s="176">
        <v>27770.096612218447</v>
      </c>
      <c r="EH64" s="176">
        <v>28497.082026209402</v>
      </c>
      <c r="EI64" s="176">
        <v>29240.600134740765</v>
      </c>
      <c r="EJ64" s="176">
        <v>29998.103274326735</v>
      </c>
      <c r="EK64" s="176">
        <v>30000</v>
      </c>
      <c r="EL64" s="176">
        <v>30000</v>
      </c>
      <c r="EM64" s="176">
        <v>30000</v>
      </c>
      <c r="EN64" s="176">
        <v>30000</v>
      </c>
      <c r="EO64" s="176">
        <v>30000</v>
      </c>
      <c r="EP64" t="str">
        <f t="shared" si="0"/>
        <v>11y 336d</v>
      </c>
    </row>
    <row r="65" spans="2:146" x14ac:dyDescent="0.25">
      <c r="B65" s="70">
        <v>62</v>
      </c>
      <c r="D65">
        <v>19355624.253010701</v>
      </c>
      <c r="E65" s="12">
        <v>134274059570.13168</v>
      </c>
      <c r="F65" s="12">
        <v>-70263536545.078751</v>
      </c>
      <c r="G65" s="12">
        <v>0</v>
      </c>
      <c r="H65" s="12">
        <v>556623390.4394896</v>
      </c>
      <c r="I65" s="12">
        <v>-130551938301.96576</v>
      </c>
      <c r="J65" s="12">
        <v>-1507667362561.7954</v>
      </c>
      <c r="K65" s="12">
        <v>31452461569.090046</v>
      </c>
      <c r="L65" s="12">
        <v>11419150.883125829</v>
      </c>
      <c r="M65" s="12">
        <v>228004669730.51288</v>
      </c>
      <c r="N65" s="12">
        <v>161144878573.51489</v>
      </c>
      <c r="O65" s="12">
        <v>284639023.03972179</v>
      </c>
      <c r="P65" s="12">
        <v>11419151.941643303</v>
      </c>
      <c r="Q65" s="12">
        <v>228004889159.41071</v>
      </c>
      <c r="R65" s="12">
        <v>161144875826.94058</v>
      </c>
      <c r="S65" s="12">
        <v>0</v>
      </c>
      <c r="T65" s="12">
        <v>26653139.478842754</v>
      </c>
      <c r="U65" s="12">
        <v>134828621124.72144</v>
      </c>
      <c r="V65" s="12">
        <v>636025512633.38245</v>
      </c>
      <c r="W65" s="12">
        <v>-215039740.97258317</v>
      </c>
      <c r="X65" s="12">
        <v>12179759.580765888</v>
      </c>
      <c r="Y65" s="12">
        <v>230796386196.27139</v>
      </c>
      <c r="Z65" s="12">
        <v>216399465297.44968</v>
      </c>
      <c r="AA65" s="12">
        <v>-12943580303.760683</v>
      </c>
      <c r="AB65" s="12"/>
      <c r="AC65" s="12"/>
      <c r="AD65" s="12"/>
      <c r="AE65" s="12"/>
      <c r="AS65" s="6">
        <v>381424682.37789655</v>
      </c>
      <c r="AT65" s="176">
        <v>30000</v>
      </c>
      <c r="AU65" s="176">
        <v>30000</v>
      </c>
      <c r="AV65" s="176">
        <v>30000</v>
      </c>
      <c r="AW65" s="176">
        <v>30000</v>
      </c>
      <c r="AX65" s="176">
        <v>30000</v>
      </c>
      <c r="AY65" s="176">
        <v>30000</v>
      </c>
      <c r="AZ65" s="176">
        <v>30000</v>
      </c>
      <c r="BA65" s="176">
        <v>30000</v>
      </c>
      <c r="BB65" s="176">
        <v>30000</v>
      </c>
      <c r="BC65" s="176">
        <v>30000</v>
      </c>
      <c r="BD65" s="176">
        <v>30000</v>
      </c>
      <c r="BE65" s="176">
        <v>30000</v>
      </c>
      <c r="BF65" s="176">
        <v>30000</v>
      </c>
      <c r="BG65" s="176">
        <v>30000</v>
      </c>
      <c r="BH65" s="176">
        <v>30000</v>
      </c>
      <c r="BI65" s="176">
        <v>30000</v>
      </c>
      <c r="BJ65" s="176">
        <v>30000</v>
      </c>
      <c r="BK65" s="176">
        <v>30000</v>
      </c>
      <c r="BL65" s="176">
        <v>30000</v>
      </c>
      <c r="BM65" s="176">
        <v>30000</v>
      </c>
      <c r="BN65" s="176">
        <v>30000</v>
      </c>
      <c r="BO65" s="176">
        <v>30000</v>
      </c>
      <c r="BP65" s="176">
        <v>30000</v>
      </c>
      <c r="BQ65" s="176">
        <v>30000</v>
      </c>
      <c r="BR65" s="176">
        <v>30000</v>
      </c>
      <c r="BS65" s="176">
        <v>30000</v>
      </c>
      <c r="BT65" s="176">
        <v>30000</v>
      </c>
      <c r="BU65" s="176">
        <v>30000</v>
      </c>
      <c r="BV65" s="176">
        <v>30000</v>
      </c>
      <c r="BW65" s="176">
        <v>30000</v>
      </c>
      <c r="BX65" s="176">
        <v>30000</v>
      </c>
      <c r="BY65" s="176">
        <v>30000</v>
      </c>
      <c r="BZ65" s="176">
        <v>30000</v>
      </c>
      <c r="CA65" s="176">
        <v>30000</v>
      </c>
      <c r="CB65" s="176">
        <v>30000</v>
      </c>
      <c r="CC65" s="176">
        <v>30000</v>
      </c>
      <c r="CD65" s="176">
        <v>30000</v>
      </c>
      <c r="CE65" s="176">
        <v>30000</v>
      </c>
      <c r="CF65" s="176">
        <v>30000</v>
      </c>
      <c r="CG65" s="176">
        <v>30000</v>
      </c>
      <c r="CH65" s="176">
        <v>30000</v>
      </c>
      <c r="CI65" s="176">
        <v>30000</v>
      </c>
      <c r="CJ65" s="176">
        <v>30000</v>
      </c>
      <c r="CK65" s="176">
        <v>30000</v>
      </c>
      <c r="CL65" s="176">
        <v>30000</v>
      </c>
      <c r="CM65" s="176">
        <v>30000</v>
      </c>
      <c r="CN65" s="176">
        <v>30000</v>
      </c>
      <c r="CO65" s="176">
        <v>30000</v>
      </c>
      <c r="CP65" s="176">
        <v>30000</v>
      </c>
      <c r="CQ65" s="176">
        <v>30000</v>
      </c>
      <c r="CR65" s="176">
        <v>30000</v>
      </c>
      <c r="CS65" s="176">
        <v>30000</v>
      </c>
      <c r="CT65" s="176">
        <v>29306.015496994623</v>
      </c>
      <c r="CU65" s="176">
        <v>28467.471296997886</v>
      </c>
      <c r="CV65" s="176">
        <v>27652.404769962046</v>
      </c>
      <c r="CW65" s="176">
        <v>26862.483219238071</v>
      </c>
      <c r="CX65" s="176">
        <v>26099.576743928308</v>
      </c>
      <c r="CY65" s="176">
        <v>25365.799141076619</v>
      </c>
      <c r="CZ65" s="176">
        <v>24663.555296022882</v>
      </c>
      <c r="DA65" s="176">
        <v>23995.596679316983</v>
      </c>
      <c r="DB65" s="176">
        <v>23365.087087159562</v>
      </c>
      <c r="DC65" s="176">
        <v>22775.68147941932</v>
      </c>
      <c r="DD65" s="176">
        <v>22231.621836913808</v>
      </c>
      <c r="DE65" s="176">
        <v>21737.855777065262</v>
      </c>
      <c r="DF65" s="176">
        <v>21300.187288804933</v>
      </c>
      <c r="DG65" s="176">
        <v>20925.477022493171</v>
      </c>
      <c r="DH65" s="176">
        <v>20621.928306715185</v>
      </c>
      <c r="DI65" s="176">
        <v>20399.538021509798</v>
      </c>
      <c r="DJ65" s="176">
        <v>20218.276522606524</v>
      </c>
      <c r="DK65" s="176">
        <v>19981.342746526712</v>
      </c>
      <c r="DL65" s="176">
        <v>19804.743448017627</v>
      </c>
      <c r="DM65" s="176">
        <v>19689.982487111898</v>
      </c>
      <c r="DN65" s="176">
        <v>19637.965777668585</v>
      </c>
      <c r="DO65" s="176">
        <v>19648.937895702409</v>
      </c>
      <c r="DP65" s="176">
        <v>19722.455415745237</v>
      </c>
      <c r="DQ65" s="176">
        <v>19857.400390090912</v>
      </c>
      <c r="DR65" s="176">
        <v>20052.03209921443</v>
      </c>
      <c r="DS65" s="176">
        <v>20304.070331029543</v>
      </c>
      <c r="DT65" s="176">
        <v>20610.80008163807</v>
      </c>
      <c r="DU65" s="176">
        <v>20969.186288155513</v>
      </c>
      <c r="DV65" s="176">
        <v>21375.987882872025</v>
      </c>
      <c r="DW65" s="176">
        <v>21827.862703253981</v>
      </c>
      <c r="DX65" s="176">
        <v>22321.45759548587</v>
      </c>
      <c r="DY65" s="176">
        <v>22853.480974835744</v>
      </c>
      <c r="DZ65" s="176">
        <v>23420.757485795828</v>
      </c>
      <c r="EA65" s="176">
        <v>23808.588686718322</v>
      </c>
      <c r="EB65" s="176">
        <v>24282.472559064609</v>
      </c>
      <c r="EC65" s="176">
        <v>24828.190278467384</v>
      </c>
      <c r="ED65" s="176">
        <v>25426.412135151681</v>
      </c>
      <c r="EE65" s="176">
        <v>26064.781908329278</v>
      </c>
      <c r="EF65" s="176">
        <v>26734.932278025492</v>
      </c>
      <c r="EG65" s="176">
        <v>27430.892588688064</v>
      </c>
      <c r="EH65" s="176">
        <v>28148.198823571602</v>
      </c>
      <c r="EI65" s="176">
        <v>28883.374613557393</v>
      </c>
      <c r="EJ65" s="176">
        <v>29633.61664413007</v>
      </c>
      <c r="EK65" s="176">
        <v>30000</v>
      </c>
      <c r="EL65" s="176">
        <v>30000</v>
      </c>
      <c r="EM65" s="176">
        <v>30000</v>
      </c>
      <c r="EN65" s="176">
        <v>30000</v>
      </c>
      <c r="EO65" s="176">
        <v>30000</v>
      </c>
      <c r="EP65" t="str">
        <f t="shared" si="0"/>
        <v>12y 32d</v>
      </c>
    </row>
    <row r="66" spans="2:146" x14ac:dyDescent="0.25">
      <c r="B66" s="70">
        <v>63</v>
      </c>
      <c r="D66">
        <v>19679384.770805512</v>
      </c>
      <c r="E66" s="12">
        <v>138326471454.09796</v>
      </c>
      <c r="F66" s="12">
        <v>-61651625478.732979</v>
      </c>
      <c r="G66" s="12">
        <v>0</v>
      </c>
      <c r="H66" s="12">
        <v>567083892.44854677</v>
      </c>
      <c r="I66" s="12">
        <v>-35696322515.230438</v>
      </c>
      <c r="J66" s="12">
        <v>-1513577890739.1567</v>
      </c>
      <c r="K66" s="12">
        <v>27784989592.724319</v>
      </c>
      <c r="L66" s="12">
        <v>11894548.770620964</v>
      </c>
      <c r="M66" s="12">
        <v>229158072327.18192</v>
      </c>
      <c r="N66" s="12">
        <v>174243968082.10532</v>
      </c>
      <c r="O66" s="12">
        <v>286962847.73522365</v>
      </c>
      <c r="P66" s="12">
        <v>11894549.89800865</v>
      </c>
      <c r="Q66" s="12">
        <v>229158295424.2048</v>
      </c>
      <c r="R66" s="12">
        <v>174243966200.1622</v>
      </c>
      <c r="S66" s="12">
        <v>0</v>
      </c>
      <c r="T66" s="12">
        <v>27804654.5276272</v>
      </c>
      <c r="U66" s="12">
        <v>127553359210.70479</v>
      </c>
      <c r="V66" s="12">
        <v>652028395822.13733</v>
      </c>
      <c r="W66" s="12">
        <v>-222144445.14241418</v>
      </c>
      <c r="X66" s="12">
        <v>12729232.72721952</v>
      </c>
      <c r="Y66" s="12">
        <v>230840942044.33557</v>
      </c>
      <c r="Z66" s="12">
        <v>230454540593.37003</v>
      </c>
      <c r="AA66" s="12">
        <v>-13190186721.447329</v>
      </c>
      <c r="AB66" s="12"/>
      <c r="AC66" s="12"/>
      <c r="AD66" s="12"/>
      <c r="AE66" s="12"/>
      <c r="AS66" s="6">
        <v>386691447.61421925</v>
      </c>
      <c r="AT66" s="176">
        <v>30000</v>
      </c>
      <c r="AU66" s="176">
        <v>30000</v>
      </c>
      <c r="AV66" s="176">
        <v>30000</v>
      </c>
      <c r="AW66" s="176">
        <v>30000</v>
      </c>
      <c r="AX66" s="176">
        <v>30000</v>
      </c>
      <c r="AY66" s="176">
        <v>30000</v>
      </c>
      <c r="AZ66" s="176">
        <v>30000</v>
      </c>
      <c r="BA66" s="176">
        <v>30000</v>
      </c>
      <c r="BB66" s="176">
        <v>30000</v>
      </c>
      <c r="BC66" s="176">
        <v>30000</v>
      </c>
      <c r="BD66" s="176">
        <v>30000</v>
      </c>
      <c r="BE66" s="176">
        <v>30000</v>
      </c>
      <c r="BF66" s="176">
        <v>30000</v>
      </c>
      <c r="BG66" s="176">
        <v>30000</v>
      </c>
      <c r="BH66" s="176">
        <v>30000</v>
      </c>
      <c r="BI66" s="176">
        <v>30000</v>
      </c>
      <c r="BJ66" s="176">
        <v>30000</v>
      </c>
      <c r="BK66" s="176">
        <v>30000</v>
      </c>
      <c r="BL66" s="176">
        <v>30000</v>
      </c>
      <c r="BM66" s="176">
        <v>30000</v>
      </c>
      <c r="BN66" s="176">
        <v>30000</v>
      </c>
      <c r="BO66" s="176">
        <v>30000</v>
      </c>
      <c r="BP66" s="176">
        <v>30000</v>
      </c>
      <c r="BQ66" s="176">
        <v>30000</v>
      </c>
      <c r="BR66" s="176">
        <v>30000</v>
      </c>
      <c r="BS66" s="176">
        <v>30000</v>
      </c>
      <c r="BT66" s="176">
        <v>30000</v>
      </c>
      <c r="BU66" s="176">
        <v>30000</v>
      </c>
      <c r="BV66" s="176">
        <v>30000</v>
      </c>
      <c r="BW66" s="176">
        <v>30000</v>
      </c>
      <c r="BX66" s="176">
        <v>30000</v>
      </c>
      <c r="BY66" s="176">
        <v>30000</v>
      </c>
      <c r="BZ66" s="176">
        <v>30000</v>
      </c>
      <c r="CA66" s="176">
        <v>30000</v>
      </c>
      <c r="CB66" s="176">
        <v>30000</v>
      </c>
      <c r="CC66" s="176">
        <v>30000</v>
      </c>
      <c r="CD66" s="176">
        <v>30000</v>
      </c>
      <c r="CE66" s="176">
        <v>30000</v>
      </c>
      <c r="CF66" s="176">
        <v>30000</v>
      </c>
      <c r="CG66" s="176">
        <v>30000</v>
      </c>
      <c r="CH66" s="176">
        <v>30000</v>
      </c>
      <c r="CI66" s="176">
        <v>30000</v>
      </c>
      <c r="CJ66" s="176">
        <v>30000</v>
      </c>
      <c r="CK66" s="176">
        <v>30000</v>
      </c>
      <c r="CL66" s="176">
        <v>30000</v>
      </c>
      <c r="CM66" s="176">
        <v>30000</v>
      </c>
      <c r="CN66" s="176">
        <v>30000</v>
      </c>
      <c r="CO66" s="176">
        <v>30000</v>
      </c>
      <c r="CP66" s="176">
        <v>30000</v>
      </c>
      <c r="CQ66" s="176">
        <v>30000</v>
      </c>
      <c r="CR66" s="176">
        <v>30000</v>
      </c>
      <c r="CS66" s="176">
        <v>30000</v>
      </c>
      <c r="CT66" s="176">
        <v>29765.810303833226</v>
      </c>
      <c r="CU66" s="176">
        <v>28914.505234450047</v>
      </c>
      <c r="CV66" s="176">
        <v>28085.872564319699</v>
      </c>
      <c r="CW66" s="176">
        <v>27281.496803348608</v>
      </c>
      <c r="CX66" s="176">
        <v>26503.146063381988</v>
      </c>
      <c r="CY66" s="176">
        <v>25752.809819268849</v>
      </c>
      <c r="CZ66" s="176">
        <v>25032.742334905583</v>
      </c>
      <c r="DA66" s="176">
        <v>24345.513090575951</v>
      </c>
      <c r="DB66" s="176">
        <v>23694.065962987792</v>
      </c>
      <c r="DC66" s="176">
        <v>23081.789471402662</v>
      </c>
      <c r="DD66" s="176">
        <v>22512.60120371628</v>
      </c>
      <c r="DE66" s="176">
        <v>21991.05080878763</v>
      </c>
      <c r="DF66" s="176">
        <v>21522.448314526246</v>
      </c>
      <c r="DG66" s="176">
        <v>21113.02963724278</v>
      </c>
      <c r="DH66" s="176">
        <v>20770.182956223143</v>
      </c>
      <c r="DI66" s="176">
        <v>20502.787104992341</v>
      </c>
      <c r="DJ66" s="176">
        <v>20321.775222026241</v>
      </c>
      <c r="DK66" s="176">
        <v>20097.763101738648</v>
      </c>
      <c r="DL66" s="176">
        <v>19890.426886030422</v>
      </c>
      <c r="DM66" s="176">
        <v>19744.407796804935</v>
      </c>
      <c r="DN66" s="176">
        <v>19660.916705038686</v>
      </c>
      <c r="DO66" s="176">
        <v>19640.525883382979</v>
      </c>
      <c r="DP66" s="176">
        <v>19683.123408667536</v>
      </c>
      <c r="DQ66" s="176">
        <v>19787.906999070587</v>
      </c>
      <c r="DR66" s="176">
        <v>19953.418029030796</v>
      </c>
      <c r="DS66" s="176">
        <v>20177.611173088026</v>
      </c>
      <c r="DT66" s="176">
        <v>20457.950882637233</v>
      </c>
      <c r="DU66" s="176">
        <v>20791.523556062988</v>
      </c>
      <c r="DV66" s="176">
        <v>21175.15401724531</v>
      </c>
      <c r="DW66" s="176">
        <v>21605.516554759299</v>
      </c>
      <c r="DX66" s="176">
        <v>22079.23337303663</v>
      </c>
      <c r="DY66" s="176">
        <v>22592.956337502928</v>
      </c>
      <c r="DZ66" s="176">
        <v>23143.430577859348</v>
      </c>
      <c r="EA66" s="176">
        <v>23623.31809753272</v>
      </c>
      <c r="EB66" s="176">
        <v>24050.632462235313</v>
      </c>
      <c r="EC66" s="176">
        <v>24563.896482724002</v>
      </c>
      <c r="ED66" s="176">
        <v>25138.15977486223</v>
      </c>
      <c r="EE66" s="176">
        <v>25758.000553598347</v>
      </c>
      <c r="EF66" s="176">
        <v>26413.288195950139</v>
      </c>
      <c r="EG66" s="176">
        <v>27096.987403882915</v>
      </c>
      <c r="EH66" s="176">
        <v>27803.962068443994</v>
      </c>
      <c r="EI66" s="176">
        <v>28530.293797018738</v>
      </c>
      <c r="EJ66" s="176">
        <v>29272.877467409166</v>
      </c>
      <c r="EK66" s="176">
        <v>30000</v>
      </c>
      <c r="EL66" s="176">
        <v>30000</v>
      </c>
      <c r="EM66" s="176">
        <v>30000</v>
      </c>
      <c r="EN66" s="176">
        <v>30000</v>
      </c>
      <c r="EO66" s="176">
        <v>30000</v>
      </c>
      <c r="EP66" t="str">
        <f t="shared" si="0"/>
        <v>12y 93d</v>
      </c>
    </row>
    <row r="67" spans="2:146" x14ac:dyDescent="0.25">
      <c r="B67" s="70">
        <v>64</v>
      </c>
      <c r="D67">
        <v>20002687.224944916</v>
      </c>
      <c r="E67" s="12">
        <v>141820756251.83145</v>
      </c>
      <c r="F67" s="12">
        <v>-52805693912.070473</v>
      </c>
      <c r="G67" s="12">
        <v>0</v>
      </c>
      <c r="H67" s="12">
        <v>577550470.92334175</v>
      </c>
      <c r="I67" s="12">
        <v>59363687662.627541</v>
      </c>
      <c r="J67" s="12">
        <v>-1513160782723.5806</v>
      </c>
      <c r="K67" s="12">
        <v>23999167511.306229</v>
      </c>
      <c r="L67" s="12">
        <v>12400383.459569884</v>
      </c>
      <c r="M67" s="12">
        <v>230069440150.15323</v>
      </c>
      <c r="N67" s="12">
        <v>187941437448.54211</v>
      </c>
      <c r="O67" s="12">
        <v>289039885.85563594</v>
      </c>
      <c r="P67" s="12">
        <v>12400384.659831615</v>
      </c>
      <c r="Q67" s="12">
        <v>230069666860.49887</v>
      </c>
      <c r="R67" s="12">
        <v>187941436492.3624</v>
      </c>
      <c r="S67" s="12">
        <v>0</v>
      </c>
      <c r="T67" s="12">
        <v>29007233.396916781</v>
      </c>
      <c r="U67" s="12">
        <v>119873862013.1516</v>
      </c>
      <c r="V67" s="12">
        <v>668323601677.60107</v>
      </c>
      <c r="W67" s="12">
        <v>-229422021.69779637</v>
      </c>
      <c r="X67" s="12">
        <v>13313691.733222172</v>
      </c>
      <c r="Y67" s="12">
        <v>230596964932.14246</v>
      </c>
      <c r="Z67" s="12">
        <v>245113549682.38821</v>
      </c>
      <c r="AA67" s="12">
        <v>-13435844547.005554</v>
      </c>
      <c r="AB67" s="12"/>
      <c r="AC67" s="12"/>
      <c r="AD67" s="12"/>
      <c r="AE67" s="12"/>
      <c r="AS67" s="6">
        <v>391958212.85054195</v>
      </c>
      <c r="AT67" s="176">
        <v>30000</v>
      </c>
      <c r="AU67" s="176">
        <v>30000</v>
      </c>
      <c r="AV67" s="176">
        <v>30000</v>
      </c>
      <c r="AW67" s="176">
        <v>30000</v>
      </c>
      <c r="AX67" s="176">
        <v>30000</v>
      </c>
      <c r="AY67" s="176">
        <v>30000</v>
      </c>
      <c r="AZ67" s="176">
        <v>30000</v>
      </c>
      <c r="BA67" s="176">
        <v>30000</v>
      </c>
      <c r="BB67" s="176">
        <v>30000</v>
      </c>
      <c r="BC67" s="176">
        <v>30000</v>
      </c>
      <c r="BD67" s="176">
        <v>30000</v>
      </c>
      <c r="BE67" s="176">
        <v>30000</v>
      </c>
      <c r="BF67" s="176">
        <v>30000</v>
      </c>
      <c r="BG67" s="176">
        <v>30000</v>
      </c>
      <c r="BH67" s="176">
        <v>30000</v>
      </c>
      <c r="BI67" s="176">
        <v>30000</v>
      </c>
      <c r="BJ67" s="176">
        <v>30000</v>
      </c>
      <c r="BK67" s="176">
        <v>30000</v>
      </c>
      <c r="BL67" s="176">
        <v>30000</v>
      </c>
      <c r="BM67" s="176">
        <v>30000</v>
      </c>
      <c r="BN67" s="176">
        <v>30000</v>
      </c>
      <c r="BO67" s="176">
        <v>30000</v>
      </c>
      <c r="BP67" s="176">
        <v>30000</v>
      </c>
      <c r="BQ67" s="176">
        <v>30000</v>
      </c>
      <c r="BR67" s="176">
        <v>30000</v>
      </c>
      <c r="BS67" s="176">
        <v>30000</v>
      </c>
      <c r="BT67" s="176">
        <v>30000</v>
      </c>
      <c r="BU67" s="176">
        <v>30000</v>
      </c>
      <c r="BV67" s="176">
        <v>30000</v>
      </c>
      <c r="BW67" s="176">
        <v>30000</v>
      </c>
      <c r="BX67" s="176">
        <v>30000</v>
      </c>
      <c r="BY67" s="176">
        <v>30000</v>
      </c>
      <c r="BZ67" s="176">
        <v>30000</v>
      </c>
      <c r="CA67" s="176">
        <v>30000</v>
      </c>
      <c r="CB67" s="176">
        <v>30000</v>
      </c>
      <c r="CC67" s="176">
        <v>30000</v>
      </c>
      <c r="CD67" s="176">
        <v>30000</v>
      </c>
      <c r="CE67" s="176">
        <v>30000</v>
      </c>
      <c r="CF67" s="176">
        <v>30000</v>
      </c>
      <c r="CG67" s="176">
        <v>30000</v>
      </c>
      <c r="CH67" s="176">
        <v>30000</v>
      </c>
      <c r="CI67" s="176">
        <v>30000</v>
      </c>
      <c r="CJ67" s="176">
        <v>30000</v>
      </c>
      <c r="CK67" s="176">
        <v>30000</v>
      </c>
      <c r="CL67" s="176">
        <v>30000</v>
      </c>
      <c r="CM67" s="176">
        <v>30000</v>
      </c>
      <c r="CN67" s="176">
        <v>30000</v>
      </c>
      <c r="CO67" s="176">
        <v>30000</v>
      </c>
      <c r="CP67" s="176">
        <v>30000</v>
      </c>
      <c r="CQ67" s="176">
        <v>30000</v>
      </c>
      <c r="CR67" s="176">
        <v>30000</v>
      </c>
      <c r="CS67" s="176">
        <v>30000</v>
      </c>
      <c r="CT67" s="176">
        <v>30000</v>
      </c>
      <c r="CU67" s="176">
        <v>29367.632549099271</v>
      </c>
      <c r="CV67" s="176">
        <v>28525.883924943348</v>
      </c>
      <c r="CW67" s="176">
        <v>27707.543126556819</v>
      </c>
      <c r="CX67" s="176">
        <v>26914.286415049632</v>
      </c>
      <c r="CY67" s="176">
        <v>26147.990871683814</v>
      </c>
      <c r="CZ67" s="176">
        <v>25410.774367043316</v>
      </c>
      <c r="DA67" s="176">
        <v>24705.04161319201</v>
      </c>
      <c r="DB67" s="176">
        <v>24033.537737871746</v>
      </c>
      <c r="DC67" s="176">
        <v>23399.411265119481</v>
      </c>
      <c r="DD67" s="176">
        <v>22806.289000873872</v>
      </c>
      <c r="DE67" s="176">
        <v>22258.366242315671</v>
      </c>
      <c r="DF67" s="176">
        <v>21760.517325056098</v>
      </c>
      <c r="DG67" s="176">
        <v>21318.434780681615</v>
      </c>
      <c r="DH67" s="176">
        <v>20938.812790365249</v>
      </c>
      <c r="DI67" s="176">
        <v>20629.608027854876</v>
      </c>
      <c r="DJ67" s="176">
        <v>20400.451099593294</v>
      </c>
      <c r="DK67" s="176">
        <v>20228.246551814045</v>
      </c>
      <c r="DL67" s="176">
        <v>19990.506205577753</v>
      </c>
      <c r="DM67" s="176">
        <v>19813.423266150508</v>
      </c>
      <c r="DN67" s="176">
        <v>19698.497931813465</v>
      </c>
      <c r="DO67" s="176">
        <v>19646.622928864585</v>
      </c>
      <c r="DP67" s="176">
        <v>19658.020123118211</v>
      </c>
      <c r="DQ67" s="176">
        <v>19732.214596561211</v>
      </c>
      <c r="DR67" s="176">
        <v>19868.049556904312</v>
      </c>
      <c r="DS67" s="176">
        <v>20063.740023590562</v>
      </c>
      <c r="DT67" s="176">
        <v>20316.958292431034</v>
      </c>
      <c r="DU67" s="176">
        <v>20624.940803531186</v>
      </c>
      <c r="DV67" s="176">
        <v>20984.604791000267</v>
      </c>
      <c r="DW67" s="176">
        <v>21392.663874623169</v>
      </c>
      <c r="DX67" s="176">
        <v>21845.734042286243</v>
      </c>
      <c r="DY67" s="176">
        <v>22340.424399302046</v>
      </c>
      <c r="DZ67" s="176">
        <v>22873.410007498762</v>
      </c>
      <c r="EA67" s="176">
        <v>23441.486511628209</v>
      </c>
      <c r="EB67" s="176">
        <v>23838.128521274193</v>
      </c>
      <c r="EC67" s="176">
        <v>24313.226152312542</v>
      </c>
      <c r="ED67" s="176">
        <v>24860.120941840469</v>
      </c>
      <c r="EE67" s="176">
        <v>25459.275407169345</v>
      </c>
      <c r="EF67" s="176">
        <v>26098.26105553388</v>
      </c>
      <c r="EG67" s="176">
        <v>26768.691868567599</v>
      </c>
      <c r="EH67" s="176">
        <v>27464.599436244247</v>
      </c>
      <c r="EI67" s="176">
        <v>28181.529778538057</v>
      </c>
      <c r="EJ67" s="176">
        <v>28916.019127939489</v>
      </c>
      <c r="EK67" s="176">
        <v>29665.277390467421</v>
      </c>
      <c r="EL67" s="176">
        <v>30000</v>
      </c>
      <c r="EM67" s="176">
        <v>30000</v>
      </c>
      <c r="EN67" s="176">
        <v>30000</v>
      </c>
      <c r="EO67" s="176">
        <v>30000</v>
      </c>
      <c r="EP67" t="str">
        <f t="shared" si="0"/>
        <v>12y 153d</v>
      </c>
    </row>
    <row r="68" spans="2:146" x14ac:dyDescent="0.25">
      <c r="B68" s="70">
        <v>65</v>
      </c>
      <c r="D68">
        <v>20325501.389398653</v>
      </c>
      <c r="E68" s="12">
        <v>144743856433.0408</v>
      </c>
      <c r="F68" s="12">
        <v>-43762406946.879662</v>
      </c>
      <c r="G68" s="12">
        <v>0</v>
      </c>
      <c r="H68" s="12">
        <v>588018188.08830452</v>
      </c>
      <c r="I68" s="12">
        <v>154185742562.79535</v>
      </c>
      <c r="J68" s="12">
        <v>-1506414709255.4512</v>
      </c>
      <c r="K68" s="12">
        <v>20112555200.19046</v>
      </c>
      <c r="L68" s="12">
        <v>12939515.92350916</v>
      </c>
      <c r="M68" s="12">
        <v>230713256239.82904</v>
      </c>
      <c r="N68" s="12">
        <v>202272906290.79861</v>
      </c>
      <c r="O68" s="12">
        <v>290842143.09556276</v>
      </c>
      <c r="P68" s="12">
        <v>12939517.200894581</v>
      </c>
      <c r="Q68" s="12">
        <v>230713486497.34241</v>
      </c>
      <c r="R68" s="12">
        <v>202272906324.00131</v>
      </c>
      <c r="S68" s="12">
        <v>0</v>
      </c>
      <c r="T68" s="12">
        <v>30263356.934974253</v>
      </c>
      <c r="U68" s="12">
        <v>111774045445.91949</v>
      </c>
      <c r="V68" s="12">
        <v>684907160055.07739</v>
      </c>
      <c r="W68" s="12">
        <v>-236873549.00932202</v>
      </c>
      <c r="X68" s="12">
        <v>13936251.157939082</v>
      </c>
      <c r="Y68" s="12">
        <v>230036579454.87851</v>
      </c>
      <c r="Z68" s="12">
        <v>260408641309.06027</v>
      </c>
      <c r="AA68" s="12">
        <v>-13680005778.188166</v>
      </c>
      <c r="AB68" s="12"/>
      <c r="AC68" s="12"/>
      <c r="AD68" s="12"/>
      <c r="AE68" s="12"/>
      <c r="AS68" s="6">
        <v>397224978.08686465</v>
      </c>
      <c r="AT68" s="176">
        <v>30000</v>
      </c>
      <c r="AU68" s="176">
        <v>30000</v>
      </c>
      <c r="AV68" s="176">
        <v>30000</v>
      </c>
      <c r="AW68" s="176">
        <v>30000</v>
      </c>
      <c r="AX68" s="176">
        <v>30000</v>
      </c>
      <c r="AY68" s="176">
        <v>30000</v>
      </c>
      <c r="AZ68" s="176">
        <v>30000</v>
      </c>
      <c r="BA68" s="176">
        <v>30000</v>
      </c>
      <c r="BB68" s="176">
        <v>30000</v>
      </c>
      <c r="BC68" s="176">
        <v>30000</v>
      </c>
      <c r="BD68" s="176">
        <v>30000</v>
      </c>
      <c r="BE68" s="176">
        <v>30000</v>
      </c>
      <c r="BF68" s="176">
        <v>30000</v>
      </c>
      <c r="BG68" s="176">
        <v>30000</v>
      </c>
      <c r="BH68" s="176">
        <v>30000</v>
      </c>
      <c r="BI68" s="176">
        <v>30000</v>
      </c>
      <c r="BJ68" s="176">
        <v>30000</v>
      </c>
      <c r="BK68" s="176">
        <v>30000</v>
      </c>
      <c r="BL68" s="176">
        <v>30000</v>
      </c>
      <c r="BM68" s="176">
        <v>30000</v>
      </c>
      <c r="BN68" s="176">
        <v>30000</v>
      </c>
      <c r="BO68" s="176">
        <v>30000</v>
      </c>
      <c r="BP68" s="176">
        <v>30000</v>
      </c>
      <c r="BQ68" s="176">
        <v>30000</v>
      </c>
      <c r="BR68" s="176">
        <v>30000</v>
      </c>
      <c r="BS68" s="176">
        <v>30000</v>
      </c>
      <c r="BT68" s="176">
        <v>30000</v>
      </c>
      <c r="BU68" s="176">
        <v>30000</v>
      </c>
      <c r="BV68" s="176">
        <v>30000</v>
      </c>
      <c r="BW68" s="176">
        <v>30000</v>
      </c>
      <c r="BX68" s="176">
        <v>30000</v>
      </c>
      <c r="BY68" s="176">
        <v>30000</v>
      </c>
      <c r="BZ68" s="176">
        <v>30000</v>
      </c>
      <c r="CA68" s="176">
        <v>30000</v>
      </c>
      <c r="CB68" s="176">
        <v>30000</v>
      </c>
      <c r="CC68" s="176">
        <v>30000</v>
      </c>
      <c r="CD68" s="176">
        <v>30000</v>
      </c>
      <c r="CE68" s="176">
        <v>30000</v>
      </c>
      <c r="CF68" s="176">
        <v>30000</v>
      </c>
      <c r="CG68" s="176">
        <v>30000</v>
      </c>
      <c r="CH68" s="176">
        <v>30000</v>
      </c>
      <c r="CI68" s="176">
        <v>30000</v>
      </c>
      <c r="CJ68" s="176">
        <v>30000</v>
      </c>
      <c r="CK68" s="176">
        <v>30000</v>
      </c>
      <c r="CL68" s="176">
        <v>30000</v>
      </c>
      <c r="CM68" s="176">
        <v>30000</v>
      </c>
      <c r="CN68" s="176">
        <v>30000</v>
      </c>
      <c r="CO68" s="176">
        <v>30000</v>
      </c>
      <c r="CP68" s="176">
        <v>30000</v>
      </c>
      <c r="CQ68" s="176">
        <v>30000</v>
      </c>
      <c r="CR68" s="176">
        <v>30000</v>
      </c>
      <c r="CS68" s="176">
        <v>30000</v>
      </c>
      <c r="CT68" s="176">
        <v>30000</v>
      </c>
      <c r="CU68" s="176">
        <v>29826.60609881764</v>
      </c>
      <c r="CV68" s="176">
        <v>28972.178181717089</v>
      </c>
      <c r="CW68" s="176">
        <v>28140.343831373859</v>
      </c>
      <c r="CX68" s="176">
        <v>27332.696850082837</v>
      </c>
      <c r="CY68" s="176">
        <v>26551.012901053546</v>
      </c>
      <c r="CZ68" s="176">
        <v>25797.286445884369</v>
      </c>
      <c r="DA68" s="176">
        <v>25073.773000106936</v>
      </c>
      <c r="DB68" s="176">
        <v>24383.037891161257</v>
      </c>
      <c r="DC68" s="176">
        <v>23728.013057944514</v>
      </c>
      <c r="DD68" s="176">
        <v>23112.063910032342</v>
      </c>
      <c r="DE68" s="176">
        <v>22539.068949556058</v>
      </c>
      <c r="DF68" s="176">
        <v>22013.515964562408</v>
      </c>
      <c r="DG68" s="176">
        <v>21540.620717440379</v>
      </c>
      <c r="DH68" s="176">
        <v>21126.478710371543</v>
      </c>
      <c r="DI68" s="176">
        <v>20778.271548703819</v>
      </c>
      <c r="DJ68" s="176">
        <v>20504.575066249534</v>
      </c>
      <c r="DK68" s="176">
        <v>20315.874442881795</v>
      </c>
      <c r="DL68" s="176">
        <v>20104.842666891385</v>
      </c>
      <c r="DM68" s="176">
        <v>19896.963690610559</v>
      </c>
      <c r="DN68" s="176">
        <v>19750.723923036541</v>
      </c>
      <c r="DO68" s="176">
        <v>19667.324918489139</v>
      </c>
      <c r="DP68" s="176">
        <v>19647.31987388742</v>
      </c>
      <c r="DQ68" s="176">
        <v>19690.56846450637</v>
      </c>
      <c r="DR68" s="176">
        <v>19796.231862852179</v>
      </c>
      <c r="DS68" s="176">
        <v>19962.808542786555</v>
      </c>
      <c r="DT68" s="176">
        <v>20188.206084238547</v>
      </c>
      <c r="DU68" s="176">
        <v>20469.839900390496</v>
      </c>
      <c r="DV68" s="176">
        <v>20804.747520411795</v>
      </c>
      <c r="DW68" s="176">
        <v>21189.70677222166</v>
      </c>
      <c r="DX68" s="176">
        <v>21621.34814457209</v>
      </c>
      <c r="DY68" s="176">
        <v>22096.254057288108</v>
      </c>
      <c r="DZ68" s="176">
        <v>22611.041026611616</v>
      </c>
      <c r="EA68" s="176">
        <v>23162.423333683637</v>
      </c>
      <c r="EB68" s="176">
        <v>23648.81038610109</v>
      </c>
      <c r="EC68" s="176">
        <v>24078.302824275634</v>
      </c>
      <c r="ED68" s="176">
        <v>24593.542991468581</v>
      </c>
      <c r="EE68" s="176">
        <v>25169.383298385372</v>
      </c>
      <c r="EF68" s="176">
        <v>25790.361417392349</v>
      </c>
      <c r="EG68" s="176">
        <v>26446.358175950219</v>
      </c>
      <c r="EH68" s="176">
        <v>27130.364314157119</v>
      </c>
      <c r="EI68" s="176">
        <v>27837.271402629267</v>
      </c>
      <c r="EJ68" s="176">
        <v>28563.186436055021</v>
      </c>
      <c r="EK68" s="176">
        <v>29305.026714349297</v>
      </c>
      <c r="EL68" s="176">
        <v>30000</v>
      </c>
      <c r="EM68" s="176">
        <v>30000</v>
      </c>
      <c r="EN68" s="176">
        <v>30000</v>
      </c>
      <c r="EO68" s="176">
        <v>30000</v>
      </c>
      <c r="EP68" t="str">
        <f t="shared" ref="EP68:EP102" si="1">ROUNDDOWN(AS68/$EX$4, 0) &amp; "y " &amp; ROUND(MOD(AS68, $EX$4)/$EX$5, 0) &amp; "d"</f>
        <v>12y 214d</v>
      </c>
    </row>
    <row r="69" spans="2:146" x14ac:dyDescent="0.25">
      <c r="B69" s="70">
        <v>66</v>
      </c>
      <c r="D69">
        <v>20647799.167366687</v>
      </c>
      <c r="E69" s="12">
        <v>147085183723.00034</v>
      </c>
      <c r="F69" s="12">
        <v>-34559099015.71035</v>
      </c>
      <c r="G69" s="12">
        <v>0</v>
      </c>
      <c r="H69" s="12">
        <v>598482099.25934124</v>
      </c>
      <c r="I69" s="12">
        <v>248328631468.53879</v>
      </c>
      <c r="J69" s="12">
        <v>-1493372272113.7905</v>
      </c>
      <c r="K69" s="12">
        <v>16143258331.247219</v>
      </c>
      <c r="L69" s="12">
        <v>13515123.969910484</v>
      </c>
      <c r="M69" s="12">
        <v>231061096800.55643</v>
      </c>
      <c r="N69" s="12">
        <v>217276192973.8721</v>
      </c>
      <c r="O69" s="12">
        <v>292338302.33235997</v>
      </c>
      <c r="P69" s="12">
        <v>13515125.328924663</v>
      </c>
      <c r="Q69" s="12">
        <v>231061330526.19882</v>
      </c>
      <c r="R69" s="12">
        <v>217276194062.55743</v>
      </c>
      <c r="S69" s="12">
        <v>0</v>
      </c>
      <c r="T69" s="12">
        <v>31575607.983272441</v>
      </c>
      <c r="U69" s="12">
        <v>103237594609.92863</v>
      </c>
      <c r="V69" s="12">
        <v>701773769880.29395</v>
      </c>
      <c r="W69" s="12">
        <v>-244499647.31021053</v>
      </c>
      <c r="X69" s="12">
        <v>14600347.899643309</v>
      </c>
      <c r="Y69" s="12">
        <v>229129084443.74969</v>
      </c>
      <c r="Z69" s="12">
        <v>276373492663.81628</v>
      </c>
      <c r="AA69" s="12">
        <v>-13922036716.071281</v>
      </c>
      <c r="AB69" s="12"/>
      <c r="AC69" s="12"/>
      <c r="AD69" s="12"/>
      <c r="AE69" s="12"/>
      <c r="AS69" s="6">
        <v>402491743.32318735</v>
      </c>
      <c r="AT69" s="176">
        <v>30000</v>
      </c>
      <c r="AU69" s="176">
        <v>30000</v>
      </c>
      <c r="AV69" s="176">
        <v>30000</v>
      </c>
      <c r="AW69" s="176">
        <v>30000</v>
      </c>
      <c r="AX69" s="176">
        <v>30000</v>
      </c>
      <c r="AY69" s="176">
        <v>30000</v>
      </c>
      <c r="AZ69" s="176">
        <v>30000</v>
      </c>
      <c r="BA69" s="176">
        <v>30000</v>
      </c>
      <c r="BB69" s="176">
        <v>30000</v>
      </c>
      <c r="BC69" s="176">
        <v>30000</v>
      </c>
      <c r="BD69" s="176">
        <v>30000</v>
      </c>
      <c r="BE69" s="176">
        <v>30000</v>
      </c>
      <c r="BF69" s="176">
        <v>30000</v>
      </c>
      <c r="BG69" s="176">
        <v>30000</v>
      </c>
      <c r="BH69" s="176">
        <v>30000</v>
      </c>
      <c r="BI69" s="176">
        <v>30000</v>
      </c>
      <c r="BJ69" s="176">
        <v>30000</v>
      </c>
      <c r="BK69" s="176">
        <v>30000</v>
      </c>
      <c r="BL69" s="176">
        <v>30000</v>
      </c>
      <c r="BM69" s="176">
        <v>30000</v>
      </c>
      <c r="BN69" s="176">
        <v>30000</v>
      </c>
      <c r="BO69" s="176">
        <v>30000</v>
      </c>
      <c r="BP69" s="176">
        <v>30000</v>
      </c>
      <c r="BQ69" s="176">
        <v>30000</v>
      </c>
      <c r="BR69" s="176">
        <v>30000</v>
      </c>
      <c r="BS69" s="176">
        <v>30000</v>
      </c>
      <c r="BT69" s="176">
        <v>30000</v>
      </c>
      <c r="BU69" s="176">
        <v>30000</v>
      </c>
      <c r="BV69" s="176">
        <v>30000</v>
      </c>
      <c r="BW69" s="176">
        <v>30000</v>
      </c>
      <c r="BX69" s="176">
        <v>30000</v>
      </c>
      <c r="BY69" s="176">
        <v>30000</v>
      </c>
      <c r="BZ69" s="176">
        <v>30000</v>
      </c>
      <c r="CA69" s="176">
        <v>30000</v>
      </c>
      <c r="CB69" s="176">
        <v>30000</v>
      </c>
      <c r="CC69" s="176">
        <v>30000</v>
      </c>
      <c r="CD69" s="176">
        <v>30000</v>
      </c>
      <c r="CE69" s="176">
        <v>30000</v>
      </c>
      <c r="CF69" s="176">
        <v>30000</v>
      </c>
      <c r="CG69" s="176">
        <v>30000</v>
      </c>
      <c r="CH69" s="176">
        <v>30000</v>
      </c>
      <c r="CI69" s="176">
        <v>30000</v>
      </c>
      <c r="CJ69" s="176">
        <v>30000</v>
      </c>
      <c r="CK69" s="176">
        <v>30000</v>
      </c>
      <c r="CL69" s="176">
        <v>30000</v>
      </c>
      <c r="CM69" s="176">
        <v>30000</v>
      </c>
      <c r="CN69" s="176">
        <v>30000</v>
      </c>
      <c r="CO69" s="176">
        <v>30000</v>
      </c>
      <c r="CP69" s="176">
        <v>30000</v>
      </c>
      <c r="CQ69" s="176">
        <v>30000</v>
      </c>
      <c r="CR69" s="176">
        <v>30000</v>
      </c>
      <c r="CS69" s="176">
        <v>30000</v>
      </c>
      <c r="CT69" s="176">
        <v>30000</v>
      </c>
      <c r="CU69" s="176">
        <v>30000</v>
      </c>
      <c r="CV69" s="176">
        <v>29424.505316936284</v>
      </c>
      <c r="CW69" s="176">
        <v>28579.632809700284</v>
      </c>
      <c r="CX69" s="176">
        <v>27758.090603678531</v>
      </c>
      <c r="CY69" s="176">
        <v>26961.5630729597</v>
      </c>
      <c r="CZ69" s="176">
        <v>26191.933163967689</v>
      </c>
      <c r="DA69" s="176">
        <v>25451.321338208945</v>
      </c>
      <c r="DB69" s="176">
        <v>24742.130170612887</v>
      </c>
      <c r="DC69" s="176">
        <v>24067.095862336173</v>
      </c>
      <c r="DD69" s="176">
        <v>23429.348303764506</v>
      </c>
      <c r="DE69" s="176">
        <v>22832.481844583272</v>
      </c>
      <c r="DF69" s="176">
        <v>22280.639718899169</v>
      </c>
      <c r="DG69" s="176">
        <v>21778.61647918012</v>
      </c>
      <c r="DH69" s="176">
        <v>21331.985741924676</v>
      </c>
      <c r="DI69" s="176">
        <v>20947.267387040956</v>
      </c>
      <c r="DJ69" s="176">
        <v>20632.164574450449</v>
      </c>
      <c r="DK69" s="176">
        <v>20395.938474633964</v>
      </c>
      <c r="DL69" s="176">
        <v>20233.262857421785</v>
      </c>
      <c r="DM69" s="176">
        <v>19994.924641578105</v>
      </c>
      <c r="DN69" s="176">
        <v>19817.567272308355</v>
      </c>
      <c r="DO69" s="176">
        <v>19702.685498726551</v>
      </c>
      <c r="DP69" s="176">
        <v>19651.156730424289</v>
      </c>
      <c r="DQ69" s="176">
        <v>19663.177764599914</v>
      </c>
      <c r="DR69" s="176">
        <v>19738.239762289213</v>
      </c>
      <c r="DS69" s="176">
        <v>19875.144752354277</v>
      </c>
      <c r="DT69" s="176">
        <v>20072.061402583073</v>
      </c>
      <c r="DU69" s="176">
        <v>20326.612785528363</v>
      </c>
      <c r="DV69" s="176">
        <v>20635.985484826557</v>
      </c>
      <c r="DW69" s="176">
        <v>20997.048189086901</v>
      </c>
      <c r="DX69" s="176">
        <v>21406.468800738341</v>
      </c>
      <c r="DY69" s="176">
        <v>21860.821449175965</v>
      </c>
      <c r="DZ69" s="176">
        <v>22356.677825152423</v>
      </c>
      <c r="EA69" s="176">
        <v>22890.680203413845</v>
      </c>
      <c r="EB69" s="176">
        <v>23459.596048069587</v>
      </c>
      <c r="EC69" s="176">
        <v>23861.867058301345</v>
      </c>
      <c r="ED69" s="176">
        <v>24339.978498207071</v>
      </c>
      <c r="EE69" s="176">
        <v>24889.260217898103</v>
      </c>
      <c r="EF69" s="176">
        <v>25490.187104901983</v>
      </c>
      <c r="EG69" s="176">
        <v>26130.388779690984</v>
      </c>
      <c r="EH69" s="176">
        <v>26801.540507724087</v>
      </c>
      <c r="EI69" s="176">
        <v>27497.726864103293</v>
      </c>
      <c r="EJ69" s="176">
        <v>28214.537130900255</v>
      </c>
      <c r="EK69" s="176">
        <v>28948.542560710346</v>
      </c>
      <c r="EL69" s="176">
        <v>29696.981835723793</v>
      </c>
      <c r="EM69" s="176">
        <v>30000</v>
      </c>
      <c r="EN69" s="176">
        <v>30000</v>
      </c>
      <c r="EO69" s="176">
        <v>30000</v>
      </c>
      <c r="EP69" t="str">
        <f t="shared" si="1"/>
        <v>12y 275d</v>
      </c>
    </row>
    <row r="70" spans="2:146" x14ac:dyDescent="0.25">
      <c r="B70" s="70">
        <v>67</v>
      </c>
      <c r="D70">
        <v>20969554.698960036</v>
      </c>
      <c r="E70" s="12">
        <v>148836644711.78073</v>
      </c>
      <c r="F70" s="12">
        <v>-25233600336.483749</v>
      </c>
      <c r="G70" s="12">
        <v>0</v>
      </c>
      <c r="H70" s="12">
        <v>608937282.83315039</v>
      </c>
      <c r="I70" s="12">
        <v>341355237279.87799</v>
      </c>
      <c r="J70" s="12">
        <v>-1474099764324.3357</v>
      </c>
      <c r="K70" s="12">
        <v>12109806750.297701</v>
      </c>
      <c r="L70" s="12">
        <v>14130741.866488844</v>
      </c>
      <c r="M70" s="12">
        <v>231081300952.73688</v>
      </c>
      <c r="N70" s="12">
        <v>232991385935.48965</v>
      </c>
      <c r="O70" s="12">
        <v>293493333.27552766</v>
      </c>
      <c r="P70" s="12">
        <v>14130743.311900344</v>
      </c>
      <c r="Q70" s="12">
        <v>231081538052.86829</v>
      </c>
      <c r="R70" s="12">
        <v>232991388148.21231</v>
      </c>
      <c r="S70" s="12">
        <v>0</v>
      </c>
      <c r="T70" s="12">
        <v>32946671.380398434</v>
      </c>
      <c r="U70" s="12">
        <v>94248025786.933609</v>
      </c>
      <c r="V70" s="12">
        <v>718916661683.24268</v>
      </c>
      <c r="W70" s="12">
        <v>-252300417.74590263</v>
      </c>
      <c r="X70" s="12">
        <v>15309777.817825297</v>
      </c>
      <c r="Y70" s="12">
        <v>227840675404.228</v>
      </c>
      <c r="Z70" s="12">
        <v>293043282471.1394</v>
      </c>
      <c r="AA70" s="12">
        <v>-14161206463.409798</v>
      </c>
      <c r="AB70" s="12"/>
      <c r="AC70" s="12"/>
      <c r="AD70" s="12"/>
      <c r="AE70" s="12"/>
      <c r="AS70" s="6">
        <v>407758508.55951005</v>
      </c>
      <c r="AT70" s="176">
        <v>30000</v>
      </c>
      <c r="AU70" s="176">
        <v>30000</v>
      </c>
      <c r="AV70" s="176">
        <v>30000</v>
      </c>
      <c r="AW70" s="176">
        <v>30000</v>
      </c>
      <c r="AX70" s="176">
        <v>30000</v>
      </c>
      <c r="AY70" s="176">
        <v>30000</v>
      </c>
      <c r="AZ70" s="176">
        <v>30000</v>
      </c>
      <c r="BA70" s="176">
        <v>30000</v>
      </c>
      <c r="BB70" s="176">
        <v>30000</v>
      </c>
      <c r="BC70" s="176">
        <v>30000</v>
      </c>
      <c r="BD70" s="176">
        <v>30000</v>
      </c>
      <c r="BE70" s="176">
        <v>30000</v>
      </c>
      <c r="BF70" s="176">
        <v>30000</v>
      </c>
      <c r="BG70" s="176">
        <v>30000</v>
      </c>
      <c r="BH70" s="176">
        <v>30000</v>
      </c>
      <c r="BI70" s="176">
        <v>30000</v>
      </c>
      <c r="BJ70" s="176">
        <v>30000</v>
      </c>
      <c r="BK70" s="176">
        <v>30000</v>
      </c>
      <c r="BL70" s="176">
        <v>30000</v>
      </c>
      <c r="BM70" s="176">
        <v>30000</v>
      </c>
      <c r="BN70" s="176">
        <v>30000</v>
      </c>
      <c r="BO70" s="176">
        <v>30000</v>
      </c>
      <c r="BP70" s="176">
        <v>30000</v>
      </c>
      <c r="BQ70" s="176">
        <v>30000</v>
      </c>
      <c r="BR70" s="176">
        <v>30000</v>
      </c>
      <c r="BS70" s="176">
        <v>30000</v>
      </c>
      <c r="BT70" s="176">
        <v>30000</v>
      </c>
      <c r="BU70" s="176">
        <v>30000</v>
      </c>
      <c r="BV70" s="176">
        <v>30000</v>
      </c>
      <c r="BW70" s="176">
        <v>30000</v>
      </c>
      <c r="BX70" s="176">
        <v>30000</v>
      </c>
      <c r="BY70" s="176">
        <v>30000</v>
      </c>
      <c r="BZ70" s="176">
        <v>30000</v>
      </c>
      <c r="CA70" s="176">
        <v>30000</v>
      </c>
      <c r="CB70" s="176">
        <v>30000</v>
      </c>
      <c r="CC70" s="176">
        <v>30000</v>
      </c>
      <c r="CD70" s="176">
        <v>30000</v>
      </c>
      <c r="CE70" s="176">
        <v>30000</v>
      </c>
      <c r="CF70" s="176">
        <v>30000</v>
      </c>
      <c r="CG70" s="176">
        <v>30000</v>
      </c>
      <c r="CH70" s="176">
        <v>30000</v>
      </c>
      <c r="CI70" s="176">
        <v>30000</v>
      </c>
      <c r="CJ70" s="176">
        <v>30000</v>
      </c>
      <c r="CK70" s="176">
        <v>30000</v>
      </c>
      <c r="CL70" s="176">
        <v>30000</v>
      </c>
      <c r="CM70" s="176">
        <v>30000</v>
      </c>
      <c r="CN70" s="176">
        <v>30000</v>
      </c>
      <c r="CO70" s="176">
        <v>30000</v>
      </c>
      <c r="CP70" s="176">
        <v>30000</v>
      </c>
      <c r="CQ70" s="176">
        <v>30000</v>
      </c>
      <c r="CR70" s="176">
        <v>30000</v>
      </c>
      <c r="CS70" s="176">
        <v>30000</v>
      </c>
      <c r="CT70" s="176">
        <v>30000</v>
      </c>
      <c r="CU70" s="176">
        <v>30000</v>
      </c>
      <c r="CV70" s="176">
        <v>29882.625492677311</v>
      </c>
      <c r="CW70" s="176">
        <v>29025.155659665583</v>
      </c>
      <c r="CX70" s="176">
        <v>28190.19445134803</v>
      </c>
      <c r="CY70" s="176">
        <v>27379.34432502804</v>
      </c>
      <c r="CZ70" s="176">
        <v>26594.387643689472</v>
      </c>
      <c r="DA70" s="176">
        <v>25837.322711632012</v>
      </c>
      <c r="DB70" s="176">
        <v>25110.404761194062</v>
      </c>
      <c r="DC70" s="176">
        <v>24416.192920800706</v>
      </c>
      <c r="DD70" s="176">
        <v>23757.604491880935</v>
      </c>
      <c r="DE70" s="176">
        <v>23137.978264381018</v>
      </c>
      <c r="DF70" s="176">
        <v>22561.149182224941</v>
      </c>
      <c r="DG70" s="176">
        <v>22031.537631755651</v>
      </c>
      <c r="DH70" s="176">
        <v>21554.258520769577</v>
      </c>
      <c r="DI70" s="176">
        <v>21135.259589176501</v>
      </c>
      <c r="DJ70" s="176">
        <v>20781.508562097959</v>
      </c>
      <c r="DK70" s="176">
        <v>20501.272741199711</v>
      </c>
      <c r="DL70" s="176">
        <v>20304.588923268449</v>
      </c>
      <c r="DM70" s="176">
        <v>20107.164986704647</v>
      </c>
      <c r="DN70" s="176">
        <v>19898.960209411383</v>
      </c>
      <c r="DO70" s="176">
        <v>19752.716416348401</v>
      </c>
      <c r="DP70" s="176">
        <v>19669.623687349576</v>
      </c>
      <c r="DQ70" s="176">
        <v>19650.213691399607</v>
      </c>
      <c r="DR70" s="176">
        <v>19694.315114558929</v>
      </c>
      <c r="DS70" s="176">
        <v>19801.050033973857</v>
      </c>
      <c r="DT70" s="176">
        <v>19968.871678631684</v>
      </c>
      <c r="DU70" s="176">
        <v>20195.638534023477</v>
      </c>
      <c r="DV70" s="176">
        <v>20478.711252559642</v>
      </c>
      <c r="DW70" s="176">
        <v>20815.089909816765</v>
      </c>
      <c r="DX70" s="176">
        <v>21201.492249755946</v>
      </c>
      <c r="DY70" s="176">
        <v>21634.508985335415</v>
      </c>
      <c r="DZ70" s="176">
        <v>22110.682989737881</v>
      </c>
      <c r="EA70" s="176">
        <v>22626.595958729478</v>
      </c>
      <c r="EB70" s="176">
        <v>23178.932140022975</v>
      </c>
      <c r="EC70" s="176">
        <v>23667.524437531589</v>
      </c>
      <c r="ED70" s="176">
        <v>24101.392403430087</v>
      </c>
      <c r="EE70" s="176">
        <v>24620.050057399807</v>
      </c>
      <c r="EF70" s="176">
        <v>25198.446394985305</v>
      </c>
      <c r="EG70" s="176">
        <v>25821.247888675294</v>
      </c>
      <c r="EH70" s="176">
        <v>26478.448167751878</v>
      </c>
      <c r="EI70" s="176">
        <v>27163.12689230009</v>
      </c>
      <c r="EJ70" s="176">
        <v>27870.243671412754</v>
      </c>
      <c r="EK70" s="176">
        <v>28595.957628600685</v>
      </c>
      <c r="EL70" s="176">
        <v>29337.226738491325</v>
      </c>
      <c r="EM70" s="176">
        <v>30000</v>
      </c>
      <c r="EN70" s="176">
        <v>30000</v>
      </c>
      <c r="EO70" s="176">
        <v>30000</v>
      </c>
      <c r="EP70" t="str">
        <f t="shared" si="1"/>
        <v>12y 336d</v>
      </c>
    </row>
    <row r="71" spans="2:146" x14ac:dyDescent="0.25">
      <c r="B71" s="70">
        <v>68</v>
      </c>
      <c r="D71">
        <v>21290744.45682564</v>
      </c>
      <c r="E71" s="12">
        <v>149992653456.06079</v>
      </c>
      <c r="F71" s="12">
        <v>-15824063788.965832</v>
      </c>
      <c r="G71" s="12">
        <v>0</v>
      </c>
      <c r="H71" s="12">
        <v>619378870.02064037</v>
      </c>
      <c r="I71" s="12">
        <v>432835446188.25946</v>
      </c>
      <c r="J71" s="12">
        <v>-1448696627163.0239</v>
      </c>
      <c r="K71" s="12">
        <v>8031029361.1280451</v>
      </c>
      <c r="L71" s="12">
        <v>14790305.20558067</v>
      </c>
      <c r="M71" s="12">
        <v>230738604831.52985</v>
      </c>
      <c r="N71" s="12">
        <v>249460895414.23547</v>
      </c>
      <c r="O71" s="12">
        <v>294268058.00973272</v>
      </c>
      <c r="P71" s="12">
        <v>14790306.742426639</v>
      </c>
      <c r="Q71" s="12">
        <v>230738845195.98444</v>
      </c>
      <c r="R71" s="12">
        <v>249460898821.93311</v>
      </c>
      <c r="S71" s="12">
        <v>0</v>
      </c>
      <c r="T71" s="12">
        <v>34379333.160486691</v>
      </c>
      <c r="U71" s="12">
        <v>84788759325.251511</v>
      </c>
      <c r="V71" s="12">
        <v>736327451729.4762</v>
      </c>
      <c r="W71" s="12">
        <v>-260275376.57011977</v>
      </c>
      <c r="X71" s="12">
        <v>16068736.548811009</v>
      </c>
      <c r="Y71" s="12">
        <v>226134144446.60089</v>
      </c>
      <c r="Z71" s="12">
        <v>310454632583.97333</v>
      </c>
      <c r="AA71" s="12">
        <v>-14396673979.718231</v>
      </c>
      <c r="AB71" s="12"/>
      <c r="AC71" s="12"/>
      <c r="AD71" s="12"/>
      <c r="AE71" s="12"/>
      <c r="AS71" s="6">
        <v>413025273.79583275</v>
      </c>
      <c r="AT71" s="176">
        <v>30000</v>
      </c>
      <c r="AU71" s="176">
        <v>30000</v>
      </c>
      <c r="AV71" s="176">
        <v>30000</v>
      </c>
      <c r="AW71" s="176">
        <v>30000</v>
      </c>
      <c r="AX71" s="176">
        <v>30000</v>
      </c>
      <c r="AY71" s="176">
        <v>30000</v>
      </c>
      <c r="AZ71" s="176">
        <v>30000</v>
      </c>
      <c r="BA71" s="176">
        <v>30000</v>
      </c>
      <c r="BB71" s="176">
        <v>30000</v>
      </c>
      <c r="BC71" s="176">
        <v>30000</v>
      </c>
      <c r="BD71" s="176">
        <v>30000</v>
      </c>
      <c r="BE71" s="176">
        <v>30000</v>
      </c>
      <c r="BF71" s="176">
        <v>30000</v>
      </c>
      <c r="BG71" s="176">
        <v>30000</v>
      </c>
      <c r="BH71" s="176">
        <v>30000</v>
      </c>
      <c r="BI71" s="176">
        <v>30000</v>
      </c>
      <c r="BJ71" s="176">
        <v>30000</v>
      </c>
      <c r="BK71" s="176">
        <v>30000</v>
      </c>
      <c r="BL71" s="176">
        <v>30000</v>
      </c>
      <c r="BM71" s="176">
        <v>30000</v>
      </c>
      <c r="BN71" s="176">
        <v>30000</v>
      </c>
      <c r="BO71" s="176">
        <v>30000</v>
      </c>
      <c r="BP71" s="176">
        <v>30000</v>
      </c>
      <c r="BQ71" s="176">
        <v>30000</v>
      </c>
      <c r="BR71" s="176">
        <v>30000</v>
      </c>
      <c r="BS71" s="176">
        <v>30000</v>
      </c>
      <c r="BT71" s="176">
        <v>30000</v>
      </c>
      <c r="BU71" s="176">
        <v>30000</v>
      </c>
      <c r="BV71" s="176">
        <v>30000</v>
      </c>
      <c r="BW71" s="176">
        <v>30000</v>
      </c>
      <c r="BX71" s="176">
        <v>30000</v>
      </c>
      <c r="BY71" s="176">
        <v>30000</v>
      </c>
      <c r="BZ71" s="176">
        <v>30000</v>
      </c>
      <c r="CA71" s="176">
        <v>30000</v>
      </c>
      <c r="CB71" s="176">
        <v>30000</v>
      </c>
      <c r="CC71" s="176">
        <v>30000</v>
      </c>
      <c r="CD71" s="176">
        <v>30000</v>
      </c>
      <c r="CE71" s="176">
        <v>30000</v>
      </c>
      <c r="CF71" s="176">
        <v>30000</v>
      </c>
      <c r="CG71" s="176">
        <v>30000</v>
      </c>
      <c r="CH71" s="176">
        <v>30000</v>
      </c>
      <c r="CI71" s="176">
        <v>30000</v>
      </c>
      <c r="CJ71" s="176">
        <v>30000</v>
      </c>
      <c r="CK71" s="176">
        <v>30000</v>
      </c>
      <c r="CL71" s="176">
        <v>30000</v>
      </c>
      <c r="CM71" s="176">
        <v>30000</v>
      </c>
      <c r="CN71" s="176">
        <v>30000</v>
      </c>
      <c r="CO71" s="176">
        <v>30000</v>
      </c>
      <c r="CP71" s="176">
        <v>30000</v>
      </c>
      <c r="CQ71" s="176">
        <v>30000</v>
      </c>
      <c r="CR71" s="176">
        <v>30000</v>
      </c>
      <c r="CS71" s="176">
        <v>30000</v>
      </c>
      <c r="CT71" s="176">
        <v>30000</v>
      </c>
      <c r="CU71" s="176">
        <v>30000</v>
      </c>
      <c r="CV71" s="176">
        <v>30000</v>
      </c>
      <c r="CW71" s="176">
        <v>29476.669126260542</v>
      </c>
      <c r="CX71" s="176">
        <v>28628.748055037566</v>
      </c>
      <c r="CY71" s="176">
        <v>27804.074579301603</v>
      </c>
      <c r="CZ71" s="176">
        <v>27004.340556569427</v>
      </c>
      <c r="DA71" s="176">
        <v>26231.433938486851</v>
      </c>
      <c r="DB71" s="176">
        <v>25487.476604560972</v>
      </c>
      <c r="DC71" s="176">
        <v>24774.867403537501</v>
      </c>
      <c r="DD71" s="176">
        <v>24096.331479828597</v>
      </c>
      <c r="DE71" s="176">
        <v>23454.977274564411</v>
      </c>
      <c r="DF71" s="176">
        <v>22854.363026947332</v>
      </c>
      <c r="DG71" s="176">
        <v>22298.575278770462</v>
      </c>
      <c r="DH71" s="176">
        <v>21792.323127831583</v>
      </c>
      <c r="DI71" s="176">
        <v>21341.054660402344</v>
      </c>
      <c r="DJ71" s="176">
        <v>20951.108329238723</v>
      </c>
      <c r="DK71" s="176">
        <v>20629.927202649855</v>
      </c>
      <c r="DL71" s="176">
        <v>20386.399081480766</v>
      </c>
      <c r="DM71" s="176">
        <v>20231.463541288485</v>
      </c>
      <c r="DN71" s="176">
        <v>19994.796683075343</v>
      </c>
      <c r="DO71" s="176">
        <v>19817.388491210411</v>
      </c>
      <c r="DP71" s="176">
        <v>19702.772447188094</v>
      </c>
      <c r="DQ71" s="176">
        <v>19651.808143371371</v>
      </c>
      <c r="DR71" s="176">
        <v>19664.664601989807</v>
      </c>
      <c r="DS71" s="176">
        <v>19740.796328638597</v>
      </c>
      <c r="DT71" s="176">
        <v>19878.961592451134</v>
      </c>
      <c r="DU71" s="176">
        <v>20077.280443220508</v>
      </c>
      <c r="DV71" s="176">
        <v>20333.32489892673</v>
      </c>
      <c r="DW71" s="176">
        <v>20644.230358487046</v>
      </c>
      <c r="DX71" s="176">
        <v>21006.816158361817</v>
      </c>
      <c r="DY71" s="176">
        <v>21417.704168499036</v>
      </c>
      <c r="DZ71" s="176">
        <v>21873.426782712573</v>
      </c>
      <c r="EA71" s="176">
        <v>22370.518741951128</v>
      </c>
      <c r="EB71" s="176">
        <v>22905.59032255183</v>
      </c>
      <c r="EC71" s="176">
        <v>23475.381733386912</v>
      </c>
      <c r="ED71" s="176">
        <v>23880.316999268765</v>
      </c>
      <c r="EE71" s="176">
        <v>24363.172647046034</v>
      </c>
      <c r="EF71" s="176">
        <v>24915.989366423964</v>
      </c>
      <c r="EG71" s="176">
        <v>25519.476545467311</v>
      </c>
      <c r="EH71" s="176">
        <v>26161.451342625598</v>
      </c>
      <c r="EI71" s="176">
        <v>26833.728693153527</v>
      </c>
      <c r="EJ71" s="176">
        <v>27530.495390228589</v>
      </c>
      <c r="EK71" s="176">
        <v>28247.415970105132</v>
      </c>
      <c r="EL71" s="176">
        <v>28981.118162186696</v>
      </c>
      <c r="EM71" s="176">
        <v>29728.884255668148</v>
      </c>
      <c r="EN71" s="176">
        <v>30000</v>
      </c>
      <c r="EO71" s="176">
        <v>30000</v>
      </c>
      <c r="EP71" t="str">
        <f t="shared" si="1"/>
        <v>13y 32d</v>
      </c>
    </row>
    <row r="72" spans="2:146" x14ac:dyDescent="0.25">
      <c r="B72" s="70">
        <v>69</v>
      </c>
      <c r="D72">
        <v>21611347.329469919</v>
      </c>
      <c r="E72" s="12">
        <v>150550131374.32202</v>
      </c>
      <c r="F72" s="12">
        <v>-6368793271.7309294</v>
      </c>
      <c r="G72" s="12">
        <v>0</v>
      </c>
      <c r="H72" s="12">
        <v>629802073.99715638</v>
      </c>
      <c r="I72" s="12">
        <v>522348976156.82233</v>
      </c>
      <c r="J72" s="12">
        <v>-1417294612516.9631</v>
      </c>
      <c r="K72" s="12">
        <v>3925927104.3256874</v>
      </c>
      <c r="L72" s="12">
        <v>15498201.67530635</v>
      </c>
      <c r="M72" s="12">
        <v>229993737447.64771</v>
      </c>
      <c r="N72" s="12">
        <v>266729477699.65964</v>
      </c>
      <c r="O72" s="12">
        <v>294618668.76936942</v>
      </c>
      <c r="P72" s="12">
        <v>15498203.308894379</v>
      </c>
      <c r="Q72" s="12">
        <v>229993980947.57773</v>
      </c>
      <c r="R72" s="12">
        <v>266729482375.55011</v>
      </c>
      <c r="S72" s="12">
        <v>0</v>
      </c>
      <c r="T72" s="12">
        <v>35876478.810592733</v>
      </c>
      <c r="U72" s="12">
        <v>74843204485.602768</v>
      </c>
      <c r="V72" s="12">
        <v>753995988023.51294</v>
      </c>
      <c r="W72" s="12">
        <v>-268423384.41985902</v>
      </c>
      <c r="X72" s="12">
        <v>16881864.91897618</v>
      </c>
      <c r="Y72" s="12">
        <v>223968557749.30737</v>
      </c>
      <c r="Z72" s="12">
        <v>328645509530.56061</v>
      </c>
      <c r="AA72" s="12">
        <v>-14627473545.681437</v>
      </c>
      <c r="AB72" s="12"/>
      <c r="AC72" s="12"/>
      <c r="AD72" s="12"/>
      <c r="AE72" s="12"/>
      <c r="AS72" s="6">
        <v>418292039.03215545</v>
      </c>
      <c r="AT72" s="176">
        <v>30000</v>
      </c>
      <c r="AU72" s="176">
        <v>30000</v>
      </c>
      <c r="AV72" s="176">
        <v>30000</v>
      </c>
      <c r="AW72" s="176">
        <v>30000</v>
      </c>
      <c r="AX72" s="176">
        <v>30000</v>
      </c>
      <c r="AY72" s="176">
        <v>30000</v>
      </c>
      <c r="AZ72" s="176">
        <v>30000</v>
      </c>
      <c r="BA72" s="176">
        <v>30000</v>
      </c>
      <c r="BB72" s="176">
        <v>30000</v>
      </c>
      <c r="BC72" s="176">
        <v>30000</v>
      </c>
      <c r="BD72" s="176">
        <v>30000</v>
      </c>
      <c r="BE72" s="176">
        <v>30000</v>
      </c>
      <c r="BF72" s="176">
        <v>30000</v>
      </c>
      <c r="BG72" s="176">
        <v>30000</v>
      </c>
      <c r="BH72" s="176">
        <v>30000</v>
      </c>
      <c r="BI72" s="176">
        <v>30000</v>
      </c>
      <c r="BJ72" s="176">
        <v>30000</v>
      </c>
      <c r="BK72" s="176">
        <v>30000</v>
      </c>
      <c r="BL72" s="176">
        <v>30000</v>
      </c>
      <c r="BM72" s="176">
        <v>30000</v>
      </c>
      <c r="BN72" s="176">
        <v>30000</v>
      </c>
      <c r="BO72" s="176">
        <v>30000</v>
      </c>
      <c r="BP72" s="176">
        <v>30000</v>
      </c>
      <c r="BQ72" s="176">
        <v>30000</v>
      </c>
      <c r="BR72" s="176">
        <v>30000</v>
      </c>
      <c r="BS72" s="176">
        <v>30000</v>
      </c>
      <c r="BT72" s="176">
        <v>30000</v>
      </c>
      <c r="BU72" s="176">
        <v>30000</v>
      </c>
      <c r="BV72" s="176">
        <v>30000</v>
      </c>
      <c r="BW72" s="176">
        <v>30000</v>
      </c>
      <c r="BX72" s="176">
        <v>30000</v>
      </c>
      <c r="BY72" s="176">
        <v>30000</v>
      </c>
      <c r="BZ72" s="176">
        <v>30000</v>
      </c>
      <c r="CA72" s="176">
        <v>30000</v>
      </c>
      <c r="CB72" s="176">
        <v>30000</v>
      </c>
      <c r="CC72" s="176">
        <v>30000</v>
      </c>
      <c r="CD72" s="176">
        <v>30000</v>
      </c>
      <c r="CE72" s="176">
        <v>30000</v>
      </c>
      <c r="CF72" s="176">
        <v>30000</v>
      </c>
      <c r="CG72" s="176">
        <v>30000</v>
      </c>
      <c r="CH72" s="176">
        <v>30000</v>
      </c>
      <c r="CI72" s="176">
        <v>30000</v>
      </c>
      <c r="CJ72" s="176">
        <v>30000</v>
      </c>
      <c r="CK72" s="176">
        <v>30000</v>
      </c>
      <c r="CL72" s="176">
        <v>30000</v>
      </c>
      <c r="CM72" s="176">
        <v>30000</v>
      </c>
      <c r="CN72" s="176">
        <v>30000</v>
      </c>
      <c r="CO72" s="176">
        <v>30000</v>
      </c>
      <c r="CP72" s="176">
        <v>30000</v>
      </c>
      <c r="CQ72" s="176">
        <v>30000</v>
      </c>
      <c r="CR72" s="176">
        <v>30000</v>
      </c>
      <c r="CS72" s="176">
        <v>30000</v>
      </c>
      <c r="CT72" s="176">
        <v>30000</v>
      </c>
      <c r="CU72" s="176">
        <v>30000</v>
      </c>
      <c r="CV72" s="176">
        <v>30000</v>
      </c>
      <c r="CW72" s="176">
        <v>29933.940531407457</v>
      </c>
      <c r="CX72" s="176">
        <v>29073.503303786907</v>
      </c>
      <c r="CY72" s="176">
        <v>28235.485960088823</v>
      </c>
      <c r="CZ72" s="176">
        <v>27421.499168388444</v>
      </c>
      <c r="DA72" s="176">
        <v>26633.331369073501</v>
      </c>
      <c r="DB72" s="176">
        <v>25872.983840110275</v>
      </c>
      <c r="DC72" s="176">
        <v>25142.710328016954</v>
      </c>
      <c r="DD72" s="176">
        <v>24445.062118282774</v>
      </c>
      <c r="DE72" s="176">
        <v>23782.939660978824</v>
      </c>
      <c r="DF72" s="176">
        <v>23159.652197653239</v>
      </c>
      <c r="DG72" s="176">
        <v>22578.987323953632</v>
      </c>
      <c r="DH72" s="176">
        <v>22045.293258093043</v>
      </c>
      <c r="DI72" s="176">
        <v>21563.578290892961</v>
      </c>
      <c r="DJ72" s="176">
        <v>21139.635832363034</v>
      </c>
      <c r="DK72" s="176">
        <v>20780.212959129603</v>
      </c>
      <c r="DL72" s="176">
        <v>20493.262749632369</v>
      </c>
      <c r="DM72" s="176">
        <v>20288.371780058067</v>
      </c>
      <c r="DN72" s="176">
        <v>20104.934878831788</v>
      </c>
      <c r="DO72" s="176">
        <v>19896.633127169625</v>
      </c>
      <c r="DP72" s="176">
        <v>19750.613771163313</v>
      </c>
      <c r="DQ72" s="176">
        <v>19668.052913368283</v>
      </c>
      <c r="DR72" s="176">
        <v>19649.457914320967</v>
      </c>
      <c r="DS72" s="176">
        <v>19694.623588986153</v>
      </c>
      <c r="DT72" s="176">
        <v>19802.630127320477</v>
      </c>
      <c r="DU72" s="176">
        <v>19971.882991898095</v>
      </c>
      <c r="DV72" s="176">
        <v>20200.189467681812</v>
      </c>
      <c r="DW72" s="176">
        <v>20484.862184891259</v>
      </c>
      <c r="DX72" s="176">
        <v>20822.837711343163</v>
      </c>
      <c r="DY72" s="176">
        <v>21210.79820528076</v>
      </c>
      <c r="DZ72" s="176">
        <v>21645.28624104858</v>
      </c>
      <c r="EA72" s="176">
        <v>22122.805518288813</v>
      </c>
      <c r="EB72" s="176">
        <v>22639.903650893542</v>
      </c>
      <c r="EC72" s="176">
        <v>23193.235776329675</v>
      </c>
      <c r="ED72" s="176">
        <v>23680.080795749564</v>
      </c>
      <c r="EE72" s="176">
        <v>24120.420436805143</v>
      </c>
      <c r="EF72" s="176">
        <v>24643.850942151737</v>
      </c>
      <c r="EG72" s="176">
        <v>25225.712684187114</v>
      </c>
      <c r="EH72" s="176">
        <v>25850.967724657141</v>
      </c>
      <c r="EI72" s="176">
        <v>26509.820885669433</v>
      </c>
      <c r="EJ72" s="176">
        <v>27195.501109830679</v>
      </c>
      <c r="EK72" s="176">
        <v>27903.074452865047</v>
      </c>
      <c r="EL72" s="176">
        <v>28628.777446550375</v>
      </c>
      <c r="EM72" s="176">
        <v>29369.625918401816</v>
      </c>
      <c r="EN72" s="176">
        <v>30000</v>
      </c>
      <c r="EO72" s="176">
        <v>30000</v>
      </c>
      <c r="EP72" t="str">
        <f t="shared" si="1"/>
        <v>13y 93d</v>
      </c>
    </row>
    <row r="73" spans="2:146" x14ac:dyDescent="0.25">
      <c r="B73" s="70">
        <v>70</v>
      </c>
      <c r="D73">
        <v>21931344.692135796</v>
      </c>
      <c r="E73" s="12">
        <v>150508494829.60446</v>
      </c>
      <c r="F73" s="12">
        <v>3093925459.6830502</v>
      </c>
      <c r="G73" s="12">
        <v>0</v>
      </c>
      <c r="H73" s="12">
        <v>640202218.15410829</v>
      </c>
      <c r="I73" s="12">
        <v>609488089716.46436</v>
      </c>
      <c r="J73" s="12">
        <v>-1380056664108.4109</v>
      </c>
      <c r="K73" s="12">
        <v>-186454362.85919255</v>
      </c>
      <c r="L73" s="12">
        <v>16259328.468551572</v>
      </c>
      <c r="M73" s="12">
        <v>228802976063.53073</v>
      </c>
      <c r="N73" s="12">
        <v>284844221893.263</v>
      </c>
      <c r="O73" s="12">
        <v>294496194.53376508</v>
      </c>
      <c r="P73" s="12">
        <v>16259330.204456551</v>
      </c>
      <c r="Q73" s="12">
        <v>228803222548.99716</v>
      </c>
      <c r="R73" s="12">
        <v>284844227912.69116</v>
      </c>
      <c r="S73" s="12">
        <v>0</v>
      </c>
      <c r="T73" s="12">
        <v>37441090.438295871</v>
      </c>
      <c r="U73" s="12">
        <v>64394857337.801033</v>
      </c>
      <c r="V73" s="12">
        <v>771910188651.91235</v>
      </c>
      <c r="W73" s="12">
        <v>-276742570.66992593</v>
      </c>
      <c r="X73" s="12">
        <v>17754299.363804027</v>
      </c>
      <c r="Y73" s="12">
        <v>221298911352.93591</v>
      </c>
      <c r="Z73" s="12">
        <v>347655075608.70026</v>
      </c>
      <c r="AA73" s="12">
        <v>-14852498487.357784</v>
      </c>
      <c r="AB73" s="12"/>
      <c r="AC73" s="12"/>
      <c r="AD73" s="12"/>
      <c r="AE73" s="12"/>
      <c r="AS73" s="6">
        <v>423558804.26847816</v>
      </c>
      <c r="AT73" s="176">
        <v>30000</v>
      </c>
      <c r="AU73" s="176">
        <v>30000</v>
      </c>
      <c r="AV73" s="176">
        <v>30000</v>
      </c>
      <c r="AW73" s="176">
        <v>30000</v>
      </c>
      <c r="AX73" s="176">
        <v>30000</v>
      </c>
      <c r="AY73" s="176">
        <v>30000</v>
      </c>
      <c r="AZ73" s="176">
        <v>30000</v>
      </c>
      <c r="BA73" s="176">
        <v>30000</v>
      </c>
      <c r="BB73" s="176">
        <v>30000</v>
      </c>
      <c r="BC73" s="176">
        <v>30000</v>
      </c>
      <c r="BD73" s="176">
        <v>30000</v>
      </c>
      <c r="BE73" s="176">
        <v>30000</v>
      </c>
      <c r="BF73" s="176">
        <v>30000</v>
      </c>
      <c r="BG73" s="176">
        <v>30000</v>
      </c>
      <c r="BH73" s="176">
        <v>30000</v>
      </c>
      <c r="BI73" s="176">
        <v>30000</v>
      </c>
      <c r="BJ73" s="176">
        <v>30000</v>
      </c>
      <c r="BK73" s="176">
        <v>30000</v>
      </c>
      <c r="BL73" s="176">
        <v>30000</v>
      </c>
      <c r="BM73" s="176">
        <v>30000</v>
      </c>
      <c r="BN73" s="176">
        <v>30000</v>
      </c>
      <c r="BO73" s="176">
        <v>30000</v>
      </c>
      <c r="BP73" s="176">
        <v>30000</v>
      </c>
      <c r="BQ73" s="176">
        <v>30000</v>
      </c>
      <c r="BR73" s="176">
        <v>30000</v>
      </c>
      <c r="BS73" s="176">
        <v>30000</v>
      </c>
      <c r="BT73" s="176">
        <v>30000</v>
      </c>
      <c r="BU73" s="176">
        <v>30000</v>
      </c>
      <c r="BV73" s="176">
        <v>30000</v>
      </c>
      <c r="BW73" s="176">
        <v>30000</v>
      </c>
      <c r="BX73" s="176">
        <v>30000</v>
      </c>
      <c r="BY73" s="176">
        <v>30000</v>
      </c>
      <c r="BZ73" s="176">
        <v>30000</v>
      </c>
      <c r="CA73" s="176">
        <v>30000</v>
      </c>
      <c r="CB73" s="176">
        <v>30000</v>
      </c>
      <c r="CC73" s="176">
        <v>30000</v>
      </c>
      <c r="CD73" s="176">
        <v>30000</v>
      </c>
      <c r="CE73" s="176">
        <v>30000</v>
      </c>
      <c r="CF73" s="176">
        <v>30000</v>
      </c>
      <c r="CG73" s="176">
        <v>30000</v>
      </c>
      <c r="CH73" s="176">
        <v>30000</v>
      </c>
      <c r="CI73" s="176">
        <v>30000</v>
      </c>
      <c r="CJ73" s="176">
        <v>30000</v>
      </c>
      <c r="CK73" s="176">
        <v>30000</v>
      </c>
      <c r="CL73" s="176">
        <v>30000</v>
      </c>
      <c r="CM73" s="176">
        <v>30000</v>
      </c>
      <c r="CN73" s="176">
        <v>30000</v>
      </c>
      <c r="CO73" s="176">
        <v>30000</v>
      </c>
      <c r="CP73" s="176">
        <v>30000</v>
      </c>
      <c r="CQ73" s="176">
        <v>30000</v>
      </c>
      <c r="CR73" s="176">
        <v>30000</v>
      </c>
      <c r="CS73" s="176">
        <v>30000</v>
      </c>
      <c r="CT73" s="176">
        <v>30000</v>
      </c>
      <c r="CU73" s="176">
        <v>30000</v>
      </c>
      <c r="CV73" s="176">
        <v>30000</v>
      </c>
      <c r="CW73" s="176">
        <v>30000</v>
      </c>
      <c r="CX73" s="176">
        <v>29524.223653135763</v>
      </c>
      <c r="CY73" s="176">
        <v>28673.324019772317</v>
      </c>
      <c r="CZ73" s="176">
        <v>27845.586409057716</v>
      </c>
      <c r="DA73" s="176">
        <v>27042.709737575729</v>
      </c>
      <c r="DB73" s="176">
        <v>26266.58634721642</v>
      </c>
      <c r="DC73" s="176">
        <v>25519.338657680011</v>
      </c>
      <c r="DD73" s="176">
        <v>24803.36055977286</v>
      </c>
      <c r="DE73" s="176">
        <v>24121.36444362496</v>
      </c>
      <c r="DF73" s="176">
        <v>23476.435006425461</v>
      </c>
      <c r="DG73" s="176">
        <v>22872.091341582087</v>
      </c>
      <c r="DH73" s="176">
        <v>22312.359386579828</v>
      </c>
      <c r="DI73" s="176">
        <v>21801.857908176018</v>
      </c>
      <c r="DJ73" s="176">
        <v>21345.903658981348</v>
      </c>
      <c r="DK73" s="176">
        <v>20950.647237653113</v>
      </c>
      <c r="DL73" s="176">
        <v>20623.265299542072</v>
      </c>
      <c r="DM73" s="176">
        <v>20372.267840353456</v>
      </c>
      <c r="DN73" s="176">
        <v>20208.051803223043</v>
      </c>
      <c r="DO73" s="176">
        <v>19990.344332476845</v>
      </c>
      <c r="DP73" s="176">
        <v>19813.118402640845</v>
      </c>
      <c r="DQ73" s="176">
        <v>19698.999436939357</v>
      </c>
      <c r="DR73" s="176">
        <v>19648.826402241484</v>
      </c>
      <c r="DS73" s="176">
        <v>19662.737559096327</v>
      </c>
      <c r="DT73" s="176">
        <v>19740.147788115231</v>
      </c>
      <c r="DU73" s="176">
        <v>19879.768841835627</v>
      </c>
      <c r="DV73" s="176">
        <v>20079.669776460149</v>
      </c>
      <c r="DW73" s="176">
        <v>20337.369681948054</v>
      </c>
      <c r="DX73" s="176">
        <v>20649.951465410715</v>
      </c>
      <c r="DY73" s="176">
        <v>21014.184376226753</v>
      </c>
      <c r="DZ73" s="176">
        <v>21426.644053547643</v>
      </c>
      <c r="EA73" s="176">
        <v>21883.821406909046</v>
      </c>
      <c r="EB73" s="176">
        <v>22382.214890356248</v>
      </c>
      <c r="EC73" s="176">
        <v>22918.40368079934</v>
      </c>
      <c r="ED73" s="176">
        <v>23489.101870968207</v>
      </c>
      <c r="EE73" s="176">
        <v>23894.098575645963</v>
      </c>
      <c r="EF73" s="176">
        <v>24383.310992985702</v>
      </c>
      <c r="EG73" s="176">
        <v>24940.718214896031</v>
      </c>
      <c r="EH73" s="176">
        <v>25547.48139969496</v>
      </c>
      <c r="EI73" s="176">
        <v>26191.729760597053</v>
      </c>
      <c r="EJ73" s="176">
        <v>26865.492355275517</v>
      </c>
      <c r="EK73" s="176">
        <v>27563.104498325833</v>
      </c>
      <c r="EL73" s="176">
        <v>28280.335842347915</v>
      </c>
      <c r="EM73" s="176">
        <v>29013.890518303851</v>
      </c>
      <c r="EN73" s="176">
        <v>29761.108136361134</v>
      </c>
      <c r="EO73" s="176">
        <v>30000</v>
      </c>
      <c r="EP73" t="str">
        <f t="shared" si="1"/>
        <v>13y 154d</v>
      </c>
    </row>
    <row r="74" spans="2:146" x14ac:dyDescent="0.25">
      <c r="B74" s="70">
        <v>71</v>
      </c>
      <c r="D74">
        <v>22250720.465183027</v>
      </c>
      <c r="E74" s="12">
        <v>149869630877.98987</v>
      </c>
      <c r="F74" s="12">
        <v>12525990539.255205</v>
      </c>
      <c r="G74" s="12">
        <v>0</v>
      </c>
      <c r="H74" s="12">
        <v>650574763.15479791</v>
      </c>
      <c r="I74" s="12">
        <v>693860159043.01953</v>
      </c>
      <c r="J74" s="12">
        <v>-1337175535669.8311</v>
      </c>
      <c r="K74" s="12">
        <v>-4287150697.1858273</v>
      </c>
      <c r="L74" s="12">
        <v>17079157.117872894</v>
      </c>
      <c r="M74" s="12">
        <v>227117659437.88477</v>
      </c>
      <c r="N74" s="12">
        <v>303854486540.85504</v>
      </c>
      <c r="O74" s="12">
        <v>293845913.56115639</v>
      </c>
      <c r="P74" s="12">
        <v>17079158.961927306</v>
      </c>
      <c r="Q74" s="12">
        <v>227117908735.16699</v>
      </c>
      <c r="R74" s="12">
        <v>303854493981.0813</v>
      </c>
      <c r="S74" s="12">
        <v>0</v>
      </c>
      <c r="T74" s="12">
        <v>39076242.68775747</v>
      </c>
      <c r="U74" s="12">
        <v>53427412802.686012</v>
      </c>
      <c r="V74" s="12">
        <v>790055873162.48438</v>
      </c>
      <c r="W74" s="12">
        <v>-285230252.95212412</v>
      </c>
      <c r="X74" s="12">
        <v>18691727.749476757</v>
      </c>
      <c r="Y74" s="12">
        <v>218075767130.48218</v>
      </c>
      <c r="Z74" s="12">
        <v>367523476936.3736</v>
      </c>
      <c r="AA74" s="12">
        <v>-15070483014.203299</v>
      </c>
      <c r="AB74" s="12"/>
      <c r="AC74" s="12"/>
      <c r="AD74" s="12"/>
      <c r="AE74" s="12"/>
      <c r="AS74" s="6">
        <v>428825569.50480086</v>
      </c>
      <c r="AT74" s="176">
        <v>30000</v>
      </c>
      <c r="AU74" s="176">
        <v>30000</v>
      </c>
      <c r="AV74" s="176">
        <v>30000</v>
      </c>
      <c r="AW74" s="176">
        <v>30000</v>
      </c>
      <c r="AX74" s="176">
        <v>30000</v>
      </c>
      <c r="AY74" s="176">
        <v>30000</v>
      </c>
      <c r="AZ74" s="176">
        <v>30000</v>
      </c>
      <c r="BA74" s="176">
        <v>30000</v>
      </c>
      <c r="BB74" s="176">
        <v>30000</v>
      </c>
      <c r="BC74" s="176">
        <v>30000</v>
      </c>
      <c r="BD74" s="176">
        <v>30000</v>
      </c>
      <c r="BE74" s="176">
        <v>30000</v>
      </c>
      <c r="BF74" s="176">
        <v>30000</v>
      </c>
      <c r="BG74" s="176">
        <v>30000</v>
      </c>
      <c r="BH74" s="176">
        <v>30000</v>
      </c>
      <c r="BI74" s="176">
        <v>30000</v>
      </c>
      <c r="BJ74" s="176">
        <v>30000</v>
      </c>
      <c r="BK74" s="176">
        <v>30000</v>
      </c>
      <c r="BL74" s="176">
        <v>30000</v>
      </c>
      <c r="BM74" s="176">
        <v>30000</v>
      </c>
      <c r="BN74" s="176">
        <v>30000</v>
      </c>
      <c r="BO74" s="176">
        <v>30000</v>
      </c>
      <c r="BP74" s="176">
        <v>30000</v>
      </c>
      <c r="BQ74" s="176">
        <v>30000</v>
      </c>
      <c r="BR74" s="176">
        <v>30000</v>
      </c>
      <c r="BS74" s="176">
        <v>30000</v>
      </c>
      <c r="BT74" s="176">
        <v>30000</v>
      </c>
      <c r="BU74" s="176">
        <v>30000</v>
      </c>
      <c r="BV74" s="176">
        <v>30000</v>
      </c>
      <c r="BW74" s="176">
        <v>30000</v>
      </c>
      <c r="BX74" s="176">
        <v>30000</v>
      </c>
      <c r="BY74" s="176">
        <v>30000</v>
      </c>
      <c r="BZ74" s="176">
        <v>30000</v>
      </c>
      <c r="CA74" s="176">
        <v>30000</v>
      </c>
      <c r="CB74" s="176">
        <v>30000</v>
      </c>
      <c r="CC74" s="176">
        <v>30000</v>
      </c>
      <c r="CD74" s="176">
        <v>30000</v>
      </c>
      <c r="CE74" s="176">
        <v>30000</v>
      </c>
      <c r="CF74" s="176">
        <v>30000</v>
      </c>
      <c r="CG74" s="176">
        <v>30000</v>
      </c>
      <c r="CH74" s="176">
        <v>30000</v>
      </c>
      <c r="CI74" s="176">
        <v>30000</v>
      </c>
      <c r="CJ74" s="176">
        <v>30000</v>
      </c>
      <c r="CK74" s="176">
        <v>30000</v>
      </c>
      <c r="CL74" s="176">
        <v>30000</v>
      </c>
      <c r="CM74" s="176">
        <v>30000</v>
      </c>
      <c r="CN74" s="176">
        <v>30000</v>
      </c>
      <c r="CO74" s="176">
        <v>30000</v>
      </c>
      <c r="CP74" s="176">
        <v>30000</v>
      </c>
      <c r="CQ74" s="176">
        <v>30000</v>
      </c>
      <c r="CR74" s="176">
        <v>30000</v>
      </c>
      <c r="CS74" s="176">
        <v>30000</v>
      </c>
      <c r="CT74" s="176">
        <v>30000</v>
      </c>
      <c r="CU74" s="176">
        <v>30000</v>
      </c>
      <c r="CV74" s="176">
        <v>30000</v>
      </c>
      <c r="CW74" s="176">
        <v>30000</v>
      </c>
      <c r="CX74" s="176">
        <v>29980.68346699719</v>
      </c>
      <c r="CY74" s="176">
        <v>29117.346974959939</v>
      </c>
      <c r="CZ74" s="176">
        <v>28276.339966885746</v>
      </c>
      <c r="DA74" s="176">
        <v>27459.281061821614</v>
      </c>
      <c r="DB74" s="176">
        <v>26667.964374092193</v>
      </c>
      <c r="DC74" s="176">
        <v>25904.393549104232</v>
      </c>
      <c r="DD74" s="176">
        <v>25170.81996278228</v>
      </c>
      <c r="DE74" s="176">
        <v>24469.785799316924</v>
      </c>
      <c r="DF74" s="176">
        <v>23804.172910171743</v>
      </c>
      <c r="DG74" s="176">
        <v>23177.258619614793</v>
      </c>
      <c r="DH74" s="176">
        <v>22592.780044861967</v>
      </c>
      <c r="DI74" s="176">
        <v>22055.009222943452</v>
      </c>
      <c r="DJ74" s="176">
        <v>21568.842877703479</v>
      </c>
      <c r="DK74" s="176">
        <v>21139.914312542132</v>
      </c>
      <c r="DL74" s="176">
        <v>20774.743718356971</v>
      </c>
      <c r="DM74" s="176">
        <v>20480.964361141407</v>
      </c>
      <c r="DN74" s="176">
        <v>20267.709442179614</v>
      </c>
      <c r="DO74" s="176">
        <v>20098.381186591803</v>
      </c>
      <c r="DP74" s="176">
        <v>19890.218535139353</v>
      </c>
      <c r="DQ74" s="176">
        <v>19744.659110635635</v>
      </c>
      <c r="DR74" s="176">
        <v>19662.862248573052</v>
      </c>
      <c r="DS74" s="176">
        <v>19645.307955240591</v>
      </c>
      <c r="DT74" s="176">
        <v>19691.754066629303</v>
      </c>
      <c r="DU74" s="176">
        <v>19801.235921319043</v>
      </c>
      <c r="DV74" s="176">
        <v>19972.108584001689</v>
      </c>
      <c r="DW74" s="176">
        <v>20202.125987871801</v>
      </c>
      <c r="DX74" s="176">
        <v>20488.54699943024</v>
      </c>
      <c r="DY74" s="176">
        <v>20828.256182371602</v>
      </c>
      <c r="DZ74" s="176">
        <v>21217.887225286122</v>
      </c>
      <c r="EA74" s="176">
        <v>21653.938827510792</v>
      </c>
      <c r="EB74" s="176">
        <v>22132.876076664877</v>
      </c>
      <c r="EC74" s="176">
        <v>22651.213356254997</v>
      </c>
      <c r="ED74" s="176">
        <v>23205.577820797203</v>
      </c>
      <c r="EE74" s="176">
        <v>23687.23224454782</v>
      </c>
      <c r="EF74" s="176">
        <v>24135.979816279247</v>
      </c>
      <c r="EG74" s="176">
        <v>24665.416189270367</v>
      </c>
      <c r="EH74" s="176">
        <v>25251.559768893669</v>
      </c>
      <c r="EI74" s="176">
        <v>25879.827321342294</v>
      </c>
      <c r="EJ74" s="176">
        <v>26540.72734723465</v>
      </c>
      <c r="EK74" s="176">
        <v>27227.694168966009</v>
      </c>
      <c r="EL74" s="176">
        <v>27935.935675053806</v>
      </c>
      <c r="EM74" s="176">
        <v>28661.788954093896</v>
      </c>
      <c r="EN74" s="176">
        <v>29402.343342920052</v>
      </c>
      <c r="EO74" s="176">
        <v>30000</v>
      </c>
      <c r="EP74" t="str">
        <f t="shared" si="1"/>
        <v>13y 215d</v>
      </c>
    </row>
    <row r="75" spans="2:146" x14ac:dyDescent="0.25">
      <c r="B75" s="70">
        <v>72</v>
      </c>
      <c r="D75">
        <v>22569461.160013307</v>
      </c>
      <c r="E75" s="12">
        <v>148637861734.81952</v>
      </c>
      <c r="F75" s="12">
        <v>21889645461.149532</v>
      </c>
      <c r="G75" s="12">
        <v>0</v>
      </c>
      <c r="H75" s="12">
        <v>660915332.5210892</v>
      </c>
      <c r="I75" s="12">
        <v>775090054397.34875</v>
      </c>
      <c r="J75" s="12">
        <v>-1288872168259.5703</v>
      </c>
      <c r="K75" s="12">
        <v>-8357402074.6190538</v>
      </c>
      <c r="L75" s="12">
        <v>17963806.590035118</v>
      </c>
      <c r="M75" s="12">
        <v>224883658253.2908</v>
      </c>
      <c r="N75" s="12">
        <v>323811770273.37372</v>
      </c>
      <c r="O75" s="12">
        <v>292606709.89931202</v>
      </c>
      <c r="P75" s="12">
        <v>17963808.54831076</v>
      </c>
      <c r="Q75" s="12">
        <v>224883910161.89001</v>
      </c>
      <c r="R75" s="12">
        <v>323811779213.3006</v>
      </c>
      <c r="S75" s="12">
        <v>0</v>
      </c>
      <c r="T75" s="12">
        <v>40785097.229834996</v>
      </c>
      <c r="U75" s="12">
        <v>41924891913.676758</v>
      </c>
      <c r="V75" s="12">
        <v>808416587943.30078</v>
      </c>
      <c r="W75" s="12">
        <v>-293882852.0267368</v>
      </c>
      <c r="X75" s="12">
        <v>19700450.959343474</v>
      </c>
      <c r="Y75" s="12">
        <v>214244872199.75739</v>
      </c>
      <c r="Z75" s="12">
        <v>388291553308.52295</v>
      </c>
      <c r="AA75" s="12">
        <v>-15279982036.820799</v>
      </c>
      <c r="AB75" s="12"/>
      <c r="AC75" s="12"/>
      <c r="AD75" s="12"/>
      <c r="AE75" s="12"/>
      <c r="AS75" s="6">
        <v>434092334.74112356</v>
      </c>
      <c r="AT75" s="176">
        <v>30000</v>
      </c>
      <c r="AU75" s="176">
        <v>30000</v>
      </c>
      <c r="AV75" s="176">
        <v>30000</v>
      </c>
      <c r="AW75" s="176">
        <v>30000</v>
      </c>
      <c r="AX75" s="176">
        <v>30000</v>
      </c>
      <c r="AY75" s="176">
        <v>30000</v>
      </c>
      <c r="AZ75" s="176">
        <v>30000</v>
      </c>
      <c r="BA75" s="176">
        <v>30000</v>
      </c>
      <c r="BB75" s="176">
        <v>30000</v>
      </c>
      <c r="BC75" s="176">
        <v>30000</v>
      </c>
      <c r="BD75" s="176">
        <v>30000</v>
      </c>
      <c r="BE75" s="176">
        <v>30000</v>
      </c>
      <c r="BF75" s="176">
        <v>30000</v>
      </c>
      <c r="BG75" s="176">
        <v>30000</v>
      </c>
      <c r="BH75" s="176">
        <v>30000</v>
      </c>
      <c r="BI75" s="176">
        <v>30000</v>
      </c>
      <c r="BJ75" s="176">
        <v>30000</v>
      </c>
      <c r="BK75" s="176">
        <v>30000</v>
      </c>
      <c r="BL75" s="176">
        <v>30000</v>
      </c>
      <c r="BM75" s="176">
        <v>30000</v>
      </c>
      <c r="BN75" s="176">
        <v>30000</v>
      </c>
      <c r="BO75" s="176">
        <v>30000</v>
      </c>
      <c r="BP75" s="176">
        <v>30000</v>
      </c>
      <c r="BQ75" s="176">
        <v>30000</v>
      </c>
      <c r="BR75" s="176">
        <v>30000</v>
      </c>
      <c r="BS75" s="176">
        <v>30000</v>
      </c>
      <c r="BT75" s="176">
        <v>30000</v>
      </c>
      <c r="BU75" s="176">
        <v>30000</v>
      </c>
      <c r="BV75" s="176">
        <v>30000</v>
      </c>
      <c r="BW75" s="176">
        <v>30000</v>
      </c>
      <c r="BX75" s="176">
        <v>30000</v>
      </c>
      <c r="BY75" s="176">
        <v>30000</v>
      </c>
      <c r="BZ75" s="176">
        <v>30000</v>
      </c>
      <c r="CA75" s="176">
        <v>30000</v>
      </c>
      <c r="CB75" s="176">
        <v>30000</v>
      </c>
      <c r="CC75" s="176">
        <v>30000</v>
      </c>
      <c r="CD75" s="176">
        <v>30000</v>
      </c>
      <c r="CE75" s="176">
        <v>30000</v>
      </c>
      <c r="CF75" s="176">
        <v>30000</v>
      </c>
      <c r="CG75" s="176">
        <v>30000</v>
      </c>
      <c r="CH75" s="176">
        <v>30000</v>
      </c>
      <c r="CI75" s="176">
        <v>30000</v>
      </c>
      <c r="CJ75" s="176">
        <v>30000</v>
      </c>
      <c r="CK75" s="176">
        <v>30000</v>
      </c>
      <c r="CL75" s="176">
        <v>30000</v>
      </c>
      <c r="CM75" s="176">
        <v>30000</v>
      </c>
      <c r="CN75" s="176">
        <v>30000</v>
      </c>
      <c r="CO75" s="176">
        <v>30000</v>
      </c>
      <c r="CP75" s="176">
        <v>30000</v>
      </c>
      <c r="CQ75" s="176">
        <v>30000</v>
      </c>
      <c r="CR75" s="176">
        <v>30000</v>
      </c>
      <c r="CS75" s="176">
        <v>30000</v>
      </c>
      <c r="CT75" s="176">
        <v>30000</v>
      </c>
      <c r="CU75" s="176">
        <v>30000</v>
      </c>
      <c r="CV75" s="176">
        <v>30000</v>
      </c>
      <c r="CW75" s="176">
        <v>30000</v>
      </c>
      <c r="CX75" s="176">
        <v>30000</v>
      </c>
      <c r="CY75" s="176">
        <v>29567.324955138633</v>
      </c>
      <c r="CZ75" s="176">
        <v>28713.511407327242</v>
      </c>
      <c r="DA75" s="176">
        <v>27882.773587296033</v>
      </c>
      <c r="DB75" s="176">
        <v>27076.817242635243</v>
      </c>
      <c r="DC75" s="176">
        <v>26297.538725132377</v>
      </c>
      <c r="DD75" s="176">
        <v>25547.060400118364</v>
      </c>
      <c r="DE75" s="176">
        <v>24827.770312533234</v>
      </c>
      <c r="DF75" s="176">
        <v>24142.366818468778</v>
      </c>
      <c r="DG75" s="176">
        <v>23493.909081748388</v>
      </c>
      <c r="DH75" s="176">
        <v>22885.874618447997</v>
      </c>
      <c r="DI75" s="176">
        <v>22322.225555107823</v>
      </c>
      <c r="DJ75" s="176">
        <v>21807.486253256611</v>
      </c>
      <c r="DK75" s="176">
        <v>21346.837130559848</v>
      </c>
      <c r="DL75" s="176">
        <v>20946.235239904585</v>
      </c>
      <c r="DM75" s="176">
        <v>20612.584999933759</v>
      </c>
      <c r="DN75" s="176">
        <v>20354.013701446864</v>
      </c>
      <c r="DO75" s="176">
        <v>20180.374174914468</v>
      </c>
      <c r="DP75" s="176">
        <v>19981.809762715537</v>
      </c>
      <c r="DQ75" s="176">
        <v>19805.004154078131</v>
      </c>
      <c r="DR75" s="176">
        <v>19691.618167107543</v>
      </c>
      <c r="DS75" s="176">
        <v>19642.467085190608</v>
      </c>
      <c r="DT75" s="176">
        <v>19657.655204812523</v>
      </c>
      <c r="DU75" s="176">
        <v>19736.554645083594</v>
      </c>
      <c r="DV75" s="176">
        <v>19877.827776602287</v>
      </c>
      <c r="DW75" s="176">
        <v>20079.490240063988</v>
      </c>
      <c r="DX75" s="176">
        <v>20339.006340295746</v>
      </c>
      <c r="DY75" s="176">
        <v>20653.405241977893</v>
      </c>
      <c r="DZ75" s="176">
        <v>21019.405489894725</v>
      </c>
      <c r="EA75" s="176">
        <v>21433.536415676313</v>
      </c>
      <c r="EB75" s="176">
        <v>21892.247878927505</v>
      </c>
      <c r="EC75" s="176">
        <v>22392.002826719068</v>
      </c>
      <c r="ED75" s="176">
        <v>22929.35043201844</v>
      </c>
      <c r="EE75" s="176">
        <v>23500.979952549154</v>
      </c>
      <c r="EF75" s="176">
        <v>23903.922156036049</v>
      </c>
      <c r="EG75" s="176">
        <v>24400.942693115932</v>
      </c>
      <c r="EH75" s="176">
        <v>24963.876358661855</v>
      </c>
      <c r="EI75" s="176">
        <v>25574.541761872482</v>
      </c>
      <c r="EJ75" s="176">
        <v>26221.496029715461</v>
      </c>
      <c r="EK75" s="176">
        <v>26897.050703396944</v>
      </c>
      <c r="EL75" s="176">
        <v>27595.731706150593</v>
      </c>
      <c r="EM75" s="176">
        <v>28313.440752785755</v>
      </c>
      <c r="EN75" s="176">
        <v>29046.97625798166</v>
      </c>
      <c r="EO75" s="176">
        <v>29793.747423034354</v>
      </c>
      <c r="EP75" t="str">
        <f t="shared" si="1"/>
        <v>13y 276d</v>
      </c>
    </row>
    <row r="76" spans="2:146" x14ac:dyDescent="0.25">
      <c r="B76" s="70">
        <v>73</v>
      </c>
      <c r="D76">
        <v>22887555.912666447</v>
      </c>
      <c r="E76" s="12">
        <v>146819898573.80087</v>
      </c>
      <c r="F76" s="12">
        <v>31147635493.487907</v>
      </c>
      <c r="G76" s="12">
        <v>0</v>
      </c>
      <c r="H76" s="12">
        <v>671219736.50643945</v>
      </c>
      <c r="I76" s="12">
        <v>852822330687.81396</v>
      </c>
      <c r="J76" s="12">
        <v>-1235393852426.3604</v>
      </c>
      <c r="K76" s="12">
        <v>-12378772118.929878</v>
      </c>
      <c r="L76" s="12">
        <v>18920125.498986818</v>
      </c>
      <c r="M76" s="12">
        <v>222040803496.34073</v>
      </c>
      <c r="N76" s="12">
        <v>344769496667.01233</v>
      </c>
      <c r="O76" s="12">
        <v>290710373.37025899</v>
      </c>
      <c r="P76" s="12">
        <v>18920127.577765394</v>
      </c>
      <c r="Q76" s="12">
        <v>222041057785.6492</v>
      </c>
      <c r="R76" s="12">
        <v>344769507186.8382</v>
      </c>
      <c r="S76" s="12">
        <v>0</v>
      </c>
      <c r="T76" s="12">
        <v>42570895.640131362</v>
      </c>
      <c r="U76" s="12">
        <v>29871785322.730038</v>
      </c>
      <c r="V76" s="12">
        <v>826973426873.578</v>
      </c>
      <c r="W76" s="12">
        <v>-302695802.31646341</v>
      </c>
      <c r="X76" s="12">
        <v>20787450.541087128</v>
      </c>
      <c r="Y76" s="12">
        <v>209746766937.44678</v>
      </c>
      <c r="Z76" s="12">
        <v>410000451745.08624</v>
      </c>
      <c r="AA76" s="12">
        <v>-15479348853.963593</v>
      </c>
      <c r="AB76" s="12"/>
      <c r="AC76" s="12"/>
      <c r="AD76" s="12"/>
      <c r="AE76" s="12"/>
      <c r="AS76" s="6">
        <v>439359099.97744626</v>
      </c>
      <c r="AT76" s="176">
        <v>30000</v>
      </c>
      <c r="AU76" s="176">
        <v>30000</v>
      </c>
      <c r="AV76" s="176">
        <v>30000</v>
      </c>
      <c r="AW76" s="176">
        <v>30000</v>
      </c>
      <c r="AX76" s="176">
        <v>30000</v>
      </c>
      <c r="AY76" s="176">
        <v>30000</v>
      </c>
      <c r="AZ76" s="176">
        <v>30000</v>
      </c>
      <c r="BA76" s="176">
        <v>30000</v>
      </c>
      <c r="BB76" s="176">
        <v>30000</v>
      </c>
      <c r="BC76" s="176">
        <v>30000</v>
      </c>
      <c r="BD76" s="176">
        <v>30000</v>
      </c>
      <c r="BE76" s="176">
        <v>30000</v>
      </c>
      <c r="BF76" s="176">
        <v>30000</v>
      </c>
      <c r="BG76" s="176">
        <v>30000</v>
      </c>
      <c r="BH76" s="176">
        <v>30000</v>
      </c>
      <c r="BI76" s="176">
        <v>30000</v>
      </c>
      <c r="BJ76" s="176">
        <v>30000</v>
      </c>
      <c r="BK76" s="176">
        <v>30000</v>
      </c>
      <c r="BL76" s="176">
        <v>30000</v>
      </c>
      <c r="BM76" s="176">
        <v>30000</v>
      </c>
      <c r="BN76" s="176">
        <v>30000</v>
      </c>
      <c r="BO76" s="176">
        <v>30000</v>
      </c>
      <c r="BP76" s="176">
        <v>30000</v>
      </c>
      <c r="BQ76" s="176">
        <v>30000</v>
      </c>
      <c r="BR76" s="176">
        <v>30000</v>
      </c>
      <c r="BS76" s="176">
        <v>30000</v>
      </c>
      <c r="BT76" s="176">
        <v>30000</v>
      </c>
      <c r="BU76" s="176">
        <v>30000</v>
      </c>
      <c r="BV76" s="176">
        <v>30000</v>
      </c>
      <c r="BW76" s="176">
        <v>30000</v>
      </c>
      <c r="BX76" s="176">
        <v>30000</v>
      </c>
      <c r="BY76" s="176">
        <v>30000</v>
      </c>
      <c r="BZ76" s="176">
        <v>30000</v>
      </c>
      <c r="CA76" s="176">
        <v>30000</v>
      </c>
      <c r="CB76" s="176">
        <v>30000</v>
      </c>
      <c r="CC76" s="176">
        <v>30000</v>
      </c>
      <c r="CD76" s="176">
        <v>30000</v>
      </c>
      <c r="CE76" s="176">
        <v>30000</v>
      </c>
      <c r="CF76" s="176">
        <v>30000</v>
      </c>
      <c r="CG76" s="176">
        <v>30000</v>
      </c>
      <c r="CH76" s="176">
        <v>30000</v>
      </c>
      <c r="CI76" s="176">
        <v>30000</v>
      </c>
      <c r="CJ76" s="176">
        <v>30000</v>
      </c>
      <c r="CK76" s="176">
        <v>30000</v>
      </c>
      <c r="CL76" s="176">
        <v>30000</v>
      </c>
      <c r="CM76" s="176">
        <v>30000</v>
      </c>
      <c r="CN76" s="176">
        <v>30000</v>
      </c>
      <c r="CO76" s="176">
        <v>30000</v>
      </c>
      <c r="CP76" s="176">
        <v>30000</v>
      </c>
      <c r="CQ76" s="176">
        <v>30000</v>
      </c>
      <c r="CR76" s="176">
        <v>30000</v>
      </c>
      <c r="CS76" s="176">
        <v>30000</v>
      </c>
      <c r="CT76" s="176">
        <v>30000</v>
      </c>
      <c r="CU76" s="176">
        <v>30000</v>
      </c>
      <c r="CV76" s="176">
        <v>30000</v>
      </c>
      <c r="CW76" s="176">
        <v>30000</v>
      </c>
      <c r="CX76" s="176">
        <v>30000</v>
      </c>
      <c r="CY76" s="176">
        <v>30000</v>
      </c>
      <c r="CZ76" s="176">
        <v>29156.865316440271</v>
      </c>
      <c r="DA76" s="176">
        <v>28312.930772635853</v>
      </c>
      <c r="DB76" s="176">
        <v>27492.86212121405</v>
      </c>
      <c r="DC76" s="176">
        <v>26698.458957024657</v>
      </c>
      <c r="DD76" s="176">
        <v>25931.726939523549</v>
      </c>
      <c r="DE76" s="176">
        <v>25194.914496113284</v>
      </c>
      <c r="DF76" s="176">
        <v>24490.553825170791</v>
      </c>
      <c r="DG76" s="176">
        <v>23821.506887278359</v>
      </c>
      <c r="DH76" s="176">
        <v>23191.017270290526</v>
      </c>
      <c r="DI76" s="176">
        <v>22602.769136928957</v>
      </c>
      <c r="DJ76" s="176">
        <v>22060.955096497877</v>
      </c>
      <c r="DK76" s="176">
        <v>21570.356167276386</v>
      </c>
      <c r="DL76" s="176">
        <v>21136.440601716178</v>
      </c>
      <c r="DM76" s="176">
        <v>20765.496229443277</v>
      </c>
      <c r="DN76" s="176">
        <v>20464.831042664453</v>
      </c>
      <c r="DO76" s="176">
        <v>20243.120959450796</v>
      </c>
      <c r="DP76" s="176">
        <v>20087.753512414776</v>
      </c>
      <c r="DQ76" s="176">
        <v>19879.969052296939</v>
      </c>
      <c r="DR76" s="176">
        <v>19735.107707567469</v>
      </c>
      <c r="DS76" s="176">
        <v>19654.309022535559</v>
      </c>
      <c r="DT76" s="176">
        <v>19638.022398732963</v>
      </c>
      <c r="DU76" s="176">
        <v>19685.965424895818</v>
      </c>
      <c r="DV76" s="176">
        <v>19797.125518536082</v>
      </c>
      <c r="DW76" s="176">
        <v>19969.80466928098</v>
      </c>
      <c r="DX76" s="176">
        <v>20201.701322226159</v>
      </c>
      <c r="DY76" s="176">
        <v>20490.019049272796</v>
      </c>
      <c r="DZ76" s="176">
        <v>20831.589569610474</v>
      </c>
      <c r="EA76" s="176">
        <v>21222.997800218272</v>
      </c>
      <c r="EB76" s="176">
        <v>21660.698855032864</v>
      </c>
      <c r="EC76" s="176">
        <v>22141.119893354029</v>
      </c>
      <c r="ED76" s="176">
        <v>22660.743110840336</v>
      </c>
      <c r="EE76" s="176">
        <v>23216.168948117054</v>
      </c>
      <c r="EF76" s="176">
        <v>23689.841137624091</v>
      </c>
      <c r="EG76" s="176">
        <v>24148.720678574769</v>
      </c>
      <c r="EH76" s="176">
        <v>24685.242082765631</v>
      </c>
      <c r="EI76" s="176">
        <v>25276.371327707257</v>
      </c>
      <c r="EJ76" s="176">
        <v>25908.126489277267</v>
      </c>
      <c r="EK76" s="176">
        <v>26571.403634375638</v>
      </c>
      <c r="EL76" s="176">
        <v>27259.892742042583</v>
      </c>
      <c r="EM76" s="176">
        <v>27968.974970396102</v>
      </c>
      <c r="EN76" s="176">
        <v>28695.108399002685</v>
      </c>
      <c r="EO76" s="176">
        <v>29435.469641373518</v>
      </c>
      <c r="EP76" t="str">
        <f t="shared" si="1"/>
        <v>13y 337d</v>
      </c>
    </row>
    <row r="77" spans="2:146" x14ac:dyDescent="0.25">
      <c r="B77" s="70">
        <v>74</v>
      </c>
      <c r="D77">
        <v>23204996.505293794</v>
      </c>
      <c r="E77" s="12">
        <v>144424785326.29065</v>
      </c>
      <c r="F77" s="12">
        <v>40263358337.680252</v>
      </c>
      <c r="G77" s="12">
        <v>0</v>
      </c>
      <c r="H77" s="12">
        <v>681483994.04369462</v>
      </c>
      <c r="I77" s="12">
        <v>926723191036.54333</v>
      </c>
      <c r="J77" s="12">
        <v>-1177012203787.7754</v>
      </c>
      <c r="K77" s="12">
        <v>-16333261216.657755</v>
      </c>
      <c r="L77" s="12">
        <v>19955784.287815526</v>
      </c>
      <c r="M77" s="12">
        <v>218522275676.97147</v>
      </c>
      <c r="N77" s="12">
        <v>366782688789.47595</v>
      </c>
      <c r="O77" s="12">
        <v>288080844.72063941</v>
      </c>
      <c r="P77" s="12">
        <v>19955786.493544929</v>
      </c>
      <c r="Q77" s="12">
        <v>218522532082.5809</v>
      </c>
      <c r="R77" s="12">
        <v>366782700970.27002</v>
      </c>
      <c r="S77" s="12">
        <v>0</v>
      </c>
      <c r="T77" s="12">
        <v>44436950.46862568</v>
      </c>
      <c r="U77" s="12">
        <v>17253213989.902981</v>
      </c>
      <c r="V77" s="12">
        <v>845704848869.89209</v>
      </c>
      <c r="W77" s="12">
        <v>-311663458.55720264</v>
      </c>
      <c r="X77" s="12">
        <v>21960462.599462926</v>
      </c>
      <c r="Y77" s="12">
        <v>204516389242.51782</v>
      </c>
      <c r="Z77" s="12">
        <v>432691122226.0412</v>
      </c>
      <c r="AA77" s="12">
        <v>-15666710638.185593</v>
      </c>
      <c r="AB77" s="12"/>
      <c r="AC77" s="12"/>
      <c r="AD77" s="12"/>
      <c r="AE77" s="12"/>
      <c r="AS77" s="6">
        <v>444625865.21376896</v>
      </c>
      <c r="AT77" s="176">
        <v>30000</v>
      </c>
      <c r="AU77" s="176">
        <v>30000</v>
      </c>
      <c r="AV77" s="176">
        <v>30000</v>
      </c>
      <c r="AW77" s="176">
        <v>30000</v>
      </c>
      <c r="AX77" s="176">
        <v>30000</v>
      </c>
      <c r="AY77" s="176">
        <v>30000</v>
      </c>
      <c r="AZ77" s="176">
        <v>30000</v>
      </c>
      <c r="BA77" s="176">
        <v>30000</v>
      </c>
      <c r="BB77" s="176">
        <v>30000</v>
      </c>
      <c r="BC77" s="176">
        <v>30000</v>
      </c>
      <c r="BD77" s="176">
        <v>30000</v>
      </c>
      <c r="BE77" s="176">
        <v>30000</v>
      </c>
      <c r="BF77" s="176">
        <v>30000</v>
      </c>
      <c r="BG77" s="176">
        <v>30000</v>
      </c>
      <c r="BH77" s="176">
        <v>30000</v>
      </c>
      <c r="BI77" s="176">
        <v>30000</v>
      </c>
      <c r="BJ77" s="176">
        <v>30000</v>
      </c>
      <c r="BK77" s="176">
        <v>30000</v>
      </c>
      <c r="BL77" s="176">
        <v>30000</v>
      </c>
      <c r="BM77" s="176">
        <v>30000</v>
      </c>
      <c r="BN77" s="176">
        <v>30000</v>
      </c>
      <c r="BO77" s="176">
        <v>30000</v>
      </c>
      <c r="BP77" s="176">
        <v>30000</v>
      </c>
      <c r="BQ77" s="176">
        <v>30000</v>
      </c>
      <c r="BR77" s="176">
        <v>30000</v>
      </c>
      <c r="BS77" s="176">
        <v>30000</v>
      </c>
      <c r="BT77" s="176">
        <v>30000</v>
      </c>
      <c r="BU77" s="176">
        <v>30000</v>
      </c>
      <c r="BV77" s="176">
        <v>30000</v>
      </c>
      <c r="BW77" s="176">
        <v>30000</v>
      </c>
      <c r="BX77" s="176">
        <v>30000</v>
      </c>
      <c r="BY77" s="176">
        <v>30000</v>
      </c>
      <c r="BZ77" s="176">
        <v>30000</v>
      </c>
      <c r="CA77" s="176">
        <v>30000</v>
      </c>
      <c r="CB77" s="176">
        <v>30000</v>
      </c>
      <c r="CC77" s="176">
        <v>30000</v>
      </c>
      <c r="CD77" s="176">
        <v>30000</v>
      </c>
      <c r="CE77" s="176">
        <v>30000</v>
      </c>
      <c r="CF77" s="176">
        <v>30000</v>
      </c>
      <c r="CG77" s="176">
        <v>30000</v>
      </c>
      <c r="CH77" s="176">
        <v>30000</v>
      </c>
      <c r="CI77" s="176">
        <v>30000</v>
      </c>
      <c r="CJ77" s="176">
        <v>30000</v>
      </c>
      <c r="CK77" s="176">
        <v>30000</v>
      </c>
      <c r="CL77" s="176">
        <v>30000</v>
      </c>
      <c r="CM77" s="176">
        <v>30000</v>
      </c>
      <c r="CN77" s="176">
        <v>30000</v>
      </c>
      <c r="CO77" s="176">
        <v>30000</v>
      </c>
      <c r="CP77" s="176">
        <v>30000</v>
      </c>
      <c r="CQ77" s="176">
        <v>30000</v>
      </c>
      <c r="CR77" s="176">
        <v>30000</v>
      </c>
      <c r="CS77" s="176">
        <v>30000</v>
      </c>
      <c r="CT77" s="176">
        <v>30000</v>
      </c>
      <c r="CU77" s="176">
        <v>30000</v>
      </c>
      <c r="CV77" s="176">
        <v>30000</v>
      </c>
      <c r="CW77" s="176">
        <v>30000</v>
      </c>
      <c r="CX77" s="176">
        <v>30000</v>
      </c>
      <c r="CY77" s="176">
        <v>30000</v>
      </c>
      <c r="CZ77" s="176">
        <v>29606.178469262126</v>
      </c>
      <c r="DA77" s="176">
        <v>28749.510314447994</v>
      </c>
      <c r="DB77" s="176">
        <v>27915.832859159073</v>
      </c>
      <c r="DC77" s="176">
        <v>27106.858642557454</v>
      </c>
      <c r="DD77" s="176">
        <v>26324.487872108773</v>
      </c>
      <c r="DE77" s="176">
        <v>25570.842538271179</v>
      </c>
      <c r="DF77" s="176">
        <v>24848.304286602277</v>
      </c>
      <c r="DG77" s="176">
        <v>24159.556568308184</v>
      </c>
      <c r="DH77" s="176">
        <v>23507.631722892846</v>
      </c>
      <c r="DI77" s="176">
        <v>22895.963859330193</v>
      </c>
      <c r="DJ77" s="176">
        <v>22328.448808280016</v>
      </c>
      <c r="DK77" s="176">
        <v>21809.513216563984</v>
      </c>
      <c r="DL77" s="176">
        <v>21344.197135211558</v>
      </c>
      <c r="DM77" s="176">
        <v>20938.259207920608</v>
      </c>
      <c r="DN77" s="176">
        <v>20598.326349485316</v>
      </c>
      <c r="DO77" s="176">
        <v>20332.138294426204</v>
      </c>
      <c r="DP77" s="176">
        <v>20149.000893846416</v>
      </c>
      <c r="DQ77" s="176">
        <v>19969.452413310362</v>
      </c>
      <c r="DR77" s="176">
        <v>19793.30603106986</v>
      </c>
      <c r="DS77" s="176">
        <v>19680.889229435099</v>
      </c>
      <c r="DT77" s="176">
        <v>19632.990356633076</v>
      </c>
      <c r="DU77" s="176">
        <v>19649.676389500961</v>
      </c>
      <c r="DV77" s="176">
        <v>19730.273447596905</v>
      </c>
      <c r="DW77" s="176">
        <v>19873.391610324947</v>
      </c>
      <c r="DX77" s="176">
        <v>20076.990696329969</v>
      </c>
      <c r="DY77" s="176">
        <v>20338.478420596071</v>
      </c>
      <c r="DZ77" s="176">
        <v>20654.829090757401</v>
      </c>
      <c r="EA77" s="176">
        <v>21022.710033785352</v>
      </c>
      <c r="EB77" s="176">
        <v>21438.604382034206</v>
      </c>
      <c r="EC77" s="176">
        <v>21898.921507690236</v>
      </c>
      <c r="ED77" s="176">
        <v>22400.089818426175</v>
      </c>
      <c r="EE77" s="176">
        <v>22938.629721521658</v>
      </c>
      <c r="EF77" s="176">
        <v>23497.357773937267</v>
      </c>
      <c r="EG77" s="176">
        <v>23910.567193293733</v>
      </c>
      <c r="EH77" s="176">
        <v>24416.648862117967</v>
      </c>
      <c r="EI77" s="176">
        <v>24985.90294970138</v>
      </c>
      <c r="EJ77" s="176">
        <v>25600.993273400498</v>
      </c>
      <c r="EK77" s="176">
        <v>26251.008676432328</v>
      </c>
      <c r="EL77" s="176">
        <v>26928.60355788127</v>
      </c>
      <c r="EM77" s="176">
        <v>27628.531222750607</v>
      </c>
      <c r="EN77" s="176">
        <v>28346.848809830179</v>
      </c>
      <c r="EO77" s="176">
        <v>29080.464444998281</v>
      </c>
      <c r="EP77" t="str">
        <f t="shared" si="1"/>
        <v>14y 33d</v>
      </c>
    </row>
    <row r="78" spans="2:146" x14ac:dyDescent="0.25">
      <c r="B78" s="70">
        <v>75</v>
      </c>
      <c r="D78">
        <v>23521777.375785794</v>
      </c>
      <c r="E78" s="12">
        <v>141463833189.06046</v>
      </c>
      <c r="F78" s="12">
        <v>49201008421.904915</v>
      </c>
      <c r="G78" s="12">
        <v>0</v>
      </c>
      <c r="H78" s="12">
        <v>691704352.59209967</v>
      </c>
      <c r="I78" s="12">
        <v>996482210671.2915</v>
      </c>
      <c r="J78" s="12">
        <v>-1114020982727.7332</v>
      </c>
      <c r="K78" s="12">
        <v>-20203413020.616291</v>
      </c>
      <c r="L78" s="12">
        <v>21079378.170634903</v>
      </c>
      <c r="M78" s="12">
        <v>214253960769.86676</v>
      </c>
      <c r="N78" s="12">
        <v>389907503223.26007</v>
      </c>
      <c r="O78" s="12">
        <v>284633410.80884212</v>
      </c>
      <c r="P78" s="12">
        <v>21079380.509866778</v>
      </c>
      <c r="Q78" s="12">
        <v>214254218989.49316</v>
      </c>
      <c r="R78" s="12">
        <v>389907517146.44305</v>
      </c>
      <c r="S78" s="12">
        <v>0</v>
      </c>
      <c r="T78" s="12">
        <v>46386634.29647848</v>
      </c>
      <c r="U78" s="12">
        <v>4055107867.2174063</v>
      </c>
      <c r="V78" s="12">
        <v>864586494346.3269</v>
      </c>
      <c r="W78" s="12">
        <v>-320778999.18737882</v>
      </c>
      <c r="X78" s="12">
        <v>23228057.948265702</v>
      </c>
      <c r="Y78" s="12">
        <v>198482685922.93167</v>
      </c>
      <c r="Z78" s="12">
        <v>456403670298.85449</v>
      </c>
      <c r="AA78" s="12">
        <v>-15839941711.39537</v>
      </c>
      <c r="AB78" s="12"/>
      <c r="AC78" s="12"/>
      <c r="AD78" s="12"/>
      <c r="AE78" s="12"/>
      <c r="AS78" s="6">
        <v>449892630.45009166</v>
      </c>
      <c r="AT78" s="176">
        <v>30000</v>
      </c>
      <c r="AU78" s="176">
        <v>30000</v>
      </c>
      <c r="AV78" s="176">
        <v>30000</v>
      </c>
      <c r="AW78" s="176">
        <v>30000</v>
      </c>
      <c r="AX78" s="176">
        <v>30000</v>
      </c>
      <c r="AY78" s="176">
        <v>30000</v>
      </c>
      <c r="AZ78" s="176">
        <v>30000</v>
      </c>
      <c r="BA78" s="176">
        <v>30000</v>
      </c>
      <c r="BB78" s="176">
        <v>30000</v>
      </c>
      <c r="BC78" s="176">
        <v>30000</v>
      </c>
      <c r="BD78" s="176">
        <v>30000</v>
      </c>
      <c r="BE78" s="176">
        <v>30000</v>
      </c>
      <c r="BF78" s="176">
        <v>30000</v>
      </c>
      <c r="BG78" s="176">
        <v>30000</v>
      </c>
      <c r="BH78" s="176">
        <v>30000</v>
      </c>
      <c r="BI78" s="176">
        <v>30000</v>
      </c>
      <c r="BJ78" s="176">
        <v>30000</v>
      </c>
      <c r="BK78" s="176">
        <v>30000</v>
      </c>
      <c r="BL78" s="176">
        <v>30000</v>
      </c>
      <c r="BM78" s="176">
        <v>30000</v>
      </c>
      <c r="BN78" s="176">
        <v>30000</v>
      </c>
      <c r="BO78" s="176">
        <v>30000</v>
      </c>
      <c r="BP78" s="176">
        <v>30000</v>
      </c>
      <c r="BQ78" s="176">
        <v>30000</v>
      </c>
      <c r="BR78" s="176">
        <v>30000</v>
      </c>
      <c r="BS78" s="176">
        <v>30000</v>
      </c>
      <c r="BT78" s="176">
        <v>30000</v>
      </c>
      <c r="BU78" s="176">
        <v>30000</v>
      </c>
      <c r="BV78" s="176">
        <v>30000</v>
      </c>
      <c r="BW78" s="176">
        <v>30000</v>
      </c>
      <c r="BX78" s="176">
        <v>30000</v>
      </c>
      <c r="BY78" s="176">
        <v>30000</v>
      </c>
      <c r="BZ78" s="176">
        <v>30000</v>
      </c>
      <c r="CA78" s="176">
        <v>30000</v>
      </c>
      <c r="CB78" s="176">
        <v>30000</v>
      </c>
      <c r="CC78" s="176">
        <v>30000</v>
      </c>
      <c r="CD78" s="176">
        <v>30000</v>
      </c>
      <c r="CE78" s="176">
        <v>30000</v>
      </c>
      <c r="CF78" s="176">
        <v>30000</v>
      </c>
      <c r="CG78" s="176">
        <v>30000</v>
      </c>
      <c r="CH78" s="176">
        <v>30000</v>
      </c>
      <c r="CI78" s="176">
        <v>30000</v>
      </c>
      <c r="CJ78" s="176">
        <v>30000</v>
      </c>
      <c r="CK78" s="176">
        <v>30000</v>
      </c>
      <c r="CL78" s="176">
        <v>30000</v>
      </c>
      <c r="CM78" s="176">
        <v>30000</v>
      </c>
      <c r="CN78" s="176">
        <v>30000</v>
      </c>
      <c r="CO78" s="176">
        <v>30000</v>
      </c>
      <c r="CP78" s="176">
        <v>30000</v>
      </c>
      <c r="CQ78" s="176">
        <v>30000</v>
      </c>
      <c r="CR78" s="176">
        <v>30000</v>
      </c>
      <c r="CS78" s="176">
        <v>30000</v>
      </c>
      <c r="CT78" s="176">
        <v>30000</v>
      </c>
      <c r="CU78" s="176">
        <v>30000</v>
      </c>
      <c r="CV78" s="176">
        <v>30000</v>
      </c>
      <c r="CW78" s="176">
        <v>30000</v>
      </c>
      <c r="CX78" s="176">
        <v>30000</v>
      </c>
      <c r="CY78" s="176">
        <v>30000</v>
      </c>
      <c r="CZ78" s="176">
        <v>30000</v>
      </c>
      <c r="DA78" s="176">
        <v>29192.283209671081</v>
      </c>
      <c r="DB78" s="176">
        <v>28345.478877909372</v>
      </c>
      <c r="DC78" s="176">
        <v>27522.460469643593</v>
      </c>
      <c r="DD78" s="176">
        <v>26725.033069513331</v>
      </c>
      <c r="DE78" s="176">
        <v>25955.204242653119</v>
      </c>
      <c r="DF78" s="176">
        <v>25215.219189079566</v>
      </c>
      <c r="DG78" s="176">
        <v>24507.599603733594</v>
      </c>
      <c r="DH78" s="176">
        <v>23835.186714383155</v>
      </c>
      <c r="DI78" s="176">
        <v>23201.189103299694</v>
      </c>
      <c r="DJ78" s="176">
        <v>22609.236174258684</v>
      </c>
      <c r="DK78" s="176">
        <v>22063.438596872293</v>
      </c>
      <c r="DL78" s="176">
        <v>21568.458513731344</v>
      </c>
      <c r="DM78" s="176">
        <v>21129.595101256789</v>
      </c>
      <c r="DN78" s="176">
        <v>20752.89916214002</v>
      </c>
      <c r="DO78" s="176">
        <v>20445.348542852051</v>
      </c>
      <c r="DP78" s="176">
        <v>20215.157667432934</v>
      </c>
      <c r="DQ78" s="176">
        <v>20072.383806362974</v>
      </c>
      <c r="DR78" s="176">
        <v>19866.151269425252</v>
      </c>
      <c r="DS78" s="176">
        <v>19722.224787258794</v>
      </c>
      <c r="DT78" s="176">
        <v>19642.656412750228</v>
      </c>
      <c r="DU78" s="176">
        <v>19627.861546260694</v>
      </c>
      <c r="DV78" s="176">
        <v>19677.51416394483</v>
      </c>
      <c r="DW78" s="176">
        <v>19790.550651245525</v>
      </c>
      <c r="DX78" s="176">
        <v>19965.217262394894</v>
      </c>
      <c r="DY78" s="176">
        <v>20199.154875034183</v>
      </c>
      <c r="DZ78" s="176">
        <v>20489.510377050938</v>
      </c>
      <c r="EA78" s="176">
        <v>20833.061890606958</v>
      </c>
      <c r="EB78" s="176">
        <v>21226.34546876085</v>
      </c>
      <c r="EC78" s="176">
        <v>21665.773057046856</v>
      </c>
      <c r="ED78" s="176">
        <v>22147.734756706253</v>
      </c>
      <c r="EE78" s="176">
        <v>22668.681763503544</v>
      </c>
      <c r="EF78" s="176">
        <v>23225.189213669411</v>
      </c>
      <c r="EG78" s="176">
        <v>23688.852672280744</v>
      </c>
      <c r="EH78" s="176">
        <v>24159.331678591814</v>
      </c>
      <c r="EI78" s="176">
        <v>24703.837728881153</v>
      </c>
      <c r="EJ78" s="176">
        <v>25300.528341492038</v>
      </c>
      <c r="EK78" s="176">
        <v>25936.152644730555</v>
      </c>
      <c r="EL78" s="176">
        <v>26602.067227975378</v>
      </c>
      <c r="EM78" s="176">
        <v>27292.260876460357</v>
      </c>
      <c r="EN78" s="176">
        <v>28002.314739409379</v>
      </c>
      <c r="EO78" s="176">
        <v>28728.825145686962</v>
      </c>
      <c r="EP78" t="str">
        <f t="shared" si="1"/>
        <v>14y 94d</v>
      </c>
    </row>
    <row r="79" spans="2:146" x14ac:dyDescent="0.25">
      <c r="B79" s="70">
        <v>76</v>
      </c>
      <c r="D79">
        <v>23837895.615895763</v>
      </c>
      <c r="E79" s="12">
        <v>137950546578.84613</v>
      </c>
      <c r="F79" s="12">
        <v>57925714304.67495</v>
      </c>
      <c r="G79" s="12">
        <v>0</v>
      </c>
      <c r="H79" s="12">
        <v>701877305.74604726</v>
      </c>
      <c r="I79" s="12">
        <v>1061813809090.5765</v>
      </c>
      <c r="J79" s="12">
        <v>-1046733790312.5269</v>
      </c>
      <c r="K79" s="12">
        <v>-23972413103.708988</v>
      </c>
      <c r="L79" s="12">
        <v>22300541.48973915</v>
      </c>
      <c r="M79" s="12">
        <v>209153782908.55222</v>
      </c>
      <c r="N79" s="12">
        <v>414200586648.1095</v>
      </c>
      <c r="O79" s="12">
        <v>280273859.18438703</v>
      </c>
      <c r="P79" s="12">
        <v>22300543.969044041</v>
      </c>
      <c r="Q79" s="12">
        <v>209154042597.55057</v>
      </c>
      <c r="R79" s="12">
        <v>414200602394.85846</v>
      </c>
      <c r="S79" s="12">
        <v>0</v>
      </c>
      <c r="T79" s="12">
        <v>48423366.570558526</v>
      </c>
      <c r="U79" s="12">
        <v>-9735596791.3807068</v>
      </c>
      <c r="V79" s="12">
        <v>883591003045.50439</v>
      </c>
      <c r="W79" s="12">
        <v>-330034327.28888345</v>
      </c>
      <c r="X79" s="12">
        <v>24599728.283568516</v>
      </c>
      <c r="Y79" s="12">
        <v>191568246209.21667</v>
      </c>
      <c r="Z79" s="12">
        <v>481176537053.82117</v>
      </c>
      <c r="AA79" s="12">
        <v>-15996634692.732958</v>
      </c>
      <c r="AB79" s="12"/>
      <c r="AC79" s="12"/>
      <c r="AD79" s="12"/>
      <c r="AE79" s="12"/>
      <c r="AS79" s="6">
        <v>455159395.68641436</v>
      </c>
      <c r="AT79" s="176">
        <v>30000</v>
      </c>
      <c r="AU79" s="176">
        <v>30000</v>
      </c>
      <c r="AV79" s="176">
        <v>30000</v>
      </c>
      <c r="AW79" s="176">
        <v>30000</v>
      </c>
      <c r="AX79" s="176">
        <v>30000</v>
      </c>
      <c r="AY79" s="176">
        <v>30000</v>
      </c>
      <c r="AZ79" s="176">
        <v>30000</v>
      </c>
      <c r="BA79" s="176">
        <v>30000</v>
      </c>
      <c r="BB79" s="176">
        <v>30000</v>
      </c>
      <c r="BC79" s="176">
        <v>30000</v>
      </c>
      <c r="BD79" s="176">
        <v>30000</v>
      </c>
      <c r="BE79" s="176">
        <v>30000</v>
      </c>
      <c r="BF79" s="176">
        <v>30000</v>
      </c>
      <c r="BG79" s="176">
        <v>30000</v>
      </c>
      <c r="BH79" s="176">
        <v>30000</v>
      </c>
      <c r="BI79" s="176">
        <v>30000</v>
      </c>
      <c r="BJ79" s="176">
        <v>30000</v>
      </c>
      <c r="BK79" s="176">
        <v>30000</v>
      </c>
      <c r="BL79" s="176">
        <v>30000</v>
      </c>
      <c r="BM79" s="176">
        <v>30000</v>
      </c>
      <c r="BN79" s="176">
        <v>30000</v>
      </c>
      <c r="BO79" s="176">
        <v>30000</v>
      </c>
      <c r="BP79" s="176">
        <v>30000</v>
      </c>
      <c r="BQ79" s="176">
        <v>30000</v>
      </c>
      <c r="BR79" s="176">
        <v>30000</v>
      </c>
      <c r="BS79" s="176">
        <v>30000</v>
      </c>
      <c r="BT79" s="176">
        <v>30000</v>
      </c>
      <c r="BU79" s="176">
        <v>30000</v>
      </c>
      <c r="BV79" s="176">
        <v>30000</v>
      </c>
      <c r="BW79" s="176">
        <v>30000</v>
      </c>
      <c r="BX79" s="176">
        <v>30000</v>
      </c>
      <c r="BY79" s="176">
        <v>30000</v>
      </c>
      <c r="BZ79" s="176">
        <v>30000</v>
      </c>
      <c r="CA79" s="176">
        <v>30000</v>
      </c>
      <c r="CB79" s="176">
        <v>30000</v>
      </c>
      <c r="CC79" s="176">
        <v>30000</v>
      </c>
      <c r="CD79" s="176">
        <v>30000</v>
      </c>
      <c r="CE79" s="176">
        <v>30000</v>
      </c>
      <c r="CF79" s="176">
        <v>30000</v>
      </c>
      <c r="CG79" s="176">
        <v>30000</v>
      </c>
      <c r="CH79" s="176">
        <v>30000</v>
      </c>
      <c r="CI79" s="176">
        <v>30000</v>
      </c>
      <c r="CJ79" s="176">
        <v>30000</v>
      </c>
      <c r="CK79" s="176">
        <v>30000</v>
      </c>
      <c r="CL79" s="176">
        <v>30000</v>
      </c>
      <c r="CM79" s="176">
        <v>30000</v>
      </c>
      <c r="CN79" s="176">
        <v>30000</v>
      </c>
      <c r="CO79" s="176">
        <v>30000</v>
      </c>
      <c r="CP79" s="176">
        <v>30000</v>
      </c>
      <c r="CQ79" s="176">
        <v>30000</v>
      </c>
      <c r="CR79" s="176">
        <v>30000</v>
      </c>
      <c r="CS79" s="176">
        <v>30000</v>
      </c>
      <c r="CT79" s="176">
        <v>30000</v>
      </c>
      <c r="CU79" s="176">
        <v>30000</v>
      </c>
      <c r="CV79" s="176">
        <v>30000</v>
      </c>
      <c r="CW79" s="176">
        <v>30000</v>
      </c>
      <c r="CX79" s="176">
        <v>30000</v>
      </c>
      <c r="CY79" s="176">
        <v>30000</v>
      </c>
      <c r="CZ79" s="176">
        <v>30000</v>
      </c>
      <c r="DA79" s="176">
        <v>29641.032853876382</v>
      </c>
      <c r="DB79" s="176">
        <v>28781.564114612313</v>
      </c>
      <c r="DC79" s="176">
        <v>27945.004157011896</v>
      </c>
      <c r="DD79" s="176">
        <v>27133.072454482317</v>
      </c>
      <c r="DE79" s="176">
        <v>26347.673135276174</v>
      </c>
      <c r="DF79" s="176">
        <v>25590.92776191116</v>
      </c>
      <c r="DG79" s="176">
        <v>24865.211355774674</v>
      </c>
      <c r="DH79" s="176">
        <v>24173.191997914917</v>
      </c>
      <c r="DI79" s="176">
        <v>23517.874423559711</v>
      </c>
      <c r="DJ79" s="176">
        <v>22902.648090275012</v>
      </c>
      <c r="DK79" s="176">
        <v>22331.34077502822</v>
      </c>
      <c r="DL79" s="176">
        <v>21808.279061297661</v>
      </c>
      <c r="DM79" s="176">
        <v>21338.359463742469</v>
      </c>
      <c r="DN79" s="176">
        <v>20927.138406085411</v>
      </c>
      <c r="DO79" s="176">
        <v>20580.960941183454</v>
      </c>
      <c r="DP79" s="176">
        <v>20307.174829221032</v>
      </c>
      <c r="DQ79" s="176">
        <v>20114.535447120194</v>
      </c>
      <c r="DR79" s="176">
        <v>19953.54633880674</v>
      </c>
      <c r="DS79" s="176">
        <v>19778.295136398967</v>
      </c>
      <c r="DT79" s="176">
        <v>19667.080128370686</v>
      </c>
      <c r="DU79" s="176">
        <v>19620.659337131165</v>
      </c>
      <c r="DV79" s="176">
        <v>19639.058971734492</v>
      </c>
      <c r="DW79" s="176">
        <v>19721.555875750666</v>
      </c>
      <c r="DX79" s="176">
        <v>19866.704947165199</v>
      </c>
      <c r="DY79" s="176">
        <v>20072.407837685147</v>
      </c>
      <c r="DZ79" s="176">
        <v>20336.014005870973</v>
      </c>
      <c r="EA79" s="176">
        <v>20654.441894659878</v>
      </c>
      <c r="EB79" s="176">
        <v>21024.307301787849</v>
      </c>
      <c r="EC79" s="176">
        <v>21442.047408119164</v>
      </c>
      <c r="ED79" s="176">
        <v>21904.031849299743</v>
      </c>
      <c r="EE79" s="176">
        <v>22406.655611041355</v>
      </c>
      <c r="EF79" s="176">
        <v>22946.411715643051</v>
      </c>
      <c r="EG79" s="176">
        <v>23486.743569089278</v>
      </c>
      <c r="EH79" s="176">
        <v>23914.858739579307</v>
      </c>
      <c r="EI79" s="176">
        <v>24431.026441741098</v>
      </c>
      <c r="EJ79" s="176">
        <v>25007.235726044495</v>
      </c>
      <c r="EK79" s="176">
        <v>25627.15977705942</v>
      </c>
      <c r="EL79" s="176">
        <v>26280.507989250567</v>
      </c>
      <c r="EM79" s="176">
        <v>26960.328440343987</v>
      </c>
      <c r="EN79" s="176">
        <v>27661.63239490681</v>
      </c>
      <c r="EO79" s="176">
        <v>28380.651677859507</v>
      </c>
      <c r="EP79" t="str">
        <f t="shared" si="1"/>
        <v>14y 154d</v>
      </c>
    </row>
    <row r="80" spans="2:146" x14ac:dyDescent="0.25">
      <c r="B80" s="70">
        <v>77</v>
      </c>
      <c r="D80">
        <v>24153350.958257515</v>
      </c>
      <c r="E80" s="12">
        <v>133900541291.24585</v>
      </c>
      <c r="F80" s="12">
        <v>66403668751.53614</v>
      </c>
      <c r="G80" s="12">
        <v>0</v>
      </c>
      <c r="H80" s="12">
        <v>711999608.50720549</v>
      </c>
      <c r="I80" s="12">
        <v>1122458463129.8594</v>
      </c>
      <c r="J80" s="12">
        <v>-975481673169.99854</v>
      </c>
      <c r="K80" s="12">
        <v>-27624178899.613266</v>
      </c>
      <c r="L80" s="12">
        <v>23630073.898287881</v>
      </c>
      <c r="M80" s="12">
        <v>203131029499.20532</v>
      </c>
      <c r="N80" s="12">
        <v>439718210257.39984</v>
      </c>
      <c r="O80" s="12">
        <v>274897607.60300601</v>
      </c>
      <c r="P80" s="12">
        <v>23630076.524140485</v>
      </c>
      <c r="Q80" s="12">
        <v>203131290265.66199</v>
      </c>
      <c r="R80" s="12">
        <v>439718227907.94891</v>
      </c>
      <c r="S80" s="12">
        <v>0</v>
      </c>
      <c r="T80" s="12">
        <v>50550598.005143806</v>
      </c>
      <c r="U80" s="12">
        <v>-24130741099.057564</v>
      </c>
      <c r="V80" s="12">
        <v>902687836176.45618</v>
      </c>
      <c r="W80" s="12">
        <v>-339419970.10840356</v>
      </c>
      <c r="X80" s="12">
        <v>26085977.783069566</v>
      </c>
      <c r="Y80" s="12">
        <v>183688977615.63007</v>
      </c>
      <c r="Z80" s="12">
        <v>507045472492.84515</v>
      </c>
      <c r="AA80" s="12">
        <v>-16134069730.701262</v>
      </c>
      <c r="AB80" s="12"/>
      <c r="AC80" s="12"/>
      <c r="AD80" s="12"/>
      <c r="AE80" s="12"/>
      <c r="AS80" s="6">
        <v>460426160.92273706</v>
      </c>
      <c r="AT80" s="176">
        <v>30000</v>
      </c>
      <c r="AU80" s="176">
        <v>30000</v>
      </c>
      <c r="AV80" s="176">
        <v>30000</v>
      </c>
      <c r="AW80" s="176">
        <v>30000</v>
      </c>
      <c r="AX80" s="176">
        <v>30000</v>
      </c>
      <c r="AY80" s="176">
        <v>30000</v>
      </c>
      <c r="AZ80" s="176">
        <v>30000</v>
      </c>
      <c r="BA80" s="176">
        <v>30000</v>
      </c>
      <c r="BB80" s="176">
        <v>30000</v>
      </c>
      <c r="BC80" s="176">
        <v>30000</v>
      </c>
      <c r="BD80" s="176">
        <v>30000</v>
      </c>
      <c r="BE80" s="176">
        <v>30000</v>
      </c>
      <c r="BF80" s="176">
        <v>30000</v>
      </c>
      <c r="BG80" s="176">
        <v>30000</v>
      </c>
      <c r="BH80" s="176">
        <v>30000</v>
      </c>
      <c r="BI80" s="176">
        <v>30000</v>
      </c>
      <c r="BJ80" s="176">
        <v>30000</v>
      </c>
      <c r="BK80" s="176">
        <v>30000</v>
      </c>
      <c r="BL80" s="176">
        <v>30000</v>
      </c>
      <c r="BM80" s="176">
        <v>30000</v>
      </c>
      <c r="BN80" s="176">
        <v>30000</v>
      </c>
      <c r="BO80" s="176">
        <v>30000</v>
      </c>
      <c r="BP80" s="176">
        <v>30000</v>
      </c>
      <c r="BQ80" s="176">
        <v>30000</v>
      </c>
      <c r="BR80" s="176">
        <v>30000</v>
      </c>
      <c r="BS80" s="176">
        <v>30000</v>
      </c>
      <c r="BT80" s="176">
        <v>30000</v>
      </c>
      <c r="BU80" s="176">
        <v>30000</v>
      </c>
      <c r="BV80" s="176">
        <v>30000</v>
      </c>
      <c r="BW80" s="176">
        <v>30000</v>
      </c>
      <c r="BX80" s="176">
        <v>30000</v>
      </c>
      <c r="BY80" s="176">
        <v>30000</v>
      </c>
      <c r="BZ80" s="176">
        <v>30000</v>
      </c>
      <c r="CA80" s="176">
        <v>30000</v>
      </c>
      <c r="CB80" s="176">
        <v>30000</v>
      </c>
      <c r="CC80" s="176">
        <v>30000</v>
      </c>
      <c r="CD80" s="176">
        <v>30000</v>
      </c>
      <c r="CE80" s="176">
        <v>30000</v>
      </c>
      <c r="CF80" s="176">
        <v>30000</v>
      </c>
      <c r="CG80" s="176">
        <v>30000</v>
      </c>
      <c r="CH80" s="176">
        <v>30000</v>
      </c>
      <c r="CI80" s="176">
        <v>30000</v>
      </c>
      <c r="CJ80" s="176">
        <v>30000</v>
      </c>
      <c r="CK80" s="176">
        <v>30000</v>
      </c>
      <c r="CL80" s="176">
        <v>30000</v>
      </c>
      <c r="CM80" s="176">
        <v>30000</v>
      </c>
      <c r="CN80" s="176">
        <v>30000</v>
      </c>
      <c r="CO80" s="176">
        <v>30000</v>
      </c>
      <c r="CP80" s="176">
        <v>30000</v>
      </c>
      <c r="CQ80" s="176">
        <v>30000</v>
      </c>
      <c r="CR80" s="176">
        <v>30000</v>
      </c>
      <c r="CS80" s="176">
        <v>30000</v>
      </c>
      <c r="CT80" s="176">
        <v>30000</v>
      </c>
      <c r="CU80" s="176">
        <v>30000</v>
      </c>
      <c r="CV80" s="176">
        <v>30000</v>
      </c>
      <c r="CW80" s="176">
        <v>30000</v>
      </c>
      <c r="CX80" s="176">
        <v>30000</v>
      </c>
      <c r="CY80" s="176">
        <v>30000</v>
      </c>
      <c r="CZ80" s="176">
        <v>30000</v>
      </c>
      <c r="DA80" s="176">
        <v>30000</v>
      </c>
      <c r="DB80" s="176">
        <v>29223.866014526513</v>
      </c>
      <c r="DC80" s="176">
        <v>28374.245264808356</v>
      </c>
      <c r="DD80" s="176">
        <v>27548.334572290489</v>
      </c>
      <c r="DE80" s="176">
        <v>26747.944717283841</v>
      </c>
      <c r="DF80" s="176">
        <v>25975.08530143437</v>
      </c>
      <c r="DG80" s="176">
        <v>25231.998312692063</v>
      </c>
      <c r="DH80" s="176">
        <v>24521.194789188656</v>
      </c>
      <c r="DI80" s="176">
        <v>23845.494846128429</v>
      </c>
      <c r="DJ80" s="176">
        <v>23208.071326644709</v>
      </c>
      <c r="DK80" s="176">
        <v>22612.497747591362</v>
      </c>
      <c r="DL80" s="176">
        <v>22062.801241225843</v>
      </c>
      <c r="DM80" s="176">
        <v>21563.522770301279</v>
      </c>
      <c r="DN80" s="176">
        <v>21119.789529562433</v>
      </c>
      <c r="DO80" s="176">
        <v>20737.411752028835</v>
      </c>
      <c r="DP80" s="176">
        <v>20423.033184036431</v>
      </c>
      <c r="DQ80" s="176">
        <v>20184.402891209676</v>
      </c>
      <c r="DR80" s="176">
        <v>20030.918695549051</v>
      </c>
      <c r="DS80" s="176">
        <v>19849.043334382863</v>
      </c>
      <c r="DT80" s="176">
        <v>19706.283428341998</v>
      </c>
      <c r="DU80" s="176">
        <v>19628.171671527947</v>
      </c>
      <c r="DV80" s="176">
        <v>19615.085978259805</v>
      </c>
      <c r="DW80" s="176">
        <v>19666.653311167927</v>
      </c>
      <c r="DX80" s="176">
        <v>19781.75593394064</v>
      </c>
      <c r="DY80" s="176">
        <v>19958.581771743047</v>
      </c>
      <c r="DZ80" s="176">
        <v>20194.712193517862</v>
      </c>
      <c r="EA80" s="176">
        <v>20487.236135384002</v>
      </c>
      <c r="EB80" s="176">
        <v>20832.877567814547</v>
      </c>
      <c r="EC80" s="176">
        <v>21228.123743294535</v>
      </c>
      <c r="ED80" s="176">
        <v>21669.344046863465</v>
      </c>
      <c r="EE80" s="176">
        <v>22152.892548150037</v>
      </c>
      <c r="EF80" s="176">
        <v>22675.190777150001</v>
      </c>
      <c r="EG80" s="176">
        <v>23232.790106848446</v>
      </c>
      <c r="EH80" s="176">
        <v>23685.265568469233</v>
      </c>
      <c r="EI80" s="176">
        <v>24168.520004935232</v>
      </c>
      <c r="EJ80" s="176">
        <v>24721.711515952058</v>
      </c>
      <c r="EK80" s="176">
        <v>25324.39999592919</v>
      </c>
      <c r="EL80" s="176">
        <v>25964.17481466589</v>
      </c>
      <c r="EM80" s="176">
        <v>26632.91321193309</v>
      </c>
      <c r="EN80" s="176">
        <v>27324.937783126836</v>
      </c>
      <c r="EO80" s="176">
        <v>28036.051100252556</v>
      </c>
      <c r="EP80" t="str">
        <f t="shared" si="1"/>
        <v>14y 215d</v>
      </c>
    </row>
    <row r="81" spans="2:146" x14ac:dyDescent="0.25">
      <c r="B81" s="70">
        <v>78</v>
      </c>
      <c r="D81">
        <v>24468145.752742682</v>
      </c>
      <c r="E81" s="12">
        <v>129331455630.51164</v>
      </c>
      <c r="F81" s="12">
        <v>74602251133.551544</v>
      </c>
      <c r="G81" s="12">
        <v>0</v>
      </c>
      <c r="H81" s="12">
        <v>722068290.16078579</v>
      </c>
      <c r="I81" s="12">
        <v>1178183658163.9956</v>
      </c>
      <c r="J81" s="12">
        <v>-900610669993.17725</v>
      </c>
      <c r="K81" s="12">
        <v>-31143440251.484489</v>
      </c>
      <c r="L81" s="12">
        <v>25080078.379735634</v>
      </c>
      <c r="M81" s="12">
        <v>196085691953.76053</v>
      </c>
      <c r="N81" s="12">
        <v>466515128379.13501</v>
      </c>
      <c r="O81" s="12">
        <v>268388832.40064272</v>
      </c>
      <c r="P81" s="12">
        <v>25080081.158364672</v>
      </c>
      <c r="Q81" s="12">
        <v>196085953353.15201</v>
      </c>
      <c r="R81" s="12">
        <v>466515148012.00739</v>
      </c>
      <c r="S81" s="12">
        <v>0</v>
      </c>
      <c r="T81" s="12">
        <v>52771792.344187558</v>
      </c>
      <c r="U81" s="12">
        <v>-39140708091.770393</v>
      </c>
      <c r="V81" s="12">
        <v>921843106310.24548</v>
      </c>
      <c r="W81" s="12">
        <v>-348924978.42739606</v>
      </c>
      <c r="X81" s="12">
        <v>27698419.042696405</v>
      </c>
      <c r="Y81" s="12">
        <v>174753850869.74783</v>
      </c>
      <c r="Z81" s="12">
        <v>534042263752.72815</v>
      </c>
      <c r="AA81" s="12">
        <v>-16249182210.346184</v>
      </c>
      <c r="AB81" s="12"/>
      <c r="AC81" s="12"/>
      <c r="AD81" s="12"/>
      <c r="AE81" s="12"/>
      <c r="AS81" s="6">
        <v>465692926.15905976</v>
      </c>
      <c r="AT81" s="176">
        <v>30000</v>
      </c>
      <c r="AU81" s="176">
        <v>30000</v>
      </c>
      <c r="AV81" s="176">
        <v>30000</v>
      </c>
      <c r="AW81" s="176">
        <v>30000</v>
      </c>
      <c r="AX81" s="176">
        <v>30000</v>
      </c>
      <c r="AY81" s="176">
        <v>30000</v>
      </c>
      <c r="AZ81" s="176">
        <v>30000</v>
      </c>
      <c r="BA81" s="176">
        <v>30000</v>
      </c>
      <c r="BB81" s="176">
        <v>30000</v>
      </c>
      <c r="BC81" s="176">
        <v>30000</v>
      </c>
      <c r="BD81" s="176">
        <v>30000</v>
      </c>
      <c r="BE81" s="176">
        <v>30000</v>
      </c>
      <c r="BF81" s="176">
        <v>30000</v>
      </c>
      <c r="BG81" s="176">
        <v>30000</v>
      </c>
      <c r="BH81" s="176">
        <v>30000</v>
      </c>
      <c r="BI81" s="176">
        <v>30000</v>
      </c>
      <c r="BJ81" s="176">
        <v>30000</v>
      </c>
      <c r="BK81" s="176">
        <v>30000</v>
      </c>
      <c r="BL81" s="176">
        <v>30000</v>
      </c>
      <c r="BM81" s="176">
        <v>30000</v>
      </c>
      <c r="BN81" s="176">
        <v>30000</v>
      </c>
      <c r="BO81" s="176">
        <v>30000</v>
      </c>
      <c r="BP81" s="176">
        <v>30000</v>
      </c>
      <c r="BQ81" s="176">
        <v>30000</v>
      </c>
      <c r="BR81" s="176">
        <v>30000</v>
      </c>
      <c r="BS81" s="176">
        <v>30000</v>
      </c>
      <c r="BT81" s="176">
        <v>30000</v>
      </c>
      <c r="BU81" s="176">
        <v>30000</v>
      </c>
      <c r="BV81" s="176">
        <v>30000</v>
      </c>
      <c r="BW81" s="176">
        <v>30000</v>
      </c>
      <c r="BX81" s="176">
        <v>30000</v>
      </c>
      <c r="BY81" s="176">
        <v>30000</v>
      </c>
      <c r="BZ81" s="176">
        <v>30000</v>
      </c>
      <c r="CA81" s="176">
        <v>30000</v>
      </c>
      <c r="CB81" s="176">
        <v>30000</v>
      </c>
      <c r="CC81" s="176">
        <v>30000</v>
      </c>
      <c r="CD81" s="176">
        <v>30000</v>
      </c>
      <c r="CE81" s="176">
        <v>30000</v>
      </c>
      <c r="CF81" s="176">
        <v>30000</v>
      </c>
      <c r="CG81" s="176">
        <v>30000</v>
      </c>
      <c r="CH81" s="176">
        <v>30000</v>
      </c>
      <c r="CI81" s="176">
        <v>30000</v>
      </c>
      <c r="CJ81" s="176">
        <v>30000</v>
      </c>
      <c r="CK81" s="176">
        <v>30000</v>
      </c>
      <c r="CL81" s="176">
        <v>30000</v>
      </c>
      <c r="CM81" s="176">
        <v>30000</v>
      </c>
      <c r="CN81" s="176">
        <v>30000</v>
      </c>
      <c r="CO81" s="176">
        <v>30000</v>
      </c>
      <c r="CP81" s="176">
        <v>30000</v>
      </c>
      <c r="CQ81" s="176">
        <v>30000</v>
      </c>
      <c r="CR81" s="176">
        <v>30000</v>
      </c>
      <c r="CS81" s="176">
        <v>30000</v>
      </c>
      <c r="CT81" s="176">
        <v>30000</v>
      </c>
      <c r="CU81" s="176">
        <v>30000</v>
      </c>
      <c r="CV81" s="176">
        <v>30000</v>
      </c>
      <c r="CW81" s="176">
        <v>30000</v>
      </c>
      <c r="CX81" s="176">
        <v>30000</v>
      </c>
      <c r="CY81" s="176">
        <v>30000</v>
      </c>
      <c r="CZ81" s="176">
        <v>30000</v>
      </c>
      <c r="DA81" s="176">
        <v>30000</v>
      </c>
      <c r="DB81" s="176">
        <v>29672.174569016763</v>
      </c>
      <c r="DC81" s="176">
        <v>28809.95406906871</v>
      </c>
      <c r="DD81" s="176">
        <v>27970.565252497807</v>
      </c>
      <c r="DE81" s="176">
        <v>27155.734846189858</v>
      </c>
      <c r="DF81" s="176">
        <v>26367.371178325866</v>
      </c>
      <c r="DG81" s="176">
        <v>25607.595593446247</v>
      </c>
      <c r="DH81" s="176">
        <v>24878.776590326594</v>
      </c>
      <c r="DI81" s="176">
        <v>24183.566830846896</v>
      </c>
      <c r="DJ81" s="176">
        <v>23524.943119065065</v>
      </c>
      <c r="DK81" s="176">
        <v>22906.249740399158</v>
      </c>
      <c r="DL81" s="176">
        <v>22331.245416054709</v>
      </c>
      <c r="DM81" s="176">
        <v>21804.155183697942</v>
      </c>
      <c r="DN81" s="176">
        <v>21329.73001511793</v>
      </c>
      <c r="DO81" s="176">
        <v>20913.321507290915</v>
      </c>
      <c r="DP81" s="176">
        <v>20560.989721573489</v>
      </c>
      <c r="DQ81" s="176">
        <v>20279.687015229581</v>
      </c>
      <c r="DR81" s="176">
        <v>20077.615043758495</v>
      </c>
      <c r="DS81" s="176">
        <v>19934.377788345617</v>
      </c>
      <c r="DT81" s="176">
        <v>19760.251264597915</v>
      </c>
      <c r="DU81" s="176">
        <v>19650.463462625994</v>
      </c>
      <c r="DV81" s="176">
        <v>19605.738603223836</v>
      </c>
      <c r="DW81" s="176">
        <v>19626.058646140118</v>
      </c>
      <c r="DX81" s="176">
        <v>19710.647905845064</v>
      </c>
      <c r="DY81" s="176">
        <v>19858.003279999008</v>
      </c>
      <c r="DZ81" s="176">
        <v>20065.966047873979</v>
      </c>
      <c r="EA81" s="176">
        <v>20331.82587873685</v>
      </c>
      <c r="EB81" s="176">
        <v>20652.444545824499</v>
      </c>
      <c r="EC81" s="176">
        <v>21024.386172131181</v>
      </c>
      <c r="ED81" s="176">
        <v>21444.042433913499</v>
      </c>
      <c r="EE81" s="176">
        <v>21907.744144824068</v>
      </c>
      <c r="EF81" s="176">
        <v>22411.854138030409</v>
      </c>
      <c r="EG81" s="176">
        <v>22952.839566076549</v>
      </c>
      <c r="EH81" s="176">
        <v>23473.259625492901</v>
      </c>
      <c r="EI81" s="176">
        <v>23917.642780780076</v>
      </c>
      <c r="EJ81" s="176">
        <v>24444.671621953035</v>
      </c>
      <c r="EK81" s="176">
        <v>25028.299899268182</v>
      </c>
      <c r="EL81" s="176">
        <v>25653.345947657719</v>
      </c>
      <c r="EM81" s="176">
        <v>26310.2112541924</v>
      </c>
      <c r="EN81" s="176">
        <v>26992.377658647383</v>
      </c>
      <c r="EO81" s="176">
        <v>27695.138129089413</v>
      </c>
      <c r="EP81" t="str">
        <f t="shared" si="1"/>
        <v>14y 276d</v>
      </c>
    </row>
    <row r="82" spans="2:146" x14ac:dyDescent="0.25">
      <c r="B82" s="70">
        <v>79</v>
      </c>
      <c r="D82">
        <v>24782284.932643402</v>
      </c>
      <c r="E82" s="12">
        <v>124262855276.08086</v>
      </c>
      <c r="F82" s="12">
        <v>82490141879.151459</v>
      </c>
      <c r="G82" s="12">
        <v>0</v>
      </c>
      <c r="H82" s="12">
        <v>732080664.73483467</v>
      </c>
      <c r="I82" s="12">
        <v>1228784579098.8533</v>
      </c>
      <c r="J82" s="12">
        <v>-822479331561.28271</v>
      </c>
      <c r="K82" s="12">
        <v>-34515810078.816071</v>
      </c>
      <c r="L82" s="12">
        <v>26664110.503985103</v>
      </c>
      <c r="M82" s="12">
        <v>187907855148.5647</v>
      </c>
      <c r="N82" s="12">
        <v>494643097792.41663</v>
      </c>
      <c r="O82" s="12">
        <v>260619630.8022376</v>
      </c>
      <c r="P82" s="12">
        <v>26664113.441178583</v>
      </c>
      <c r="Q82" s="12">
        <v>187908116677.98538</v>
      </c>
      <c r="R82" s="12">
        <v>494643119483.59125</v>
      </c>
      <c r="S82" s="12">
        <v>0</v>
      </c>
      <c r="T82" s="12">
        <v>55090405.287699021</v>
      </c>
      <c r="U82" s="12">
        <v>-54774168453.574272</v>
      </c>
      <c r="V82" s="12">
        <v>941019419027.44702</v>
      </c>
      <c r="W82" s="12">
        <v>-358536827.31051964</v>
      </c>
      <c r="X82" s="12">
        <v>29449871.594499435</v>
      </c>
      <c r="Y82" s="12">
        <v>164664748605.82581</v>
      </c>
      <c r="Z82" s="12">
        <v>562193175293.63293</v>
      </c>
      <c r="AA82" s="12">
        <v>-16338529567.4765</v>
      </c>
      <c r="AB82" s="12"/>
      <c r="AC82" s="12"/>
      <c r="AD82" s="12"/>
      <c r="AE82" s="12"/>
      <c r="AS82" s="6">
        <v>470959691.39538246</v>
      </c>
      <c r="AT82" s="176">
        <v>29749.011716502322</v>
      </c>
      <c r="AU82" s="176">
        <v>30000</v>
      </c>
      <c r="AV82" s="176">
        <v>30000</v>
      </c>
      <c r="AW82" s="176">
        <v>30000</v>
      </c>
      <c r="AX82" s="176">
        <v>30000</v>
      </c>
      <c r="AY82" s="176">
        <v>30000</v>
      </c>
      <c r="AZ82" s="176">
        <v>30000</v>
      </c>
      <c r="BA82" s="176">
        <v>30000</v>
      </c>
      <c r="BB82" s="176">
        <v>30000</v>
      </c>
      <c r="BC82" s="176">
        <v>30000</v>
      </c>
      <c r="BD82" s="176">
        <v>30000</v>
      </c>
      <c r="BE82" s="176">
        <v>30000</v>
      </c>
      <c r="BF82" s="176">
        <v>30000</v>
      </c>
      <c r="BG82" s="176">
        <v>30000</v>
      </c>
      <c r="BH82" s="176">
        <v>30000</v>
      </c>
      <c r="BI82" s="176">
        <v>30000</v>
      </c>
      <c r="BJ82" s="176">
        <v>30000</v>
      </c>
      <c r="BK82" s="176">
        <v>30000</v>
      </c>
      <c r="BL82" s="176">
        <v>30000</v>
      </c>
      <c r="BM82" s="176">
        <v>30000</v>
      </c>
      <c r="BN82" s="176">
        <v>30000</v>
      </c>
      <c r="BO82" s="176">
        <v>30000</v>
      </c>
      <c r="BP82" s="176">
        <v>30000</v>
      </c>
      <c r="BQ82" s="176">
        <v>30000</v>
      </c>
      <c r="BR82" s="176">
        <v>30000</v>
      </c>
      <c r="BS82" s="176">
        <v>30000</v>
      </c>
      <c r="BT82" s="176">
        <v>30000</v>
      </c>
      <c r="BU82" s="176">
        <v>30000</v>
      </c>
      <c r="BV82" s="176">
        <v>30000</v>
      </c>
      <c r="BW82" s="176">
        <v>30000</v>
      </c>
      <c r="BX82" s="176">
        <v>30000</v>
      </c>
      <c r="BY82" s="176">
        <v>30000</v>
      </c>
      <c r="BZ82" s="176">
        <v>30000</v>
      </c>
      <c r="CA82" s="176">
        <v>30000</v>
      </c>
      <c r="CB82" s="176">
        <v>30000</v>
      </c>
      <c r="CC82" s="176">
        <v>30000</v>
      </c>
      <c r="CD82" s="176">
        <v>30000</v>
      </c>
      <c r="CE82" s="176">
        <v>30000</v>
      </c>
      <c r="CF82" s="176">
        <v>30000</v>
      </c>
      <c r="CG82" s="176">
        <v>30000</v>
      </c>
      <c r="CH82" s="176">
        <v>30000</v>
      </c>
      <c r="CI82" s="176">
        <v>30000</v>
      </c>
      <c r="CJ82" s="176">
        <v>30000</v>
      </c>
      <c r="CK82" s="176">
        <v>30000</v>
      </c>
      <c r="CL82" s="176">
        <v>30000</v>
      </c>
      <c r="CM82" s="176">
        <v>30000</v>
      </c>
      <c r="CN82" s="176">
        <v>30000</v>
      </c>
      <c r="CO82" s="176">
        <v>30000</v>
      </c>
      <c r="CP82" s="176">
        <v>30000</v>
      </c>
      <c r="CQ82" s="176">
        <v>30000</v>
      </c>
      <c r="CR82" s="176">
        <v>30000</v>
      </c>
      <c r="CS82" s="176">
        <v>30000</v>
      </c>
      <c r="CT82" s="176">
        <v>30000</v>
      </c>
      <c r="CU82" s="176">
        <v>30000</v>
      </c>
      <c r="CV82" s="176">
        <v>30000</v>
      </c>
      <c r="CW82" s="176">
        <v>30000</v>
      </c>
      <c r="CX82" s="176">
        <v>30000</v>
      </c>
      <c r="CY82" s="176">
        <v>30000</v>
      </c>
      <c r="CZ82" s="176">
        <v>30000</v>
      </c>
      <c r="DA82" s="176">
        <v>30000</v>
      </c>
      <c r="DB82" s="176">
        <v>30000</v>
      </c>
      <c r="DC82" s="176">
        <v>29251.914494733111</v>
      </c>
      <c r="DD82" s="176">
        <v>28399.526352062454</v>
      </c>
      <c r="DE82" s="176">
        <v>27570.778231087967</v>
      </c>
      <c r="DF82" s="176">
        <v>26767.487005318257</v>
      </c>
      <c r="DG82" s="176">
        <v>25991.664678750756</v>
      </c>
      <c r="DH82" s="176">
        <v>25245.550346409247</v>
      </c>
      <c r="DI82" s="176">
        <v>24531.644573610305</v>
      </c>
      <c r="DJ82" s="176">
        <v>23852.746428463066</v>
      </c>
      <c r="DK82" s="176">
        <v>23211.992929208522</v>
      </c>
      <c r="DL82" s="176">
        <v>22612.90127873699</v>
      </c>
      <c r="DM82" s="176">
        <v>22059.414297089163</v>
      </c>
      <c r="DN82" s="176">
        <v>21555.95059876384</v>
      </c>
      <c r="DO82" s="176">
        <v>21107.463736430196</v>
      </c>
      <c r="DP82" s="176">
        <v>20719.521225002598</v>
      </c>
      <c r="DQ82" s="176">
        <v>20398.430148536365</v>
      </c>
      <c r="DR82" s="176">
        <v>20151.471438081149</v>
      </c>
      <c r="DS82" s="176">
        <v>19987.380853435559</v>
      </c>
      <c r="DT82" s="176">
        <v>19828.932786261652</v>
      </c>
      <c r="DU82" s="176">
        <v>19687.562683139484</v>
      </c>
      <c r="DV82" s="176">
        <v>19611.12454538971</v>
      </c>
      <c r="DW82" s="176">
        <v>19599.955284371608</v>
      </c>
      <c r="DX82" s="176">
        <v>19653.631472872003</v>
      </c>
      <c r="DY82" s="176">
        <v>19770.978238473621</v>
      </c>
      <c r="DZ82" s="176">
        <v>19950.122724597612</v>
      </c>
      <c r="EA82" s="176">
        <v>20188.58499618615</v>
      </c>
      <c r="EB82" s="176">
        <v>20483.39497559737</v>
      </c>
      <c r="EC82" s="176">
        <v>20831.22210831727</v>
      </c>
      <c r="ED82" s="176">
        <v>21228.505123056235</v>
      </c>
      <c r="EE82" s="176">
        <v>21671.571616697522</v>
      </c>
      <c r="EF82" s="176">
        <v>22156.740821386629</v>
      </c>
      <c r="EG82" s="176">
        <v>22680.406062289727</v>
      </c>
      <c r="EH82" s="176">
        <v>23239.096619165441</v>
      </c>
      <c r="EI82" s="176">
        <v>23680.101638456581</v>
      </c>
      <c r="EJ82" s="176">
        <v>24176.991161265243</v>
      </c>
      <c r="EK82" s="176">
        <v>24739.357659010682</v>
      </c>
      <c r="EL82" s="176">
        <v>25348.334759654146</v>
      </c>
      <c r="EM82" s="176">
        <v>25992.437807244867</v>
      </c>
      <c r="EN82" s="176">
        <v>26664.110603452089</v>
      </c>
      <c r="EO82" s="176">
        <v>27358.035704522823</v>
      </c>
      <c r="EP82" t="str">
        <f t="shared" si="1"/>
        <v>14y 337d</v>
      </c>
    </row>
    <row r="83" spans="2:146" x14ac:dyDescent="0.25">
      <c r="B83" s="70">
        <v>80</v>
      </c>
      <c r="D83">
        <v>25095775.971197549</v>
      </c>
      <c r="E83" s="12">
        <v>118716132642.03809</v>
      </c>
      <c r="F83" s="12">
        <v>90037428790.111389</v>
      </c>
      <c r="G83" s="12">
        <v>0</v>
      </c>
      <c r="H83" s="12">
        <v>742034339.05774701</v>
      </c>
      <c r="I83" s="12">
        <v>1274084546930.031</v>
      </c>
      <c r="J83" s="12">
        <v>-741456244778.83423</v>
      </c>
      <c r="K83" s="12">
        <v>-37727844860.809631</v>
      </c>
      <c r="L83" s="12">
        <v>28397337.422236644</v>
      </c>
      <c r="M83" s="12">
        <v>178477181532.99286</v>
      </c>
      <c r="N83" s="12">
        <v>524148983686.94055</v>
      </c>
      <c r="O83" s="12">
        <v>251449266.83266521</v>
      </c>
      <c r="P83" s="12">
        <v>28397340.523092806</v>
      </c>
      <c r="Q83" s="12">
        <v>178477442624.97266</v>
      </c>
      <c r="R83" s="12">
        <v>524149007508.9881</v>
      </c>
      <c r="S83" s="12">
        <v>0</v>
      </c>
      <c r="T83" s="12">
        <v>57509860.403451778</v>
      </c>
      <c r="U83" s="12">
        <v>-71037808148.906631</v>
      </c>
      <c r="V83" s="12">
        <v>960175730871.93579</v>
      </c>
      <c r="W83" s="12">
        <v>-368241320.04280901</v>
      </c>
      <c r="X83" s="12">
        <v>31354460.366520632</v>
      </c>
      <c r="Y83" s="12">
        <v>153316462127.88464</v>
      </c>
      <c r="Z83" s="12">
        <v>591517054506.0365</v>
      </c>
      <c r="AA83" s="12">
        <v>-16398258160.21843</v>
      </c>
      <c r="AB83" s="12"/>
      <c r="AC83" s="12"/>
      <c r="AD83" s="12"/>
      <c r="AE83" s="12"/>
      <c r="AS83" s="6">
        <v>476226456.63170516</v>
      </c>
      <c r="AT83" s="176">
        <v>29388.705247211292</v>
      </c>
      <c r="AU83" s="176">
        <v>30000</v>
      </c>
      <c r="AV83" s="176">
        <v>30000</v>
      </c>
      <c r="AW83" s="176">
        <v>30000</v>
      </c>
      <c r="AX83" s="176">
        <v>30000</v>
      </c>
      <c r="AY83" s="176">
        <v>30000</v>
      </c>
      <c r="AZ83" s="176">
        <v>30000</v>
      </c>
      <c r="BA83" s="176">
        <v>30000</v>
      </c>
      <c r="BB83" s="176">
        <v>30000</v>
      </c>
      <c r="BC83" s="176">
        <v>30000</v>
      </c>
      <c r="BD83" s="176">
        <v>30000</v>
      </c>
      <c r="BE83" s="176">
        <v>30000</v>
      </c>
      <c r="BF83" s="176">
        <v>30000</v>
      </c>
      <c r="BG83" s="176">
        <v>30000</v>
      </c>
      <c r="BH83" s="176">
        <v>30000</v>
      </c>
      <c r="BI83" s="176">
        <v>30000</v>
      </c>
      <c r="BJ83" s="176">
        <v>30000</v>
      </c>
      <c r="BK83" s="176">
        <v>30000</v>
      </c>
      <c r="BL83" s="176">
        <v>30000</v>
      </c>
      <c r="BM83" s="176">
        <v>30000</v>
      </c>
      <c r="BN83" s="176">
        <v>30000</v>
      </c>
      <c r="BO83" s="176">
        <v>30000</v>
      </c>
      <c r="BP83" s="176">
        <v>30000</v>
      </c>
      <c r="BQ83" s="176">
        <v>30000</v>
      </c>
      <c r="BR83" s="176">
        <v>30000</v>
      </c>
      <c r="BS83" s="176">
        <v>30000</v>
      </c>
      <c r="BT83" s="176">
        <v>30000</v>
      </c>
      <c r="BU83" s="176">
        <v>30000</v>
      </c>
      <c r="BV83" s="176">
        <v>30000</v>
      </c>
      <c r="BW83" s="176">
        <v>30000</v>
      </c>
      <c r="BX83" s="176">
        <v>30000</v>
      </c>
      <c r="BY83" s="176">
        <v>30000</v>
      </c>
      <c r="BZ83" s="176">
        <v>30000</v>
      </c>
      <c r="CA83" s="176">
        <v>30000</v>
      </c>
      <c r="CB83" s="176">
        <v>30000</v>
      </c>
      <c r="CC83" s="176">
        <v>30000</v>
      </c>
      <c r="CD83" s="176">
        <v>30000</v>
      </c>
      <c r="CE83" s="176">
        <v>30000</v>
      </c>
      <c r="CF83" s="176">
        <v>30000</v>
      </c>
      <c r="CG83" s="176">
        <v>30000</v>
      </c>
      <c r="CH83" s="176">
        <v>30000</v>
      </c>
      <c r="CI83" s="176">
        <v>30000</v>
      </c>
      <c r="CJ83" s="176">
        <v>30000</v>
      </c>
      <c r="CK83" s="176">
        <v>30000</v>
      </c>
      <c r="CL83" s="176">
        <v>30000</v>
      </c>
      <c r="CM83" s="176">
        <v>30000</v>
      </c>
      <c r="CN83" s="176">
        <v>30000</v>
      </c>
      <c r="CO83" s="176">
        <v>30000</v>
      </c>
      <c r="CP83" s="176">
        <v>30000</v>
      </c>
      <c r="CQ83" s="176">
        <v>30000</v>
      </c>
      <c r="CR83" s="176">
        <v>30000</v>
      </c>
      <c r="CS83" s="176">
        <v>30000</v>
      </c>
      <c r="CT83" s="176">
        <v>30000</v>
      </c>
      <c r="CU83" s="176">
        <v>30000</v>
      </c>
      <c r="CV83" s="176">
        <v>30000</v>
      </c>
      <c r="CW83" s="176">
        <v>30000</v>
      </c>
      <c r="CX83" s="176">
        <v>30000</v>
      </c>
      <c r="CY83" s="176">
        <v>30000</v>
      </c>
      <c r="CZ83" s="176">
        <v>30000</v>
      </c>
      <c r="DA83" s="176">
        <v>30000</v>
      </c>
      <c r="DB83" s="176">
        <v>30000</v>
      </c>
      <c r="DC83" s="176">
        <v>29699.923102501907</v>
      </c>
      <c r="DD83" s="176">
        <v>28834.994572049753</v>
      </c>
      <c r="DE83" s="176">
        <v>27992.827029486598</v>
      </c>
      <c r="DF83" s="176">
        <v>27175.154946174524</v>
      </c>
      <c r="DG83" s="176">
        <v>26383.891339251168</v>
      </c>
      <c r="DH83" s="176">
        <v>25621.15781642553</v>
      </c>
      <c r="DI83" s="176">
        <v>24889.316757053566</v>
      </c>
      <c r="DJ83" s="176">
        <v>24191.005754689875</v>
      </c>
      <c r="DK83" s="176">
        <v>23529.173975628248</v>
      </c>
      <c r="DL83" s="176">
        <v>22907.120554496425</v>
      </c>
      <c r="DM83" s="176">
        <v>22328.535023820485</v>
      </c>
      <c r="DN83" s="176">
        <v>21797.540442112804</v>
      </c>
      <c r="DO83" s="176">
        <v>21318.741466475421</v>
      </c>
      <c r="DP83" s="176">
        <v>20897.283723549001</v>
      </c>
      <c r="DQ83" s="176">
        <v>20538.940773963895</v>
      </c>
      <c r="DR83" s="176">
        <v>20250.267758815346</v>
      </c>
      <c r="DS83" s="176">
        <v>20038.910612881908</v>
      </c>
      <c r="DT83" s="176">
        <v>19912.242966353591</v>
      </c>
      <c r="DU83" s="176">
        <v>19739.460925498879</v>
      </c>
      <c r="DV83" s="176">
        <v>19631.315225495393</v>
      </c>
      <c r="DW83" s="176">
        <v>19588.492777868054</v>
      </c>
      <c r="DX83" s="176">
        <v>19610.927836428968</v>
      </c>
      <c r="DY83" s="176">
        <v>19697.789011705499</v>
      </c>
      <c r="DZ83" s="176">
        <v>19847.512524632115</v>
      </c>
      <c r="EA83" s="176">
        <v>20057.87723391828</v>
      </c>
      <c r="EB83" s="176">
        <v>20326.111697687531</v>
      </c>
      <c r="EC83" s="176">
        <v>20649.020413627244</v>
      </c>
      <c r="ED83" s="176">
        <v>21023.115905410446</v>
      </c>
      <c r="EE83" s="176">
        <v>21444.744968741292</v>
      </c>
      <c r="EF83" s="176">
        <v>21910.200686337892</v>
      </c>
      <c r="EG83" s="176">
        <v>22415.815146705885</v>
      </c>
      <c r="EH83" s="176">
        <v>22958.031277602277</v>
      </c>
      <c r="EI83" s="176">
        <v>23458.152568811623</v>
      </c>
      <c r="EJ83" s="176">
        <v>23919.761593263411</v>
      </c>
      <c r="EK83" s="176">
        <v>24458.163627179973</v>
      </c>
      <c r="EL83" s="176">
        <v>25049.497461666066</v>
      </c>
      <c r="EM83" s="176">
        <v>25679.830283465672</v>
      </c>
      <c r="EN83" s="176">
        <v>26340.308271946124</v>
      </c>
      <c r="EO83" s="176">
        <v>27024.875592521326</v>
      </c>
      <c r="EP83" t="str">
        <f t="shared" si="1"/>
        <v>15y 33d</v>
      </c>
    </row>
    <row r="84" spans="2:146" x14ac:dyDescent="0.25">
      <c r="B84" s="70">
        <v>81</v>
      </c>
      <c r="D84">
        <v>25408628.828997444</v>
      </c>
      <c r="E84" s="12">
        <v>112714401467.92093</v>
      </c>
      <c r="F84" s="12">
        <v>97215705106.939102</v>
      </c>
      <c r="G84" s="12">
        <v>0</v>
      </c>
      <c r="H84" s="12">
        <v>751927218.46289337</v>
      </c>
      <c r="I84" s="12">
        <v>1313935210391.7036</v>
      </c>
      <c r="J84" s="12">
        <v>-657917589295.14111</v>
      </c>
      <c r="K84" s="12">
        <v>-40767094817.24099</v>
      </c>
      <c r="L84" s="12">
        <v>30296703.824606165</v>
      </c>
      <c r="M84" s="12">
        <v>167662552108.29587</v>
      </c>
      <c r="N84" s="12">
        <v>555072367614.07031</v>
      </c>
      <c r="O84" s="12">
        <v>240723569.24935371</v>
      </c>
      <c r="P84" s="12">
        <v>30296707.093219232</v>
      </c>
      <c r="Q84" s="12">
        <v>167662812124.24506</v>
      </c>
      <c r="R84" s="12">
        <v>555072393635.31409</v>
      </c>
      <c r="S84" s="12">
        <v>0</v>
      </c>
      <c r="T84" s="12">
        <v>60033521.871747121</v>
      </c>
      <c r="U84" s="12">
        <v>-87936039237.378448</v>
      </c>
      <c r="V84" s="12">
        <v>979267228728.11414</v>
      </c>
      <c r="W84" s="12">
        <v>-378022497.36052901</v>
      </c>
      <c r="X84" s="12">
        <v>33427710.298383459</v>
      </c>
      <c r="Y84" s="12">
        <v>140596891885.60773</v>
      </c>
      <c r="Z84" s="12">
        <v>622023053933.53577</v>
      </c>
      <c r="AA84" s="12">
        <v>-16424071559.543419</v>
      </c>
      <c r="AB84" s="12"/>
      <c r="AC84" s="12"/>
      <c r="AD84" s="12"/>
      <c r="AE84" s="12"/>
      <c r="AS84" s="6">
        <v>481493221.86802787</v>
      </c>
      <c r="AT84" s="176">
        <v>29031.738247772271</v>
      </c>
      <c r="AU84" s="176">
        <v>29772.025751072968</v>
      </c>
      <c r="AV84" s="176">
        <v>30000</v>
      </c>
      <c r="AW84" s="176">
        <v>30000</v>
      </c>
      <c r="AX84" s="176">
        <v>30000</v>
      </c>
      <c r="AY84" s="176">
        <v>30000</v>
      </c>
      <c r="AZ84" s="176">
        <v>30000</v>
      </c>
      <c r="BA84" s="176">
        <v>30000</v>
      </c>
      <c r="BB84" s="176">
        <v>30000</v>
      </c>
      <c r="BC84" s="176">
        <v>30000</v>
      </c>
      <c r="BD84" s="176">
        <v>30000</v>
      </c>
      <c r="BE84" s="176">
        <v>30000</v>
      </c>
      <c r="BF84" s="176">
        <v>30000</v>
      </c>
      <c r="BG84" s="176">
        <v>30000</v>
      </c>
      <c r="BH84" s="176">
        <v>30000</v>
      </c>
      <c r="BI84" s="176">
        <v>30000</v>
      </c>
      <c r="BJ84" s="176">
        <v>30000</v>
      </c>
      <c r="BK84" s="176">
        <v>30000</v>
      </c>
      <c r="BL84" s="176">
        <v>30000</v>
      </c>
      <c r="BM84" s="176">
        <v>30000</v>
      </c>
      <c r="BN84" s="176">
        <v>30000</v>
      </c>
      <c r="BO84" s="176">
        <v>30000</v>
      </c>
      <c r="BP84" s="176">
        <v>30000</v>
      </c>
      <c r="BQ84" s="176">
        <v>30000</v>
      </c>
      <c r="BR84" s="176">
        <v>30000</v>
      </c>
      <c r="BS84" s="176">
        <v>30000</v>
      </c>
      <c r="BT84" s="176">
        <v>30000</v>
      </c>
      <c r="BU84" s="176">
        <v>30000</v>
      </c>
      <c r="BV84" s="176">
        <v>30000</v>
      </c>
      <c r="BW84" s="176">
        <v>30000</v>
      </c>
      <c r="BX84" s="176">
        <v>30000</v>
      </c>
      <c r="BY84" s="176">
        <v>30000</v>
      </c>
      <c r="BZ84" s="176">
        <v>30000</v>
      </c>
      <c r="CA84" s="176">
        <v>30000</v>
      </c>
      <c r="CB84" s="176">
        <v>30000</v>
      </c>
      <c r="CC84" s="176">
        <v>30000</v>
      </c>
      <c r="CD84" s="176">
        <v>30000</v>
      </c>
      <c r="CE84" s="176">
        <v>30000</v>
      </c>
      <c r="CF84" s="176">
        <v>30000</v>
      </c>
      <c r="CG84" s="176">
        <v>30000</v>
      </c>
      <c r="CH84" s="176">
        <v>30000</v>
      </c>
      <c r="CI84" s="176">
        <v>30000</v>
      </c>
      <c r="CJ84" s="176">
        <v>30000</v>
      </c>
      <c r="CK84" s="176">
        <v>30000</v>
      </c>
      <c r="CL84" s="176">
        <v>30000</v>
      </c>
      <c r="CM84" s="176">
        <v>30000</v>
      </c>
      <c r="CN84" s="176">
        <v>30000</v>
      </c>
      <c r="CO84" s="176">
        <v>30000</v>
      </c>
      <c r="CP84" s="176">
        <v>30000</v>
      </c>
      <c r="CQ84" s="176">
        <v>30000</v>
      </c>
      <c r="CR84" s="176">
        <v>30000</v>
      </c>
      <c r="CS84" s="176">
        <v>30000</v>
      </c>
      <c r="CT84" s="176">
        <v>30000</v>
      </c>
      <c r="CU84" s="176">
        <v>30000</v>
      </c>
      <c r="CV84" s="176">
        <v>30000</v>
      </c>
      <c r="CW84" s="176">
        <v>30000</v>
      </c>
      <c r="CX84" s="176">
        <v>30000</v>
      </c>
      <c r="CY84" s="176">
        <v>30000</v>
      </c>
      <c r="CZ84" s="176">
        <v>30000</v>
      </c>
      <c r="DA84" s="176">
        <v>30000</v>
      </c>
      <c r="DB84" s="176">
        <v>30000</v>
      </c>
      <c r="DC84" s="176">
        <v>30000</v>
      </c>
      <c r="DD84" s="176">
        <v>29276.760341141515</v>
      </c>
      <c r="DE84" s="176">
        <v>28421.649535128716</v>
      </c>
      <c r="DF84" s="176">
        <v>27590.116149641999</v>
      </c>
      <c r="DG84" s="176">
        <v>26783.983736330018</v>
      </c>
      <c r="DH84" s="176">
        <v>26005.267309024799</v>
      </c>
      <c r="DI84" s="176">
        <v>25256.203621750326</v>
      </c>
      <c r="DJ84" s="176">
        <v>24539.283416894548</v>
      </c>
      <c r="DK84" s="176">
        <v>23857.285231063848</v>
      </c>
      <c r="DL84" s="176">
        <v>23213.310700656122</v>
      </c>
      <c r="DM84" s="176">
        <v>22610.821086864096</v>
      </c>
      <c r="DN84" s="176">
        <v>22053.675105670052</v>
      </c>
      <c r="DO84" s="176">
        <v>21546.16904357692</v>
      </c>
      <c r="DP84" s="176">
        <v>21093.082614089075</v>
      </c>
      <c r="DQ84" s="176">
        <v>20699.740187857657</v>
      </c>
      <c r="DR84" s="176">
        <v>20372.111540819533</v>
      </c>
      <c r="DS84" s="176">
        <v>20117.008617703628</v>
      </c>
      <c r="DT84" s="176">
        <v>19942.504008207059</v>
      </c>
      <c r="DU84" s="176">
        <v>19806.114511176795</v>
      </c>
      <c r="DV84" s="176">
        <v>19666.34578901056</v>
      </c>
      <c r="DW84" s="176">
        <v>19591.785756607907</v>
      </c>
      <c r="DX84" s="176">
        <v>19582.726829281033</v>
      </c>
      <c r="DY84" s="176">
        <v>19638.691893454059</v>
      </c>
      <c r="DZ84" s="176">
        <v>19758.446069685015</v>
      </c>
      <c r="EA84" s="176">
        <v>19940.053434587142</v>
      </c>
      <c r="EB84" s="176">
        <v>20180.971172244073</v>
      </c>
      <c r="EC84" s="176">
        <v>20478.169344829825</v>
      </c>
      <c r="ED84" s="176">
        <v>20828.262737126795</v>
      </c>
      <c r="EE84" s="176">
        <v>21227.641996350798</v>
      </c>
      <c r="EF84" s="176">
        <v>21672.593921542659</v>
      </c>
      <c r="EG84" s="176">
        <v>22159.404228984051</v>
      </c>
      <c r="EH84" s="176">
        <v>22684.439671880351</v>
      </c>
      <c r="EI84" s="176">
        <v>23244.209156256889</v>
      </c>
      <c r="EJ84" s="176">
        <v>23674.37567283793</v>
      </c>
      <c r="EK84" s="176">
        <v>24185.429457083268</v>
      </c>
      <c r="EL84" s="176">
        <v>24757.243463316001</v>
      </c>
      <c r="EM84" s="176">
        <v>25372.652059450116</v>
      </c>
      <c r="EN84" s="176">
        <v>26021.156848413335</v>
      </c>
      <c r="EO84" s="176">
        <v>26695.799024953769</v>
      </c>
      <c r="EP84" t="str">
        <f t="shared" si="1"/>
        <v>15y 94d</v>
      </c>
    </row>
    <row r="85" spans="2:146" x14ac:dyDescent="0.25">
      <c r="B85" s="70">
        <v>82</v>
      </c>
      <c r="D85">
        <v>25720855.892839331</v>
      </c>
      <c r="E85" s="12">
        <v>106282387354.26392</v>
      </c>
      <c r="F85" s="12">
        <v>103998159278.07776</v>
      </c>
      <c r="G85" s="12">
        <v>0</v>
      </c>
      <c r="H85" s="12">
        <v>761757510.21971786</v>
      </c>
      <c r="I85" s="12">
        <v>1348216505515.4053</v>
      </c>
      <c r="J85" s="12">
        <v>-572244752869.77466</v>
      </c>
      <c r="K85" s="12">
        <v>-43622143840.60157</v>
      </c>
      <c r="L85" s="12">
        <v>32381100.31421819</v>
      </c>
      <c r="M85" s="12">
        <v>155321946803.82275</v>
      </c>
      <c r="N85" s="12">
        <v>587442563166.4906</v>
      </c>
      <c r="O85" s="12">
        <v>228274573.54265597</v>
      </c>
      <c r="P85" s="12">
        <v>32381103.753287226</v>
      </c>
      <c r="Q85" s="12">
        <v>155322205027.16901</v>
      </c>
      <c r="R85" s="12">
        <v>587442591450.28516</v>
      </c>
      <c r="S85" s="12">
        <v>0</v>
      </c>
      <c r="T85" s="12">
        <v>62664663.947675459</v>
      </c>
      <c r="U85" s="12">
        <v>-105470695770.82225</v>
      </c>
      <c r="V85" s="12">
        <v>998245236284.11621</v>
      </c>
      <c r="W85" s="12">
        <v>-387862554.38254309</v>
      </c>
      <c r="X85" s="12">
        <v>35686631.866793662</v>
      </c>
      <c r="Y85" s="12">
        <v>126387520326.43704</v>
      </c>
      <c r="Z85" s="12">
        <v>653707921459.74207</v>
      </c>
      <c r="AA85" s="12">
        <v>-16411202140.581747</v>
      </c>
      <c r="AB85" s="12"/>
      <c r="AC85" s="12"/>
      <c r="AD85" s="12"/>
      <c r="AE85" s="12"/>
      <c r="AS85" s="6">
        <v>486759987.10435057</v>
      </c>
      <c r="AT85" s="176">
        <v>28678.209938410506</v>
      </c>
      <c r="AU85" s="176">
        <v>29412.371207184246</v>
      </c>
      <c r="AV85" s="176">
        <v>30000</v>
      </c>
      <c r="AW85" s="176">
        <v>30000</v>
      </c>
      <c r="AX85" s="176">
        <v>30000</v>
      </c>
      <c r="AY85" s="176">
        <v>30000</v>
      </c>
      <c r="AZ85" s="176">
        <v>30000</v>
      </c>
      <c r="BA85" s="176">
        <v>30000</v>
      </c>
      <c r="BB85" s="176">
        <v>30000</v>
      </c>
      <c r="BC85" s="176">
        <v>30000</v>
      </c>
      <c r="BD85" s="176">
        <v>30000</v>
      </c>
      <c r="BE85" s="176">
        <v>30000</v>
      </c>
      <c r="BF85" s="176">
        <v>30000</v>
      </c>
      <c r="BG85" s="176">
        <v>30000</v>
      </c>
      <c r="BH85" s="176">
        <v>30000</v>
      </c>
      <c r="BI85" s="176">
        <v>30000</v>
      </c>
      <c r="BJ85" s="176">
        <v>30000</v>
      </c>
      <c r="BK85" s="176">
        <v>30000</v>
      </c>
      <c r="BL85" s="176">
        <v>30000</v>
      </c>
      <c r="BM85" s="176">
        <v>30000</v>
      </c>
      <c r="BN85" s="176">
        <v>30000</v>
      </c>
      <c r="BO85" s="176">
        <v>30000</v>
      </c>
      <c r="BP85" s="176">
        <v>30000</v>
      </c>
      <c r="BQ85" s="176">
        <v>30000</v>
      </c>
      <c r="BR85" s="176">
        <v>30000</v>
      </c>
      <c r="BS85" s="176">
        <v>30000</v>
      </c>
      <c r="BT85" s="176">
        <v>30000</v>
      </c>
      <c r="BU85" s="176">
        <v>30000</v>
      </c>
      <c r="BV85" s="176">
        <v>30000</v>
      </c>
      <c r="BW85" s="176">
        <v>30000</v>
      </c>
      <c r="BX85" s="176">
        <v>30000</v>
      </c>
      <c r="BY85" s="176">
        <v>30000</v>
      </c>
      <c r="BZ85" s="176">
        <v>30000</v>
      </c>
      <c r="CA85" s="176">
        <v>30000</v>
      </c>
      <c r="CB85" s="176">
        <v>30000</v>
      </c>
      <c r="CC85" s="176">
        <v>30000</v>
      </c>
      <c r="CD85" s="176">
        <v>30000</v>
      </c>
      <c r="CE85" s="176">
        <v>30000</v>
      </c>
      <c r="CF85" s="176">
        <v>30000</v>
      </c>
      <c r="CG85" s="176">
        <v>30000</v>
      </c>
      <c r="CH85" s="176">
        <v>30000</v>
      </c>
      <c r="CI85" s="176">
        <v>30000</v>
      </c>
      <c r="CJ85" s="176">
        <v>30000</v>
      </c>
      <c r="CK85" s="176">
        <v>30000</v>
      </c>
      <c r="CL85" s="176">
        <v>30000</v>
      </c>
      <c r="CM85" s="176">
        <v>30000</v>
      </c>
      <c r="CN85" s="176">
        <v>30000</v>
      </c>
      <c r="CO85" s="176">
        <v>30000</v>
      </c>
      <c r="CP85" s="176">
        <v>30000</v>
      </c>
      <c r="CQ85" s="176">
        <v>30000</v>
      </c>
      <c r="CR85" s="176">
        <v>30000</v>
      </c>
      <c r="CS85" s="176">
        <v>30000</v>
      </c>
      <c r="CT85" s="176">
        <v>30000</v>
      </c>
      <c r="CU85" s="176">
        <v>30000</v>
      </c>
      <c r="CV85" s="176">
        <v>30000</v>
      </c>
      <c r="CW85" s="176">
        <v>30000</v>
      </c>
      <c r="CX85" s="176">
        <v>30000</v>
      </c>
      <c r="CY85" s="176">
        <v>30000</v>
      </c>
      <c r="CZ85" s="176">
        <v>30000</v>
      </c>
      <c r="DA85" s="176">
        <v>30000</v>
      </c>
      <c r="DB85" s="176">
        <v>30000</v>
      </c>
      <c r="DC85" s="176">
        <v>30000</v>
      </c>
      <c r="DD85" s="176">
        <v>29724.626759901763</v>
      </c>
      <c r="DE85" s="176">
        <v>28857.02894754248</v>
      </c>
      <c r="DF85" s="176">
        <v>28012.129294416114</v>
      </c>
      <c r="DG85" s="176">
        <v>27191.670686765581</v>
      </c>
      <c r="DH85" s="176">
        <v>26397.571498631547</v>
      </c>
      <c r="DI85" s="176">
        <v>25631.954324897644</v>
      </c>
      <c r="DJ85" s="176">
        <v>24897.176232090402</v>
      </c>
      <c r="DK85" s="176">
        <v>24195.860499239563</v>
      </c>
      <c r="DL85" s="176">
        <v>23530.92941336221</v>
      </c>
      <c r="DM85" s="176">
        <v>22905.637740647366</v>
      </c>
      <c r="DN85" s="176">
        <v>22323.606565899179</v>
      </c>
      <c r="DO85" s="176">
        <v>21788.857665914205</v>
      </c>
      <c r="DP85" s="176">
        <v>21305.85002737277</v>
      </c>
      <c r="DQ85" s="176">
        <v>20879.52389763797</v>
      </c>
      <c r="DR85" s="176">
        <v>20515.366882228605</v>
      </c>
      <c r="DS85" s="176">
        <v>20219.53740169368</v>
      </c>
      <c r="DT85" s="176">
        <v>19999.126031254109</v>
      </c>
      <c r="DU85" s="176">
        <v>19862.730595236288</v>
      </c>
      <c r="DV85" s="176">
        <v>19716.215537123258</v>
      </c>
      <c r="DW85" s="176">
        <v>19609.913250595637</v>
      </c>
      <c r="DX85" s="176">
        <v>19569.185244686523</v>
      </c>
      <c r="DY85" s="176">
        <v>19593.914690076857</v>
      </c>
      <c r="DZ85" s="176">
        <v>19683.211461868577</v>
      </c>
      <c r="EA85" s="176">
        <v>19835.448604260051</v>
      </c>
      <c r="EB85" s="176">
        <v>20048.340733021192</v>
      </c>
      <c r="EC85" s="176">
        <v>20319.054204876182</v>
      </c>
      <c r="ED85" s="176">
        <v>20644.335880472972</v>
      </c>
      <c r="EE85" s="176">
        <v>21020.646950974042</v>
      </c>
      <c r="EF85" s="176">
        <v>21444.290180648681</v>
      </c>
      <c r="EG85" s="176">
        <v>21911.522159520318</v>
      </c>
      <c r="EH85" s="176">
        <v>22418.645804714022</v>
      </c>
      <c r="EI85" s="176">
        <v>22962.081532944772</v>
      </c>
      <c r="EJ85" s="176">
        <v>23442.657255385537</v>
      </c>
      <c r="EK85" s="176">
        <v>23922.030228801836</v>
      </c>
      <c r="EL85" s="176">
        <v>24472.049588914342</v>
      </c>
      <c r="EM85" s="176">
        <v>25071.197377366429</v>
      </c>
      <c r="EN85" s="176">
        <v>25706.858783339747</v>
      </c>
      <c r="EO85" s="176">
        <v>26370.957381537566</v>
      </c>
      <c r="EP85" t="str">
        <f t="shared" si="1"/>
        <v>15y 155d</v>
      </c>
    </row>
    <row r="86" spans="2:146" x14ac:dyDescent="0.25">
      <c r="B86" s="70">
        <v>83</v>
      </c>
      <c r="D86">
        <v>26032471.906579688</v>
      </c>
      <c r="E86" s="12">
        <v>99446314925.009796</v>
      </c>
      <c r="F86" s="12">
        <v>110359656450.3756</v>
      </c>
      <c r="G86" s="12">
        <v>0</v>
      </c>
      <c r="H86" s="12">
        <v>771523724.79745603</v>
      </c>
      <c r="I86" s="12">
        <v>1376836398718.0059</v>
      </c>
      <c r="J86" s="12">
        <v>-484822028889.42029</v>
      </c>
      <c r="K86" s="12">
        <v>-46282639392.652191</v>
      </c>
      <c r="L86" s="12">
        <v>34671527.258575834</v>
      </c>
      <c r="M86" s="12">
        <v>141302671485.87021</v>
      </c>
      <c r="N86" s="12">
        <v>621274938161.37012</v>
      </c>
      <c r="O86" s="12">
        <v>213920529.13786602</v>
      </c>
      <c r="P86" s="12">
        <v>34671530.868922018</v>
      </c>
      <c r="Q86" s="12">
        <v>141302927114.99585</v>
      </c>
      <c r="R86" s="12">
        <v>621274968765.58643</v>
      </c>
      <c r="S86" s="12">
        <v>0</v>
      </c>
      <c r="T86" s="12">
        <v>65406437.073534079</v>
      </c>
      <c r="U86" s="12">
        <v>-123640717382.12749</v>
      </c>
      <c r="V86" s="12">
        <v>1017057153747.8302</v>
      </c>
      <c r="W86" s="12">
        <v>-397741767.94923562</v>
      </c>
      <c r="X86" s="12">
        <v>38149790.457879171</v>
      </c>
      <c r="Y86" s="12">
        <v>110564240223.38422</v>
      </c>
      <c r="Z86" s="12">
        <v>686552813741.50781</v>
      </c>
      <c r="AA86" s="12">
        <v>-16354388498.888107</v>
      </c>
      <c r="AB86" s="12"/>
      <c r="AC86" s="12"/>
      <c r="AD86" s="12"/>
      <c r="AE86" s="12"/>
      <c r="AS86" s="6">
        <v>492026752.34067327</v>
      </c>
      <c r="AT86" s="176">
        <v>28328.226454924599</v>
      </c>
      <c r="AU86" s="176">
        <v>29055.924464961674</v>
      </c>
      <c r="AV86" s="176">
        <v>29796.099858483878</v>
      </c>
      <c r="AW86" s="176">
        <v>30000</v>
      </c>
      <c r="AX86" s="176">
        <v>30000</v>
      </c>
      <c r="AY86" s="176">
        <v>30000</v>
      </c>
      <c r="AZ86" s="176">
        <v>30000</v>
      </c>
      <c r="BA86" s="176">
        <v>30000</v>
      </c>
      <c r="BB86" s="176">
        <v>30000</v>
      </c>
      <c r="BC86" s="176">
        <v>30000</v>
      </c>
      <c r="BD86" s="176">
        <v>30000</v>
      </c>
      <c r="BE86" s="176">
        <v>30000</v>
      </c>
      <c r="BF86" s="176">
        <v>30000</v>
      </c>
      <c r="BG86" s="176">
        <v>30000</v>
      </c>
      <c r="BH86" s="176">
        <v>30000</v>
      </c>
      <c r="BI86" s="176">
        <v>30000</v>
      </c>
      <c r="BJ86" s="176">
        <v>30000</v>
      </c>
      <c r="BK86" s="176">
        <v>30000</v>
      </c>
      <c r="BL86" s="176">
        <v>30000</v>
      </c>
      <c r="BM86" s="176">
        <v>30000</v>
      </c>
      <c r="BN86" s="176">
        <v>30000</v>
      </c>
      <c r="BO86" s="176">
        <v>30000</v>
      </c>
      <c r="BP86" s="176">
        <v>30000</v>
      </c>
      <c r="BQ86" s="176">
        <v>30000</v>
      </c>
      <c r="BR86" s="176">
        <v>30000</v>
      </c>
      <c r="BS86" s="176">
        <v>30000</v>
      </c>
      <c r="BT86" s="176">
        <v>30000</v>
      </c>
      <c r="BU86" s="176">
        <v>30000</v>
      </c>
      <c r="BV86" s="176">
        <v>30000</v>
      </c>
      <c r="BW86" s="176">
        <v>30000</v>
      </c>
      <c r="BX86" s="176">
        <v>30000</v>
      </c>
      <c r="BY86" s="176">
        <v>30000</v>
      </c>
      <c r="BZ86" s="176">
        <v>30000</v>
      </c>
      <c r="CA86" s="176">
        <v>30000</v>
      </c>
      <c r="CB86" s="176">
        <v>30000</v>
      </c>
      <c r="CC86" s="176">
        <v>30000</v>
      </c>
      <c r="CD86" s="176">
        <v>30000</v>
      </c>
      <c r="CE86" s="176">
        <v>30000</v>
      </c>
      <c r="CF86" s="176">
        <v>30000</v>
      </c>
      <c r="CG86" s="176">
        <v>30000</v>
      </c>
      <c r="CH86" s="176">
        <v>30000</v>
      </c>
      <c r="CI86" s="176">
        <v>30000</v>
      </c>
      <c r="CJ86" s="176">
        <v>30000</v>
      </c>
      <c r="CK86" s="176">
        <v>30000</v>
      </c>
      <c r="CL86" s="176">
        <v>30000</v>
      </c>
      <c r="CM86" s="176">
        <v>30000</v>
      </c>
      <c r="CN86" s="176">
        <v>30000</v>
      </c>
      <c r="CO86" s="176">
        <v>30000</v>
      </c>
      <c r="CP86" s="176">
        <v>30000</v>
      </c>
      <c r="CQ86" s="176">
        <v>30000</v>
      </c>
      <c r="CR86" s="176">
        <v>30000</v>
      </c>
      <c r="CS86" s="176">
        <v>30000</v>
      </c>
      <c r="CT86" s="176">
        <v>30000</v>
      </c>
      <c r="CU86" s="176">
        <v>30000</v>
      </c>
      <c r="CV86" s="176">
        <v>30000</v>
      </c>
      <c r="CW86" s="176">
        <v>30000</v>
      </c>
      <c r="CX86" s="176">
        <v>30000</v>
      </c>
      <c r="CY86" s="176">
        <v>30000</v>
      </c>
      <c r="CZ86" s="176">
        <v>30000</v>
      </c>
      <c r="DA86" s="176">
        <v>30000</v>
      </c>
      <c r="DB86" s="176">
        <v>30000</v>
      </c>
      <c r="DC86" s="176">
        <v>30000</v>
      </c>
      <c r="DD86" s="176">
        <v>30000</v>
      </c>
      <c r="DE86" s="176">
        <v>29298.762215198021</v>
      </c>
      <c r="DF86" s="176">
        <v>28440.969233008418</v>
      </c>
      <c r="DG86" s="176">
        <v>27606.699999844568</v>
      </c>
      <c r="DH86" s="176">
        <v>26797.785489633126</v>
      </c>
      <c r="DI86" s="176">
        <v>26016.244548732277</v>
      </c>
      <c r="DJ86" s="176">
        <v>25264.312536534431</v>
      </c>
      <c r="DK86" s="176">
        <v>24544.471272801216</v>
      </c>
      <c r="DL86" s="176">
        <v>23859.479802313464</v>
      </c>
      <c r="DM86" s="176">
        <v>23212.405473054532</v>
      </c>
      <c r="DN86" s="176">
        <v>22606.654773804206</v>
      </c>
      <c r="DO86" s="176">
        <v>22046.00357141779</v>
      </c>
      <c r="DP86" s="176">
        <v>21534.627182348384</v>
      </c>
      <c r="DQ86" s="176">
        <v>21077.13296902414</v>
      </c>
      <c r="DR86" s="176">
        <v>20678.603810085799</v>
      </c>
      <c r="DS86" s="176">
        <v>20344.67401318482</v>
      </c>
      <c r="DT86" s="176">
        <v>20081.688522475932</v>
      </c>
      <c r="DU86" s="176">
        <v>19897.058637922131</v>
      </c>
      <c r="DV86" s="176">
        <v>19780.888921326416</v>
      </c>
      <c r="DW86" s="176">
        <v>19642.918582305982</v>
      </c>
      <c r="DX86" s="176">
        <v>19570.425669181805</v>
      </c>
      <c r="DY86" s="176">
        <v>19563.654684906571</v>
      </c>
      <c r="DZ86" s="176">
        <v>19622.071675047038</v>
      </c>
      <c r="EA86" s="176">
        <v>19744.379065443623</v>
      </c>
      <c r="EB86" s="176">
        <v>19928.575813506402</v>
      </c>
      <c r="EC86" s="176">
        <v>20172.054890758598</v>
      </c>
      <c r="ED86" s="176">
        <v>20471.725904127139</v>
      </c>
      <c r="EE86" s="176">
        <v>20824.149064305966</v>
      </c>
      <c r="EF86" s="176">
        <v>21225.667627734401</v>
      </c>
      <c r="EG86" s="176">
        <v>21672.528727243105</v>
      </c>
      <c r="EH86" s="176">
        <v>22160.986074578173</v>
      </c>
      <c r="EI86" s="176">
        <v>22687.381531434756</v>
      </c>
      <c r="EJ86" s="176">
        <v>23227.065777347947</v>
      </c>
      <c r="EK86" s="176">
        <v>23669.066955755941</v>
      </c>
      <c r="EL86" s="176">
        <v>24194.480036291283</v>
      </c>
      <c r="EM86" s="176">
        <v>24775.797821760138</v>
      </c>
      <c r="EN86" s="176">
        <v>25397.634903981751</v>
      </c>
      <c r="EO86" s="176">
        <v>26050.512918738765</v>
      </c>
      <c r="EP86" t="str">
        <f t="shared" si="1"/>
        <v>15y 216d</v>
      </c>
    </row>
    <row r="87" spans="2:146" x14ac:dyDescent="0.25">
      <c r="B87" s="70">
        <v>84</v>
      </c>
      <c r="D87">
        <v>26343493.894566931</v>
      </c>
      <c r="E87" s="12">
        <v>92233792262.362045</v>
      </c>
      <c r="F87" s="12">
        <v>116276811754.82144</v>
      </c>
      <c r="G87" s="12">
        <v>0</v>
      </c>
      <c r="H87" s="12">
        <v>781224675.09031785</v>
      </c>
      <c r="I87" s="12">
        <v>1399730431309.8455</v>
      </c>
      <c r="J87" s="12">
        <v>-396034416416.55756</v>
      </c>
      <c r="K87" s="12">
        <v>-48739312721.518875</v>
      </c>
      <c r="L87" s="12">
        <v>37191244.022951446</v>
      </c>
      <c r="M87" s="12">
        <v>125442068010.68677</v>
      </c>
      <c r="N87" s="12">
        <v>656566440294.94067</v>
      </c>
      <c r="O87" s="12">
        <v>197466427.7423231</v>
      </c>
      <c r="P87" s="12">
        <v>37191247.802932158</v>
      </c>
      <c r="Q87" s="12">
        <v>125442320151.80194</v>
      </c>
      <c r="R87" s="12">
        <v>656566473271.84314</v>
      </c>
      <c r="S87" s="12">
        <v>0</v>
      </c>
      <c r="T87" s="12">
        <v>68261830.634921715</v>
      </c>
      <c r="U87" s="12">
        <v>-142441823965.79288</v>
      </c>
      <c r="V87" s="12">
        <v>1035646437416.611</v>
      </c>
      <c r="W87" s="12">
        <v>-407638437.36290652</v>
      </c>
      <c r="X87" s="12">
        <v>40837350.316479348</v>
      </c>
      <c r="Y87" s="12">
        <v>92998636815.082489</v>
      </c>
      <c r="Z87" s="12">
        <v>720519597702.60803</v>
      </c>
      <c r="AA87" s="12">
        <v>-16247861987.526253</v>
      </c>
      <c r="AB87" s="12"/>
      <c r="AC87" s="12"/>
      <c r="AD87" s="12"/>
      <c r="AE87" s="12"/>
      <c r="AS87" s="6">
        <v>497293517.57699597</v>
      </c>
      <c r="AT87" s="176">
        <v>27981.901390835428</v>
      </c>
      <c r="AU87" s="176">
        <v>28702.777296032924</v>
      </c>
      <c r="AV87" s="176">
        <v>29437.068178314454</v>
      </c>
      <c r="AW87" s="176">
        <v>30000</v>
      </c>
      <c r="AX87" s="176">
        <v>30000</v>
      </c>
      <c r="AY87" s="176">
        <v>30000</v>
      </c>
      <c r="AZ87" s="176">
        <v>30000</v>
      </c>
      <c r="BA87" s="176">
        <v>30000</v>
      </c>
      <c r="BB87" s="176">
        <v>30000</v>
      </c>
      <c r="BC87" s="176">
        <v>30000</v>
      </c>
      <c r="BD87" s="176">
        <v>30000</v>
      </c>
      <c r="BE87" s="176">
        <v>30000</v>
      </c>
      <c r="BF87" s="176">
        <v>30000</v>
      </c>
      <c r="BG87" s="176">
        <v>30000</v>
      </c>
      <c r="BH87" s="176">
        <v>30000</v>
      </c>
      <c r="BI87" s="176">
        <v>30000</v>
      </c>
      <c r="BJ87" s="176">
        <v>30000</v>
      </c>
      <c r="BK87" s="176">
        <v>30000</v>
      </c>
      <c r="BL87" s="176">
        <v>30000</v>
      </c>
      <c r="BM87" s="176">
        <v>30000</v>
      </c>
      <c r="BN87" s="176">
        <v>30000</v>
      </c>
      <c r="BO87" s="176">
        <v>30000</v>
      </c>
      <c r="BP87" s="176">
        <v>30000</v>
      </c>
      <c r="BQ87" s="176">
        <v>30000</v>
      </c>
      <c r="BR87" s="176">
        <v>30000</v>
      </c>
      <c r="BS87" s="176">
        <v>30000</v>
      </c>
      <c r="BT87" s="176">
        <v>30000</v>
      </c>
      <c r="BU87" s="176">
        <v>30000</v>
      </c>
      <c r="BV87" s="176">
        <v>30000</v>
      </c>
      <c r="BW87" s="176">
        <v>30000</v>
      </c>
      <c r="BX87" s="176">
        <v>30000</v>
      </c>
      <c r="BY87" s="176">
        <v>30000</v>
      </c>
      <c r="BZ87" s="176">
        <v>30000</v>
      </c>
      <c r="CA87" s="176">
        <v>30000</v>
      </c>
      <c r="CB87" s="176">
        <v>30000</v>
      </c>
      <c r="CC87" s="176">
        <v>30000</v>
      </c>
      <c r="CD87" s="176">
        <v>30000</v>
      </c>
      <c r="CE87" s="176">
        <v>30000</v>
      </c>
      <c r="CF87" s="176">
        <v>30000</v>
      </c>
      <c r="CG87" s="176">
        <v>30000</v>
      </c>
      <c r="CH87" s="176">
        <v>30000</v>
      </c>
      <c r="CI87" s="176">
        <v>30000</v>
      </c>
      <c r="CJ87" s="176">
        <v>30000</v>
      </c>
      <c r="CK87" s="176">
        <v>30000</v>
      </c>
      <c r="CL87" s="176">
        <v>30000</v>
      </c>
      <c r="CM87" s="176">
        <v>30000</v>
      </c>
      <c r="CN87" s="176">
        <v>30000</v>
      </c>
      <c r="CO87" s="176">
        <v>30000</v>
      </c>
      <c r="CP87" s="176">
        <v>30000</v>
      </c>
      <c r="CQ87" s="176">
        <v>30000</v>
      </c>
      <c r="CR87" s="176">
        <v>30000</v>
      </c>
      <c r="CS87" s="176">
        <v>30000</v>
      </c>
      <c r="CT87" s="176">
        <v>30000</v>
      </c>
      <c r="CU87" s="176">
        <v>30000</v>
      </c>
      <c r="CV87" s="176">
        <v>30000</v>
      </c>
      <c r="CW87" s="176">
        <v>30000</v>
      </c>
      <c r="CX87" s="176">
        <v>30000</v>
      </c>
      <c r="CY87" s="176">
        <v>30000</v>
      </c>
      <c r="CZ87" s="176">
        <v>30000</v>
      </c>
      <c r="DA87" s="176">
        <v>30000</v>
      </c>
      <c r="DB87" s="176">
        <v>30000</v>
      </c>
      <c r="DC87" s="176">
        <v>30000</v>
      </c>
      <c r="DD87" s="176">
        <v>30000</v>
      </c>
      <c r="DE87" s="176">
        <v>29746.658945063951</v>
      </c>
      <c r="DF87" s="176">
        <v>28876.42572393845</v>
      </c>
      <c r="DG87" s="176">
        <v>28028.837059058926</v>
      </c>
      <c r="DH87" s="176">
        <v>27205.645027497423</v>
      </c>
      <c r="DI87" s="176">
        <v>26408.774326709539</v>
      </c>
      <c r="DJ87" s="176">
        <v>25640.349503917816</v>
      </c>
      <c r="DK87" s="176">
        <v>24902.723376312359</v>
      </c>
      <c r="DL87" s="176">
        <v>24198.506128397916</v>
      </c>
      <c r="DM87" s="176">
        <v>23530.594508492366</v>
      </c>
      <c r="DN87" s="176">
        <v>22902.200415948428</v>
      </c>
      <c r="DO87" s="176">
        <v>22316.878184484467</v>
      </c>
      <c r="DP87" s="176">
        <v>21778.550246853883</v>
      </c>
      <c r="DQ87" s="176">
        <v>21291.532158407674</v>
      </c>
      <c r="DR87" s="176">
        <v>20860.561401050938</v>
      </c>
      <c r="DS87" s="176">
        <v>20490.842687467994</v>
      </c>
      <c r="DT87" s="176">
        <v>20188.141263525249</v>
      </c>
      <c r="DU87" s="176">
        <v>19958.996268493509</v>
      </c>
      <c r="DV87" s="176">
        <v>19811.211489122456</v>
      </c>
      <c r="DW87" s="176">
        <v>19690.809731443522</v>
      </c>
      <c r="DX87" s="176">
        <v>19586.535749099759</v>
      </c>
      <c r="DY87" s="176">
        <v>19548.076931959436</v>
      </c>
      <c r="DZ87" s="176">
        <v>19575.262129859264</v>
      </c>
      <c r="EA87" s="176">
        <v>19667.139638631616</v>
      </c>
      <c r="EB87" s="176">
        <v>19822.017064218766</v>
      </c>
      <c r="EC87" s="176">
        <v>20037.543215118119</v>
      </c>
      <c r="ED87" s="176">
        <v>20310.821422071775</v>
      </c>
      <c r="EE87" s="176">
        <v>20638.540790658029</v>
      </c>
      <c r="EF87" s="176">
        <v>21017.1117115577</v>
      </c>
      <c r="EG87" s="176">
        <v>21442.79392529749</v>
      </c>
      <c r="EH87" s="176">
        <v>21911.808960794111</v>
      </c>
      <c r="EI87" s="176">
        <v>22420.432213913147</v>
      </c>
      <c r="EJ87" s="176">
        <v>22965.063435507145</v>
      </c>
      <c r="EK87" s="176">
        <v>23427.961973088073</v>
      </c>
      <c r="EL87" s="176">
        <v>23925.215091830822</v>
      </c>
      <c r="EM87" s="176">
        <v>24486.831081056702</v>
      </c>
      <c r="EN87" s="176">
        <v>25093.727038526602</v>
      </c>
      <c r="EO87" s="176">
        <v>25734.639552942564</v>
      </c>
      <c r="EP87" t="str">
        <f t="shared" si="1"/>
        <v>15y 277d</v>
      </c>
    </row>
    <row r="88" spans="2:146" x14ac:dyDescent="0.25">
      <c r="B88" s="70">
        <v>85</v>
      </c>
      <c r="D88">
        <v>26653941.078213647</v>
      </c>
      <c r="E88" s="12">
        <v>84673693218.819901</v>
      </c>
      <c r="F88" s="12">
        <v>121728055511.23424</v>
      </c>
      <c r="G88" s="12">
        <v>0</v>
      </c>
      <c r="H88" s="12">
        <v>790859473.7515167</v>
      </c>
      <c r="I88" s="12">
        <v>1416861085047.3274</v>
      </c>
      <c r="J88" s="12">
        <v>-306265539956.35376</v>
      </c>
      <c r="K88" s="12">
        <v>-50983989879.998177</v>
      </c>
      <c r="L88" s="12">
        <v>39965889.435701892</v>
      </c>
      <c r="M88" s="12">
        <v>107568876843.95874</v>
      </c>
      <c r="N88" s="12">
        <v>693290230189.62378</v>
      </c>
      <c r="O88" s="12">
        <v>178705248.9326975</v>
      </c>
      <c r="P88" s="12">
        <v>39965893.380508564</v>
      </c>
      <c r="Q88" s="12">
        <v>107569124504.11203</v>
      </c>
      <c r="R88" s="12">
        <v>693290265586.33704</v>
      </c>
      <c r="S88" s="12">
        <v>0</v>
      </c>
      <c r="T88" s="12">
        <v>71233632.428442508</v>
      </c>
      <c r="U88" s="12">
        <v>-161866185711.38144</v>
      </c>
      <c r="V88" s="12">
        <v>1053952626031.5448</v>
      </c>
      <c r="W88" s="12">
        <v>-417528841.78301412</v>
      </c>
      <c r="X88" s="12">
        <v>43771081.202053837</v>
      </c>
      <c r="Y88" s="12">
        <v>73559837009.153809</v>
      </c>
      <c r="Z88" s="12">
        <v>755546622328.56909</v>
      </c>
      <c r="AA88" s="12">
        <v>-16085346567.246508</v>
      </c>
      <c r="AB88" s="12"/>
      <c r="AC88" s="12"/>
      <c r="AD88" s="12"/>
      <c r="AE88" s="12"/>
      <c r="AS88" s="6">
        <v>502560282.81331867</v>
      </c>
      <c r="AT88" s="176">
        <v>27639.356365187261</v>
      </c>
      <c r="AU88" s="176">
        <v>28353.027605987358</v>
      </c>
      <c r="AV88" s="176">
        <v>29081.117089009273</v>
      </c>
      <c r="AW88" s="176">
        <v>29821.201910531483</v>
      </c>
      <c r="AX88" s="176">
        <v>30000</v>
      </c>
      <c r="AY88" s="176">
        <v>30000</v>
      </c>
      <c r="AZ88" s="176">
        <v>30000</v>
      </c>
      <c r="BA88" s="176">
        <v>30000</v>
      </c>
      <c r="BB88" s="176">
        <v>30000</v>
      </c>
      <c r="BC88" s="176">
        <v>30000</v>
      </c>
      <c r="BD88" s="176">
        <v>30000</v>
      </c>
      <c r="BE88" s="176">
        <v>30000</v>
      </c>
      <c r="BF88" s="176">
        <v>30000</v>
      </c>
      <c r="BG88" s="176">
        <v>30000</v>
      </c>
      <c r="BH88" s="176">
        <v>30000</v>
      </c>
      <c r="BI88" s="176">
        <v>30000</v>
      </c>
      <c r="BJ88" s="176">
        <v>30000</v>
      </c>
      <c r="BK88" s="176">
        <v>30000</v>
      </c>
      <c r="BL88" s="176">
        <v>30000</v>
      </c>
      <c r="BM88" s="176">
        <v>30000</v>
      </c>
      <c r="BN88" s="176">
        <v>30000</v>
      </c>
      <c r="BO88" s="176">
        <v>30000</v>
      </c>
      <c r="BP88" s="176">
        <v>30000</v>
      </c>
      <c r="BQ88" s="176">
        <v>30000</v>
      </c>
      <c r="BR88" s="176">
        <v>30000</v>
      </c>
      <c r="BS88" s="176">
        <v>30000</v>
      </c>
      <c r="BT88" s="176">
        <v>30000</v>
      </c>
      <c r="BU88" s="176">
        <v>30000</v>
      </c>
      <c r="BV88" s="176">
        <v>30000</v>
      </c>
      <c r="BW88" s="176">
        <v>30000</v>
      </c>
      <c r="BX88" s="176">
        <v>30000</v>
      </c>
      <c r="BY88" s="176">
        <v>30000</v>
      </c>
      <c r="BZ88" s="176">
        <v>30000</v>
      </c>
      <c r="CA88" s="176">
        <v>30000</v>
      </c>
      <c r="CB88" s="176">
        <v>30000</v>
      </c>
      <c r="CC88" s="176">
        <v>30000</v>
      </c>
      <c r="CD88" s="176">
        <v>30000</v>
      </c>
      <c r="CE88" s="176">
        <v>30000</v>
      </c>
      <c r="CF88" s="176">
        <v>30000</v>
      </c>
      <c r="CG88" s="176">
        <v>30000</v>
      </c>
      <c r="CH88" s="176">
        <v>30000</v>
      </c>
      <c r="CI88" s="176">
        <v>30000</v>
      </c>
      <c r="CJ88" s="176">
        <v>30000</v>
      </c>
      <c r="CK88" s="176">
        <v>30000</v>
      </c>
      <c r="CL88" s="176">
        <v>30000</v>
      </c>
      <c r="CM88" s="176">
        <v>30000</v>
      </c>
      <c r="CN88" s="176">
        <v>30000</v>
      </c>
      <c r="CO88" s="176">
        <v>30000</v>
      </c>
      <c r="CP88" s="176">
        <v>30000</v>
      </c>
      <c r="CQ88" s="176">
        <v>30000</v>
      </c>
      <c r="CR88" s="176">
        <v>30000</v>
      </c>
      <c r="CS88" s="176">
        <v>30000</v>
      </c>
      <c r="CT88" s="176">
        <v>30000</v>
      </c>
      <c r="CU88" s="176">
        <v>30000</v>
      </c>
      <c r="CV88" s="176">
        <v>30000</v>
      </c>
      <c r="CW88" s="176">
        <v>30000</v>
      </c>
      <c r="CX88" s="176">
        <v>30000</v>
      </c>
      <c r="CY88" s="176">
        <v>30000</v>
      </c>
      <c r="CZ88" s="176">
        <v>30000</v>
      </c>
      <c r="DA88" s="176">
        <v>30000</v>
      </c>
      <c r="DB88" s="176">
        <v>30000</v>
      </c>
      <c r="DC88" s="176">
        <v>30000</v>
      </c>
      <c r="DD88" s="176">
        <v>30000</v>
      </c>
      <c r="DE88" s="176">
        <v>30000</v>
      </c>
      <c r="DF88" s="176">
        <v>29318.302254149043</v>
      </c>
      <c r="DG88" s="176">
        <v>28457.863379941722</v>
      </c>
      <c r="DH88" s="176">
        <v>27620.904850996358</v>
      </c>
      <c r="DI88" s="176">
        <v>26809.266060087444</v>
      </c>
      <c r="DJ88" s="176">
        <v>26024.970721505975</v>
      </c>
      <c r="DK88" s="176">
        <v>25270.253960031197</v>
      </c>
      <c r="DL88" s="176">
        <v>24547.590021510227</v>
      </c>
      <c r="DM88" s="176">
        <v>23859.719979633788</v>
      </c>
      <c r="DN88" s="176">
        <v>23209.678642477076</v>
      </c>
      <c r="DO88" s="176">
        <v>22600.819758094935</v>
      </c>
      <c r="DP88" s="176">
        <v>22036.838731770746</v>
      </c>
      <c r="DQ88" s="176">
        <v>21521.792747137726</v>
      </c>
      <c r="DR88" s="176">
        <v>21060.120218430198</v>
      </c>
      <c r="DS88" s="176">
        <v>20656.666632398734</v>
      </c>
      <c r="DT88" s="176">
        <v>20316.735748208484</v>
      </c>
      <c r="DU88" s="176">
        <v>20046.211296170222</v>
      </c>
      <c r="DV88" s="176">
        <v>19851.849744750078</v>
      </c>
      <c r="DW88" s="176">
        <v>19741.960960151351</v>
      </c>
      <c r="DX88" s="176">
        <v>19617.567951958677</v>
      </c>
      <c r="DY88" s="176">
        <v>19547.312970222614</v>
      </c>
      <c r="DZ88" s="176">
        <v>19542.988560740392</v>
      </c>
      <c r="EA88" s="176">
        <v>19604.00096281584</v>
      </c>
      <c r="EB88" s="176">
        <v>19728.987462605088</v>
      </c>
      <c r="EC88" s="176">
        <v>19915.880115503482</v>
      </c>
      <c r="ED88" s="176">
        <v>20162.006629981799</v>
      </c>
      <c r="EE88" s="176">
        <v>20464.215837336484</v>
      </c>
      <c r="EF88" s="176">
        <v>20819.013711026964</v>
      </c>
      <c r="EG88" s="176">
        <v>21222.697013069381</v>
      </c>
      <c r="EH88" s="176">
        <v>21671.474542553555</v>
      </c>
      <c r="EI88" s="176">
        <v>22161.56961129083</v>
      </c>
      <c r="EJ88" s="176">
        <v>22689.301014081673</v>
      </c>
      <c r="EK88" s="176">
        <v>23200.609142096393</v>
      </c>
      <c r="EL88" s="176">
        <v>23665.09355180939</v>
      </c>
      <c r="EM88" s="176">
        <v>24204.733097310716</v>
      </c>
      <c r="EN88" s="176">
        <v>24795.401361299762</v>
      </c>
      <c r="EO88" s="176">
        <v>25423.523708750035</v>
      </c>
      <c r="EP88" t="str">
        <f t="shared" si="1"/>
        <v>15y 338d</v>
      </c>
    </row>
    <row r="89" spans="2:146" x14ac:dyDescent="0.25">
      <c r="B89" s="70">
        <v>86</v>
      </c>
      <c r="D89">
        <v>26963834.786265112</v>
      </c>
      <c r="E89" s="12">
        <v>76796038167.040329</v>
      </c>
      <c r="F89" s="12">
        <v>126693690518.21895</v>
      </c>
      <c r="G89" s="12">
        <v>0</v>
      </c>
      <c r="H89" s="12">
        <v>800427528.79774272</v>
      </c>
      <c r="I89" s="12">
        <v>1428216989554.2512</v>
      </c>
      <c r="J89" s="12">
        <v>-215895702858.58408</v>
      </c>
      <c r="K89" s="12">
        <v>-53009594130.393082</v>
      </c>
      <c r="L89" s="12">
        <v>43023554.279741809</v>
      </c>
      <c r="M89" s="12">
        <v>87505457279.182755</v>
      </c>
      <c r="N89" s="12">
        <v>731389346423.37244</v>
      </c>
      <c r="O89" s="12">
        <v>157420163.0893428</v>
      </c>
      <c r="P89" s="12">
        <v>43023558.380573265</v>
      </c>
      <c r="Q89" s="12">
        <v>87505699359.65509</v>
      </c>
      <c r="R89" s="12">
        <v>731389384283.21753</v>
      </c>
      <c r="S89" s="12">
        <v>0</v>
      </c>
      <c r="T89" s="12">
        <v>74324384.997426629</v>
      </c>
      <c r="U89" s="12">
        <v>-181902093667.39764</v>
      </c>
      <c r="V89" s="12">
        <v>1071911421034.9878</v>
      </c>
      <c r="W89" s="12">
        <v>-427387217.74500555</v>
      </c>
      <c r="X89" s="12">
        <v>46974312.931730986</v>
      </c>
      <c r="Y89" s="12">
        <v>52117051664.837982</v>
      </c>
      <c r="Z89" s="12">
        <v>791543971090.38721</v>
      </c>
      <c r="AA89" s="12">
        <v>-15860077158.691301</v>
      </c>
      <c r="AB89" s="12"/>
      <c r="AC89" s="12"/>
      <c r="AD89" s="12"/>
      <c r="AE89" s="12"/>
      <c r="AS89" s="6">
        <v>507827048.04964137</v>
      </c>
      <c r="AT89" s="176">
        <v>27300.721629111526</v>
      </c>
      <c r="AU89" s="176">
        <v>28006.779821977019</v>
      </c>
      <c r="AV89" s="176">
        <v>28728.332421823554</v>
      </c>
      <c r="AW89" s="176">
        <v>29462.764549877837</v>
      </c>
      <c r="AX89" s="176">
        <v>30000</v>
      </c>
      <c r="AY89" s="176">
        <v>30000</v>
      </c>
      <c r="AZ89" s="176">
        <v>30000</v>
      </c>
      <c r="BA89" s="176">
        <v>30000</v>
      </c>
      <c r="BB89" s="176">
        <v>30000</v>
      </c>
      <c r="BC89" s="176">
        <v>30000</v>
      </c>
      <c r="BD89" s="176">
        <v>30000</v>
      </c>
      <c r="BE89" s="176">
        <v>30000</v>
      </c>
      <c r="BF89" s="176">
        <v>30000</v>
      </c>
      <c r="BG89" s="176">
        <v>30000</v>
      </c>
      <c r="BH89" s="176">
        <v>30000</v>
      </c>
      <c r="BI89" s="176">
        <v>30000</v>
      </c>
      <c r="BJ89" s="176">
        <v>30000</v>
      </c>
      <c r="BK89" s="176">
        <v>30000</v>
      </c>
      <c r="BL89" s="176">
        <v>30000</v>
      </c>
      <c r="BM89" s="176">
        <v>30000</v>
      </c>
      <c r="BN89" s="176">
        <v>30000</v>
      </c>
      <c r="BO89" s="176">
        <v>30000</v>
      </c>
      <c r="BP89" s="176">
        <v>30000</v>
      </c>
      <c r="BQ89" s="176">
        <v>30000</v>
      </c>
      <c r="BR89" s="176">
        <v>30000</v>
      </c>
      <c r="BS89" s="176">
        <v>30000</v>
      </c>
      <c r="BT89" s="176">
        <v>30000</v>
      </c>
      <c r="BU89" s="176">
        <v>30000</v>
      </c>
      <c r="BV89" s="176">
        <v>30000</v>
      </c>
      <c r="BW89" s="176">
        <v>30000</v>
      </c>
      <c r="BX89" s="176">
        <v>30000</v>
      </c>
      <c r="BY89" s="176">
        <v>30000</v>
      </c>
      <c r="BZ89" s="176">
        <v>30000</v>
      </c>
      <c r="CA89" s="176">
        <v>30000</v>
      </c>
      <c r="CB89" s="176">
        <v>30000</v>
      </c>
      <c r="CC89" s="176">
        <v>30000</v>
      </c>
      <c r="CD89" s="176">
        <v>30000</v>
      </c>
      <c r="CE89" s="176">
        <v>30000</v>
      </c>
      <c r="CF89" s="176">
        <v>30000</v>
      </c>
      <c r="CG89" s="176">
        <v>30000</v>
      </c>
      <c r="CH89" s="176">
        <v>30000</v>
      </c>
      <c r="CI89" s="176">
        <v>30000</v>
      </c>
      <c r="CJ89" s="176">
        <v>30000</v>
      </c>
      <c r="CK89" s="176">
        <v>30000</v>
      </c>
      <c r="CL89" s="176">
        <v>30000</v>
      </c>
      <c r="CM89" s="176">
        <v>30000</v>
      </c>
      <c r="CN89" s="176">
        <v>30000</v>
      </c>
      <c r="CO89" s="176">
        <v>30000</v>
      </c>
      <c r="CP89" s="176">
        <v>30000</v>
      </c>
      <c r="CQ89" s="176">
        <v>30000</v>
      </c>
      <c r="CR89" s="176">
        <v>30000</v>
      </c>
      <c r="CS89" s="176">
        <v>30000</v>
      </c>
      <c r="CT89" s="176">
        <v>30000</v>
      </c>
      <c r="CU89" s="176">
        <v>30000</v>
      </c>
      <c r="CV89" s="176">
        <v>30000</v>
      </c>
      <c r="CW89" s="176">
        <v>30000</v>
      </c>
      <c r="CX89" s="176">
        <v>30000</v>
      </c>
      <c r="CY89" s="176">
        <v>30000</v>
      </c>
      <c r="CZ89" s="176">
        <v>30000</v>
      </c>
      <c r="DA89" s="176">
        <v>30000</v>
      </c>
      <c r="DB89" s="176">
        <v>30000</v>
      </c>
      <c r="DC89" s="176">
        <v>30000</v>
      </c>
      <c r="DD89" s="176">
        <v>30000</v>
      </c>
      <c r="DE89" s="176">
        <v>30000</v>
      </c>
      <c r="DF89" s="176">
        <v>29766.414874898215</v>
      </c>
      <c r="DG89" s="176">
        <v>28893.575327467686</v>
      </c>
      <c r="DH89" s="176">
        <v>28043.337168852573</v>
      </c>
      <c r="DI89" s="176">
        <v>27217.462701323435</v>
      </c>
      <c r="DJ89" s="176">
        <v>26417.883991049341</v>
      </c>
      <c r="DK89" s="176">
        <v>25646.7287976097</v>
      </c>
      <c r="DL89" s="176">
        <v>24906.347111186478</v>
      </c>
      <c r="DM89" s="176">
        <v>24199.33766576698</v>
      </c>
      <c r="DN89" s="176">
        <v>23528.573592424269</v>
      </c>
      <c r="DO89" s="176">
        <v>22897.226195592142</v>
      </c>
      <c r="DP89" s="176">
        <v>22308.785775866785</v>
      </c>
      <c r="DQ89" s="176">
        <v>21767.078709720423</v>
      </c>
      <c r="DR89" s="176">
        <v>21276.281134875004</v>
      </c>
      <c r="DS89" s="176">
        <v>20840.932695232696</v>
      </c>
      <c r="DT89" s="176">
        <v>20465.96125896553</v>
      </c>
      <c r="DU89" s="176">
        <v>20156.746255137616</v>
      </c>
      <c r="DV89" s="176">
        <v>19919.284128132102</v>
      </c>
      <c r="DW89" s="176">
        <v>19760.594447967189</v>
      </c>
      <c r="DX89" s="176">
        <v>19663.539824422045</v>
      </c>
      <c r="DY89" s="176">
        <v>19561.45999228799</v>
      </c>
      <c r="DZ89" s="176">
        <v>19525.425230347999</v>
      </c>
      <c r="EA89" s="176">
        <v>19555.207017297726</v>
      </c>
      <c r="EB89" s="176">
        <v>19649.789471016418</v>
      </c>
      <c r="EC89" s="176">
        <v>19807.4127769675</v>
      </c>
      <c r="ED89" s="176">
        <v>20025.658668108335</v>
      </c>
      <c r="EE89" s="176">
        <v>20301.566918003027</v>
      </c>
      <c r="EF89" s="176">
        <v>20631.769038025461</v>
      </c>
      <c r="EG89" s="176">
        <v>21012.625352429859</v>
      </c>
      <c r="EH89" s="176">
        <v>21440.353826063609</v>
      </c>
      <c r="EI89" s="176">
        <v>21911.142465895515</v>
      </c>
      <c r="EJ89" s="176">
        <v>22421.240942961482</v>
      </c>
      <c r="EK89" s="176">
        <v>22967.030237644773</v>
      </c>
      <c r="EL89" s="176">
        <v>23415.177238809792</v>
      </c>
      <c r="EM89" s="176">
        <v>23930.015364244689</v>
      </c>
      <c r="EN89" s="176">
        <v>24502.952774071582</v>
      </c>
      <c r="EO89" s="176">
        <v>25117.365248892052</v>
      </c>
      <c r="EP89" t="str">
        <f t="shared" si="1"/>
        <v>16y 34d</v>
      </c>
    </row>
    <row r="90" spans="2:146" x14ac:dyDescent="0.25">
      <c r="B90" s="70">
        <v>87</v>
      </c>
      <c r="D90">
        <v>27273198.359306574</v>
      </c>
      <c r="E90" s="12">
        <v>68631873701.752953</v>
      </c>
      <c r="F90" s="12">
        <v>131155941630.21535</v>
      </c>
      <c r="G90" s="12">
        <v>0</v>
      </c>
      <c r="H90" s="12">
        <v>809928537.6556803</v>
      </c>
      <c r="I90" s="12">
        <v>1433811993123.842</v>
      </c>
      <c r="J90" s="12">
        <v>-125300085011.22392</v>
      </c>
      <c r="K90" s="12">
        <v>-54810140405.326195</v>
      </c>
      <c r="L90" s="12">
        <v>46394780.527204633</v>
      </c>
      <c r="M90" s="12">
        <v>65071105114.393082</v>
      </c>
      <c r="N90" s="12">
        <v>770769367995.97498</v>
      </c>
      <c r="O90" s="12">
        <v>133387976.43176822</v>
      </c>
      <c r="P90" s="12">
        <v>46394784.770312324</v>
      </c>
      <c r="Q90" s="12">
        <v>65071340404.803391</v>
      </c>
      <c r="R90" s="12">
        <v>770769408360.99646</v>
      </c>
      <c r="S90" s="12">
        <v>0</v>
      </c>
      <c r="T90" s="12">
        <v>77536339.094617262</v>
      </c>
      <c r="U90" s="12">
        <v>-202533636961.64813</v>
      </c>
      <c r="V90" s="12">
        <v>1089454827854.0743</v>
      </c>
      <c r="W90" s="12">
        <v>-437185760.42359006</v>
      </c>
      <c r="X90" s="12">
        <v>50471819.816117078</v>
      </c>
      <c r="Y90" s="12">
        <v>28542944838.096581</v>
      </c>
      <c r="Z90" s="12">
        <v>828388247191.02869</v>
      </c>
      <c r="AA90" s="12">
        <v>-15564842727.577414</v>
      </c>
      <c r="AB90" s="12"/>
      <c r="AC90" s="12"/>
      <c r="AD90" s="12"/>
      <c r="AE90" s="12"/>
      <c r="AS90" s="6">
        <v>513093813.28596407</v>
      </c>
      <c r="AT90" s="176">
        <v>26966.136710037485</v>
      </c>
      <c r="AU90" s="176">
        <v>27664.145261295576</v>
      </c>
      <c r="AV90" s="176">
        <v>28378.805619913477</v>
      </c>
      <c r="AW90" s="176">
        <v>29107.28616499859</v>
      </c>
      <c r="AX90" s="176">
        <v>29847.276824989403</v>
      </c>
      <c r="AY90" s="176">
        <v>30000</v>
      </c>
      <c r="AZ90" s="176">
        <v>30000</v>
      </c>
      <c r="BA90" s="176">
        <v>30000</v>
      </c>
      <c r="BB90" s="176">
        <v>30000</v>
      </c>
      <c r="BC90" s="176">
        <v>30000</v>
      </c>
      <c r="BD90" s="176">
        <v>30000</v>
      </c>
      <c r="BE90" s="176">
        <v>30000</v>
      </c>
      <c r="BF90" s="176">
        <v>30000</v>
      </c>
      <c r="BG90" s="176">
        <v>30000</v>
      </c>
      <c r="BH90" s="176">
        <v>30000</v>
      </c>
      <c r="BI90" s="176">
        <v>30000</v>
      </c>
      <c r="BJ90" s="176">
        <v>30000</v>
      </c>
      <c r="BK90" s="176">
        <v>30000</v>
      </c>
      <c r="BL90" s="176">
        <v>30000</v>
      </c>
      <c r="BM90" s="176">
        <v>30000</v>
      </c>
      <c r="BN90" s="176">
        <v>30000</v>
      </c>
      <c r="BO90" s="176">
        <v>30000</v>
      </c>
      <c r="BP90" s="176">
        <v>30000</v>
      </c>
      <c r="BQ90" s="176">
        <v>30000</v>
      </c>
      <c r="BR90" s="176">
        <v>30000</v>
      </c>
      <c r="BS90" s="176">
        <v>30000</v>
      </c>
      <c r="BT90" s="176">
        <v>30000</v>
      </c>
      <c r="BU90" s="176">
        <v>30000</v>
      </c>
      <c r="BV90" s="176">
        <v>30000</v>
      </c>
      <c r="BW90" s="176">
        <v>30000</v>
      </c>
      <c r="BX90" s="176">
        <v>30000</v>
      </c>
      <c r="BY90" s="176">
        <v>30000</v>
      </c>
      <c r="BZ90" s="176">
        <v>30000</v>
      </c>
      <c r="CA90" s="176">
        <v>30000</v>
      </c>
      <c r="CB90" s="176">
        <v>30000</v>
      </c>
      <c r="CC90" s="176">
        <v>30000</v>
      </c>
      <c r="CD90" s="176">
        <v>30000</v>
      </c>
      <c r="CE90" s="176">
        <v>30000</v>
      </c>
      <c r="CF90" s="176">
        <v>30000</v>
      </c>
      <c r="CG90" s="176">
        <v>30000</v>
      </c>
      <c r="CH90" s="176">
        <v>30000</v>
      </c>
      <c r="CI90" s="176">
        <v>30000</v>
      </c>
      <c r="CJ90" s="176">
        <v>30000</v>
      </c>
      <c r="CK90" s="176">
        <v>30000</v>
      </c>
      <c r="CL90" s="176">
        <v>30000</v>
      </c>
      <c r="CM90" s="176">
        <v>30000</v>
      </c>
      <c r="CN90" s="176">
        <v>30000</v>
      </c>
      <c r="CO90" s="176">
        <v>30000</v>
      </c>
      <c r="CP90" s="176">
        <v>30000</v>
      </c>
      <c r="CQ90" s="176">
        <v>30000</v>
      </c>
      <c r="CR90" s="176">
        <v>30000</v>
      </c>
      <c r="CS90" s="176">
        <v>30000</v>
      </c>
      <c r="CT90" s="176">
        <v>30000</v>
      </c>
      <c r="CU90" s="176">
        <v>30000</v>
      </c>
      <c r="CV90" s="176">
        <v>30000</v>
      </c>
      <c r="CW90" s="176">
        <v>30000</v>
      </c>
      <c r="CX90" s="176">
        <v>30000</v>
      </c>
      <c r="CY90" s="176">
        <v>30000</v>
      </c>
      <c r="CZ90" s="176">
        <v>30000</v>
      </c>
      <c r="DA90" s="176">
        <v>30000</v>
      </c>
      <c r="DB90" s="176">
        <v>30000</v>
      </c>
      <c r="DC90" s="176">
        <v>30000</v>
      </c>
      <c r="DD90" s="176">
        <v>30000</v>
      </c>
      <c r="DE90" s="176">
        <v>30000</v>
      </c>
      <c r="DF90" s="176">
        <v>30000</v>
      </c>
      <c r="DG90" s="176">
        <v>29335.78290309486</v>
      </c>
      <c r="DH90" s="176">
        <v>28472.730246301126</v>
      </c>
      <c r="DI90" s="176">
        <v>27633.126083863011</v>
      </c>
      <c r="DJ90" s="176">
        <v>26818.81932585522</v>
      </c>
      <c r="DK90" s="176">
        <v>26031.839847798652</v>
      </c>
      <c r="DL90" s="176">
        <v>25274.424013909447</v>
      </c>
      <c r="DM90" s="176">
        <v>24549.040216051391</v>
      </c>
      <c r="DN90" s="176">
        <v>23858.413588620373</v>
      </c>
      <c r="DO90" s="176">
        <v>23205.54883005275</v>
      </c>
      <c r="DP90" s="176">
        <v>22593.749890195995</v>
      </c>
      <c r="DQ90" s="176">
        <v>22026.635315941268</v>
      </c>
      <c r="DR90" s="176">
        <v>21508.148612303281</v>
      </c>
      <c r="DS90" s="176">
        <v>21042.564787678857</v>
      </c>
      <c r="DT90" s="176">
        <v>20634.498849240059</v>
      </c>
      <c r="DU90" s="176">
        <v>20288.932600058033</v>
      </c>
      <c r="DV90" s="176">
        <v>20011.299120484065</v>
      </c>
      <c r="DW90" s="176">
        <v>19807.712723657685</v>
      </c>
      <c r="DX90" s="176">
        <v>19685.533467210334</v>
      </c>
      <c r="DY90" s="176">
        <v>19590.580493097554</v>
      </c>
      <c r="DZ90" s="176">
        <v>19522.713544508653</v>
      </c>
      <c r="EA90" s="176">
        <v>19520.972912063935</v>
      </c>
      <c r="EB90" s="176">
        <v>19584.702309044966</v>
      </c>
      <c r="EC90" s="176">
        <v>19712.471723821349</v>
      </c>
      <c r="ED90" s="176">
        <v>19902.144836488991</v>
      </c>
      <c r="EE90" s="176">
        <v>20150.983353504595</v>
      </c>
      <c r="EF90" s="176">
        <v>20455.775299599889</v>
      </c>
      <c r="EG90" s="176">
        <v>20812.973005618191</v>
      </c>
      <c r="EH90" s="176">
        <v>21218.827861201782</v>
      </c>
      <c r="EI90" s="176">
        <v>21669.511803251695</v>
      </c>
      <c r="EJ90" s="176">
        <v>22161.219504235436</v>
      </c>
      <c r="EK90" s="176">
        <v>22690.248578517738</v>
      </c>
      <c r="EL90" s="176">
        <v>23176.852339941615</v>
      </c>
      <c r="EM90" s="176">
        <v>23663.290258836809</v>
      </c>
      <c r="EN90" s="176">
        <v>24216.710812419806</v>
      </c>
      <c r="EO90" s="176">
        <v>24816.378511305666</v>
      </c>
      <c r="EP90" t="str">
        <f t="shared" si="1"/>
        <v>16y 94d</v>
      </c>
    </row>
    <row r="91" spans="2:146" x14ac:dyDescent="0.25">
      <c r="B91" s="70">
        <v>88</v>
      </c>
      <c r="D91">
        <v>27582057.049033299</v>
      </c>
      <c r="E91" s="12">
        <v>60213151760.187225</v>
      </c>
      <c r="F91" s="12">
        <v>135098997851.88614</v>
      </c>
      <c r="G91" s="12">
        <v>0</v>
      </c>
      <c r="H91" s="12">
        <v>819362479.82821202</v>
      </c>
      <c r="I91" s="12">
        <v>1433684118621.9434</v>
      </c>
      <c r="J91" s="12">
        <v>-34847092307.25428</v>
      </c>
      <c r="K91" s="12">
        <v>-56380722557.574196</v>
      </c>
      <c r="L91" s="12">
        <v>50112455.069408588</v>
      </c>
      <c r="M91" s="12">
        <v>40086736477.62233</v>
      </c>
      <c r="N91" s="12">
        <v>811290108727.1001</v>
      </c>
      <c r="O91" s="12">
        <v>106384142.4032689</v>
      </c>
      <c r="P91" s="12">
        <v>50112459.435021326</v>
      </c>
      <c r="Q91" s="12">
        <v>40086963651.12825</v>
      </c>
      <c r="R91" s="12">
        <v>811290151642.18774</v>
      </c>
      <c r="S91" s="12">
        <v>0</v>
      </c>
      <c r="T91" s="12">
        <v>80871404.64670071</v>
      </c>
      <c r="U91" s="12">
        <v>-223740393754.63467</v>
      </c>
      <c r="V91" s="12">
        <v>1106511365109.4199</v>
      </c>
      <c r="W91" s="12">
        <v>-446894652.32917976</v>
      </c>
      <c r="X91" s="12">
        <v>54289613.830901913</v>
      </c>
      <c r="Y91" s="12">
        <v>2717962970.5617394</v>
      </c>
      <c r="Z91" s="12">
        <v>865917002657.07861</v>
      </c>
      <c r="AA91" s="12">
        <v>-15192061322.731169</v>
      </c>
      <c r="AB91" s="12"/>
      <c r="AC91" s="12"/>
      <c r="AD91" s="12"/>
      <c r="AE91" s="12"/>
      <c r="AS91" s="6">
        <v>518360578.52228677</v>
      </c>
      <c r="AT91" s="176">
        <v>26635.751082649134</v>
      </c>
      <c r="AU91" s="176">
        <v>27325.242517872386</v>
      </c>
      <c r="AV91" s="176">
        <v>28032.634030152538</v>
      </c>
      <c r="AW91" s="176">
        <v>28754.848199873009</v>
      </c>
      <c r="AX91" s="176">
        <v>29489.405362185633</v>
      </c>
      <c r="AY91" s="176">
        <v>30000</v>
      </c>
      <c r="AZ91" s="176">
        <v>30000</v>
      </c>
      <c r="BA91" s="176">
        <v>30000</v>
      </c>
      <c r="BB91" s="176">
        <v>30000</v>
      </c>
      <c r="BC91" s="176">
        <v>30000</v>
      </c>
      <c r="BD91" s="176">
        <v>30000</v>
      </c>
      <c r="BE91" s="176">
        <v>30000</v>
      </c>
      <c r="BF91" s="176">
        <v>30000</v>
      </c>
      <c r="BG91" s="176">
        <v>30000</v>
      </c>
      <c r="BH91" s="176">
        <v>30000</v>
      </c>
      <c r="BI91" s="176">
        <v>30000</v>
      </c>
      <c r="BJ91" s="176">
        <v>30000</v>
      </c>
      <c r="BK91" s="176">
        <v>30000</v>
      </c>
      <c r="BL91" s="176">
        <v>30000</v>
      </c>
      <c r="BM91" s="176">
        <v>30000</v>
      </c>
      <c r="BN91" s="176">
        <v>30000</v>
      </c>
      <c r="BO91" s="176">
        <v>30000</v>
      </c>
      <c r="BP91" s="176">
        <v>30000</v>
      </c>
      <c r="BQ91" s="176">
        <v>30000</v>
      </c>
      <c r="BR91" s="176">
        <v>30000</v>
      </c>
      <c r="BS91" s="176">
        <v>30000</v>
      </c>
      <c r="BT91" s="176">
        <v>30000</v>
      </c>
      <c r="BU91" s="176">
        <v>30000</v>
      </c>
      <c r="BV91" s="176">
        <v>30000</v>
      </c>
      <c r="BW91" s="176">
        <v>30000</v>
      </c>
      <c r="BX91" s="176">
        <v>30000</v>
      </c>
      <c r="BY91" s="176">
        <v>30000</v>
      </c>
      <c r="BZ91" s="176">
        <v>30000</v>
      </c>
      <c r="CA91" s="176">
        <v>30000</v>
      </c>
      <c r="CB91" s="176">
        <v>30000</v>
      </c>
      <c r="CC91" s="176">
        <v>30000</v>
      </c>
      <c r="CD91" s="176">
        <v>30000</v>
      </c>
      <c r="CE91" s="176">
        <v>30000</v>
      </c>
      <c r="CF91" s="176">
        <v>30000</v>
      </c>
      <c r="CG91" s="176">
        <v>30000</v>
      </c>
      <c r="CH91" s="176">
        <v>30000</v>
      </c>
      <c r="CI91" s="176">
        <v>30000</v>
      </c>
      <c r="CJ91" s="176">
        <v>30000</v>
      </c>
      <c r="CK91" s="176">
        <v>30000</v>
      </c>
      <c r="CL91" s="176">
        <v>30000</v>
      </c>
      <c r="CM91" s="176">
        <v>30000</v>
      </c>
      <c r="CN91" s="176">
        <v>30000</v>
      </c>
      <c r="CO91" s="176">
        <v>30000</v>
      </c>
      <c r="CP91" s="176">
        <v>30000</v>
      </c>
      <c r="CQ91" s="176">
        <v>30000</v>
      </c>
      <c r="CR91" s="176">
        <v>30000</v>
      </c>
      <c r="CS91" s="176">
        <v>30000</v>
      </c>
      <c r="CT91" s="176">
        <v>30000</v>
      </c>
      <c r="CU91" s="176">
        <v>30000</v>
      </c>
      <c r="CV91" s="176">
        <v>30000</v>
      </c>
      <c r="CW91" s="176">
        <v>30000</v>
      </c>
      <c r="CX91" s="176">
        <v>30000</v>
      </c>
      <c r="CY91" s="176">
        <v>30000</v>
      </c>
      <c r="CZ91" s="176">
        <v>30000</v>
      </c>
      <c r="DA91" s="176">
        <v>30000</v>
      </c>
      <c r="DB91" s="176">
        <v>30000</v>
      </c>
      <c r="DC91" s="176">
        <v>30000</v>
      </c>
      <c r="DD91" s="176">
        <v>30000</v>
      </c>
      <c r="DE91" s="176">
        <v>30000</v>
      </c>
      <c r="DF91" s="176">
        <v>30000</v>
      </c>
      <c r="DG91" s="176">
        <v>29784.308605904473</v>
      </c>
      <c r="DH91" s="176">
        <v>28908.887088872591</v>
      </c>
      <c r="DI91" s="176">
        <v>28056.035380568363</v>
      </c>
      <c r="DJ91" s="176">
        <v>27227.52711928379</v>
      </c>
      <c r="DK91" s="176">
        <v>26425.303045807639</v>
      </c>
      <c r="DL91" s="176">
        <v>25651.495629306104</v>
      </c>
      <c r="DM91" s="176">
        <v>24908.45379013913</v>
      </c>
      <c r="DN91" s="176">
        <v>24198.766902045791</v>
      </c>
      <c r="DO91" s="176">
        <v>23525.286998517538</v>
      </c>
      <c r="DP91" s="176">
        <v>22891.147865225121</v>
      </c>
      <c r="DQ91" s="176">
        <v>22299.77956933594</v>
      </c>
      <c r="DR91" s="176">
        <v>21754.917171369663</v>
      </c>
      <c r="DS91" s="176">
        <v>21260.603349150952</v>
      </c>
      <c r="DT91" s="176">
        <v>20821.187426541728</v>
      </c>
      <c r="DU91" s="176">
        <v>20441.329913801423</v>
      </c>
      <c r="DV91" s="176">
        <v>20126.036338911777</v>
      </c>
      <c r="DW91" s="176">
        <v>19880.775260342227</v>
      </c>
      <c r="DX91" s="176">
        <v>19711.800092074693</v>
      </c>
      <c r="DY91" s="176">
        <v>19626.931411850866</v>
      </c>
      <c r="DZ91" s="176">
        <v>19534.961118100997</v>
      </c>
      <c r="EA91" s="176">
        <v>19501.483018147275</v>
      </c>
      <c r="EB91" s="176">
        <v>19533.979418117378</v>
      </c>
      <c r="EC91" s="176">
        <v>19631.36794951676</v>
      </c>
      <c r="ED91" s="176">
        <v>19791.819720629344</v>
      </c>
      <c r="EE91" s="176">
        <v>20012.848445015657</v>
      </c>
      <c r="EF91" s="176">
        <v>20291.430119902747</v>
      </c>
      <c r="EG91" s="176">
        <v>20624.13909712137</v>
      </c>
      <c r="EH91" s="176">
        <v>21007.286642146926</v>
      </c>
      <c r="EI91" s="176">
        <v>21437.050323749132</v>
      </c>
      <c r="EJ91" s="176">
        <v>21909.58634729878</v>
      </c>
      <c r="EK91" s="176">
        <v>22421.120528921692</v>
      </c>
      <c r="EL91" s="176">
        <v>22951.994488475153</v>
      </c>
      <c r="EM91" s="176">
        <v>23405.309286331867</v>
      </c>
      <c r="EN91" s="176">
        <v>23937.047857458827</v>
      </c>
      <c r="EO91" s="176">
        <v>24520.793493620706</v>
      </c>
      <c r="EP91" t="str">
        <f t="shared" si="1"/>
        <v>16y 155d</v>
      </c>
    </row>
    <row r="92" spans="2:146" x14ac:dyDescent="0.25">
      <c r="B92" s="70">
        <v>89</v>
      </c>
      <c r="D92">
        <v>27890437.912787292</v>
      </c>
      <c r="E92" s="12">
        <v>51572608579.191849</v>
      </c>
      <c r="F92" s="12">
        <v>138509047201.60547</v>
      </c>
      <c r="G92" s="12">
        <v>0</v>
      </c>
      <c r="H92" s="12">
        <v>828729608.36013973</v>
      </c>
      <c r="I92" s="12">
        <v>1427894425984.2092</v>
      </c>
      <c r="J92" s="12">
        <v>55103137657.437622</v>
      </c>
      <c r="K92" s="12">
        <v>-57717494175.591064</v>
      </c>
      <c r="L92" s="12">
        <v>54211558.23395519</v>
      </c>
      <c r="M92" s="12">
        <v>12381221015.951361</v>
      </c>
      <c r="N92" s="12">
        <v>852756484336.97803</v>
      </c>
      <c r="O92" s="12">
        <v>76189688.692299083</v>
      </c>
      <c r="P92" s="12">
        <v>54211562.695104778</v>
      </c>
      <c r="Q92" s="12">
        <v>12381438626.013489</v>
      </c>
      <c r="R92" s="12">
        <v>852756529855.99634</v>
      </c>
      <c r="S92" s="12">
        <v>0</v>
      </c>
      <c r="T92" s="12">
        <v>84331099.723362386</v>
      </c>
      <c r="U92" s="12">
        <v>-245497143916.51688</v>
      </c>
      <c r="V92" s="12">
        <v>1123006348153.5615</v>
      </c>
      <c r="W92" s="12">
        <v>-456482123.08746958</v>
      </c>
      <c r="X92" s="12">
        <v>58454622.613257051</v>
      </c>
      <c r="Y92" s="12">
        <v>-25464257790.268288</v>
      </c>
      <c r="Z92" s="12">
        <v>903923000797.91272</v>
      </c>
      <c r="AA92" s="12">
        <v>-14733895066.252459</v>
      </c>
      <c r="AB92" s="12"/>
      <c r="AC92" s="12"/>
      <c r="AD92" s="12"/>
      <c r="AE92" s="12"/>
      <c r="AS92" s="6">
        <v>523627343.75860947</v>
      </c>
      <c r="AT92" s="176">
        <v>26309.724916503121</v>
      </c>
      <c r="AU92" s="176">
        <v>26990.197798627421</v>
      </c>
      <c r="AV92" s="176">
        <v>27689.921173206021</v>
      </c>
      <c r="AW92" s="176">
        <v>28405.537463104036</v>
      </c>
      <c r="AX92" s="176">
        <v>29134.377782602009</v>
      </c>
      <c r="AY92" s="176">
        <v>29874.246750457765</v>
      </c>
      <c r="AZ92" s="176">
        <v>30000</v>
      </c>
      <c r="BA92" s="176">
        <v>30000</v>
      </c>
      <c r="BB92" s="176">
        <v>30000</v>
      </c>
      <c r="BC92" s="176">
        <v>30000</v>
      </c>
      <c r="BD92" s="176">
        <v>30000</v>
      </c>
      <c r="BE92" s="176">
        <v>30000</v>
      </c>
      <c r="BF92" s="176">
        <v>30000</v>
      </c>
      <c r="BG92" s="176">
        <v>30000</v>
      </c>
      <c r="BH92" s="176">
        <v>30000</v>
      </c>
      <c r="BI92" s="176">
        <v>30000</v>
      </c>
      <c r="BJ92" s="176">
        <v>30000</v>
      </c>
      <c r="BK92" s="176">
        <v>30000</v>
      </c>
      <c r="BL92" s="176">
        <v>30000</v>
      </c>
      <c r="BM92" s="176">
        <v>30000</v>
      </c>
      <c r="BN92" s="176">
        <v>30000</v>
      </c>
      <c r="BO92" s="176">
        <v>30000</v>
      </c>
      <c r="BP92" s="176">
        <v>30000</v>
      </c>
      <c r="BQ92" s="176">
        <v>30000</v>
      </c>
      <c r="BR92" s="176">
        <v>30000</v>
      </c>
      <c r="BS92" s="176">
        <v>30000</v>
      </c>
      <c r="BT92" s="176">
        <v>30000</v>
      </c>
      <c r="BU92" s="176">
        <v>30000</v>
      </c>
      <c r="BV92" s="176">
        <v>30000</v>
      </c>
      <c r="BW92" s="176">
        <v>30000</v>
      </c>
      <c r="BX92" s="176">
        <v>30000</v>
      </c>
      <c r="BY92" s="176">
        <v>30000</v>
      </c>
      <c r="BZ92" s="176">
        <v>30000</v>
      </c>
      <c r="CA92" s="176">
        <v>30000</v>
      </c>
      <c r="CB92" s="176">
        <v>30000</v>
      </c>
      <c r="CC92" s="176">
        <v>30000</v>
      </c>
      <c r="CD92" s="176">
        <v>30000</v>
      </c>
      <c r="CE92" s="176">
        <v>30000</v>
      </c>
      <c r="CF92" s="176">
        <v>30000</v>
      </c>
      <c r="CG92" s="176">
        <v>30000</v>
      </c>
      <c r="CH92" s="176">
        <v>30000</v>
      </c>
      <c r="CI92" s="176">
        <v>30000</v>
      </c>
      <c r="CJ92" s="176">
        <v>30000</v>
      </c>
      <c r="CK92" s="176">
        <v>30000</v>
      </c>
      <c r="CL92" s="176">
        <v>30000</v>
      </c>
      <c r="CM92" s="176">
        <v>30000</v>
      </c>
      <c r="CN92" s="176">
        <v>30000</v>
      </c>
      <c r="CO92" s="176">
        <v>30000</v>
      </c>
      <c r="CP92" s="176">
        <v>30000</v>
      </c>
      <c r="CQ92" s="176">
        <v>30000</v>
      </c>
      <c r="CR92" s="176">
        <v>30000</v>
      </c>
      <c r="CS92" s="176">
        <v>30000</v>
      </c>
      <c r="CT92" s="176">
        <v>30000</v>
      </c>
      <c r="CU92" s="176">
        <v>30000</v>
      </c>
      <c r="CV92" s="176">
        <v>30000</v>
      </c>
      <c r="CW92" s="176">
        <v>30000</v>
      </c>
      <c r="CX92" s="176">
        <v>30000</v>
      </c>
      <c r="CY92" s="176">
        <v>30000</v>
      </c>
      <c r="CZ92" s="176">
        <v>30000</v>
      </c>
      <c r="DA92" s="176">
        <v>30000</v>
      </c>
      <c r="DB92" s="176">
        <v>30000</v>
      </c>
      <c r="DC92" s="176">
        <v>30000</v>
      </c>
      <c r="DD92" s="176">
        <v>30000</v>
      </c>
      <c r="DE92" s="176">
        <v>30000</v>
      </c>
      <c r="DF92" s="176">
        <v>30000</v>
      </c>
      <c r="DG92" s="176">
        <v>30000</v>
      </c>
      <c r="DH92" s="176">
        <v>29351.624212267689</v>
      </c>
      <c r="DI92" s="176">
        <v>28485.985675321343</v>
      </c>
      <c r="DJ92" s="176">
        <v>27643.776463202077</v>
      </c>
      <c r="DK92" s="176">
        <v>26826.856294629495</v>
      </c>
      <c r="DL92" s="176">
        <v>26037.262704259476</v>
      </c>
      <c r="DM92" s="176">
        <v>25277.235059266735</v>
      </c>
      <c r="DN92" s="176">
        <v>24549.238004218649</v>
      </c>
      <c r="DO92" s="176">
        <v>23855.983286543109</v>
      </c>
      <c r="DP92" s="176">
        <v>23200.448628839691</v>
      </c>
      <c r="DQ92" s="176">
        <v>22585.892077681099</v>
      </c>
      <c r="DR92" s="176">
        <v>22015.860213595392</v>
      </c>
      <c r="DS92" s="176">
        <v>21494.189057892956</v>
      </c>
      <c r="DT92" s="176">
        <v>21024.998099751814</v>
      </c>
      <c r="DU92" s="176">
        <v>20612.681928218153</v>
      </c>
      <c r="DV92" s="176">
        <v>20261.913212791711</v>
      </c>
      <c r="DW92" s="176">
        <v>19977.690659192318</v>
      </c>
      <c r="DX92" s="176">
        <v>19765.506974016876</v>
      </c>
      <c r="DY92" s="176">
        <v>19631.797873319076</v>
      </c>
      <c r="DZ92" s="176">
        <v>19562.241285796739</v>
      </c>
      <c r="EA92" s="176">
        <v>19496.889456488392</v>
      </c>
      <c r="EB92" s="176">
        <v>19497.846147667384</v>
      </c>
      <c r="EC92" s="176">
        <v>19564.390119282481</v>
      </c>
      <c r="ED92" s="176">
        <v>19695.022237343463</v>
      </c>
      <c r="EE92" s="176">
        <v>19887.536674822943</v>
      </c>
      <c r="EF92" s="176">
        <v>20139.128730696419</v>
      </c>
      <c r="EG92" s="176">
        <v>20446.52589596072</v>
      </c>
      <c r="EH92" s="176">
        <v>20806.127731311073</v>
      </c>
      <c r="EI92" s="176">
        <v>21214.141548161071</v>
      </c>
      <c r="EJ92" s="176">
        <v>21666.704088530587</v>
      </c>
      <c r="EK92" s="176">
        <v>22159.983231765018</v>
      </c>
      <c r="EL92" s="176">
        <v>22690.257350437576</v>
      </c>
      <c r="EM92" s="176">
        <v>23157.022789452923</v>
      </c>
      <c r="EN92" s="176">
        <v>23664.390904733933</v>
      </c>
      <c r="EO92" s="176">
        <v>24230.857249480319</v>
      </c>
      <c r="EP92" t="str">
        <f t="shared" si="1"/>
        <v>16y 216d</v>
      </c>
    </row>
    <row r="93" spans="2:146" x14ac:dyDescent="0.25">
      <c r="B93" s="70">
        <v>90</v>
      </c>
      <c r="D93">
        <v>28198369.703839477</v>
      </c>
      <c r="E93" s="12">
        <v>42743643859.345345</v>
      </c>
      <c r="F93" s="12">
        <v>141374304610.61548</v>
      </c>
      <c r="G93" s="12">
        <v>0</v>
      </c>
      <c r="H93" s="12">
        <v>838030440.28211296</v>
      </c>
      <c r="I93" s="12">
        <v>1416525802186.9478</v>
      </c>
      <c r="J93" s="12">
        <v>144200072017.29318</v>
      </c>
      <c r="K93" s="12">
        <v>-58817643766.139252</v>
      </c>
      <c r="L93" s="12">
        <v>58728720.210720994</v>
      </c>
      <c r="M93" s="12">
        <v>-18200364118.663879</v>
      </c>
      <c r="N93" s="12">
        <v>894908845400.07593</v>
      </c>
      <c r="O93" s="12">
        <v>42600406.03848131</v>
      </c>
      <c r="P93" s="12">
        <v>58728724.732012257</v>
      </c>
      <c r="Q93" s="12">
        <v>-18200157639.41803</v>
      </c>
      <c r="R93" s="12">
        <v>894908893594.42969</v>
      </c>
      <c r="S93" s="12">
        <v>0</v>
      </c>
      <c r="T93" s="12">
        <v>87916498.150752023</v>
      </c>
      <c r="U93" s="12">
        <v>-267773612249.40088</v>
      </c>
      <c r="V93" s="12">
        <v>1138862252536.7913</v>
      </c>
      <c r="W93" s="12">
        <v>-465914543.78416044</v>
      </c>
      <c r="X93" s="12">
        <v>62994226.624151178</v>
      </c>
      <c r="Y93" s="12">
        <v>-56090322958.205475</v>
      </c>
      <c r="Z93" s="12">
        <v>942148601079.93042</v>
      </c>
      <c r="AA93" s="12">
        <v>-14182413437.322933</v>
      </c>
      <c r="AB93" s="12"/>
      <c r="AC93" s="12"/>
      <c r="AD93" s="12"/>
      <c r="AE93" s="12"/>
      <c r="AS93" s="6">
        <v>528894108.99493217</v>
      </c>
      <c r="AT93" s="176">
        <v>25988.229835449092</v>
      </c>
      <c r="AU93" s="176">
        <v>26659.145236724005</v>
      </c>
      <c r="AV93" s="176">
        <v>27350.776980076062</v>
      </c>
      <c r="AW93" s="176">
        <v>28059.446376345451</v>
      </c>
      <c r="AX93" s="176">
        <v>28782.272729390188</v>
      </c>
      <c r="AY93" s="176">
        <v>29516.912361272793</v>
      </c>
      <c r="AZ93" s="176">
        <v>30000</v>
      </c>
      <c r="BA93" s="176">
        <v>30000</v>
      </c>
      <c r="BB93" s="176">
        <v>30000</v>
      </c>
      <c r="BC93" s="176">
        <v>30000</v>
      </c>
      <c r="BD93" s="176">
        <v>30000</v>
      </c>
      <c r="BE93" s="176">
        <v>30000</v>
      </c>
      <c r="BF93" s="176">
        <v>30000</v>
      </c>
      <c r="BG93" s="176">
        <v>30000</v>
      </c>
      <c r="BH93" s="176">
        <v>30000</v>
      </c>
      <c r="BI93" s="176">
        <v>30000</v>
      </c>
      <c r="BJ93" s="176">
        <v>30000</v>
      </c>
      <c r="BK93" s="176">
        <v>30000</v>
      </c>
      <c r="BL93" s="176">
        <v>30000</v>
      </c>
      <c r="BM93" s="176">
        <v>30000</v>
      </c>
      <c r="BN93" s="176">
        <v>30000</v>
      </c>
      <c r="BO93" s="176">
        <v>30000</v>
      </c>
      <c r="BP93" s="176">
        <v>30000</v>
      </c>
      <c r="BQ93" s="176">
        <v>30000</v>
      </c>
      <c r="BR93" s="176">
        <v>30000</v>
      </c>
      <c r="BS93" s="176">
        <v>30000</v>
      </c>
      <c r="BT93" s="176">
        <v>30000</v>
      </c>
      <c r="BU93" s="176">
        <v>30000</v>
      </c>
      <c r="BV93" s="176">
        <v>30000</v>
      </c>
      <c r="BW93" s="176">
        <v>30000</v>
      </c>
      <c r="BX93" s="176">
        <v>30000</v>
      </c>
      <c r="BY93" s="176">
        <v>30000</v>
      </c>
      <c r="BZ93" s="176">
        <v>30000</v>
      </c>
      <c r="CA93" s="176">
        <v>30000</v>
      </c>
      <c r="CB93" s="176">
        <v>30000</v>
      </c>
      <c r="CC93" s="176">
        <v>30000</v>
      </c>
      <c r="CD93" s="176">
        <v>30000</v>
      </c>
      <c r="CE93" s="176">
        <v>30000</v>
      </c>
      <c r="CF93" s="176">
        <v>30000</v>
      </c>
      <c r="CG93" s="176">
        <v>30000</v>
      </c>
      <c r="CH93" s="176">
        <v>30000</v>
      </c>
      <c r="CI93" s="176">
        <v>30000</v>
      </c>
      <c r="CJ93" s="176">
        <v>30000</v>
      </c>
      <c r="CK93" s="176">
        <v>30000</v>
      </c>
      <c r="CL93" s="176">
        <v>30000</v>
      </c>
      <c r="CM93" s="176">
        <v>30000</v>
      </c>
      <c r="CN93" s="176">
        <v>30000</v>
      </c>
      <c r="CO93" s="176">
        <v>30000</v>
      </c>
      <c r="CP93" s="176">
        <v>30000</v>
      </c>
      <c r="CQ93" s="176">
        <v>30000</v>
      </c>
      <c r="CR93" s="176">
        <v>30000</v>
      </c>
      <c r="CS93" s="176">
        <v>30000</v>
      </c>
      <c r="CT93" s="176">
        <v>30000</v>
      </c>
      <c r="CU93" s="176">
        <v>30000</v>
      </c>
      <c r="CV93" s="176">
        <v>30000</v>
      </c>
      <c r="CW93" s="176">
        <v>30000</v>
      </c>
      <c r="CX93" s="176">
        <v>30000</v>
      </c>
      <c r="CY93" s="176">
        <v>30000</v>
      </c>
      <c r="CZ93" s="176">
        <v>30000</v>
      </c>
      <c r="DA93" s="176">
        <v>30000</v>
      </c>
      <c r="DB93" s="176">
        <v>30000</v>
      </c>
      <c r="DC93" s="176">
        <v>30000</v>
      </c>
      <c r="DD93" s="176">
        <v>30000</v>
      </c>
      <c r="DE93" s="176">
        <v>30000</v>
      </c>
      <c r="DF93" s="176">
        <v>30000</v>
      </c>
      <c r="DG93" s="176">
        <v>30000</v>
      </c>
      <c r="DH93" s="176">
        <v>29800.770488515573</v>
      </c>
      <c r="DI93" s="176">
        <v>28922.786634286058</v>
      </c>
      <c r="DJ93" s="176">
        <v>28067.353597725767</v>
      </c>
      <c r="DK93" s="176">
        <v>27236.257630569256</v>
      </c>
      <c r="DL93" s="176">
        <v>26431.449629527284</v>
      </c>
      <c r="DM93" s="176">
        <v>25655.068519063963</v>
      </c>
      <c r="DN93" s="176">
        <v>24909.464239507866</v>
      </c>
      <c r="DO93" s="176">
        <v>24197.219343795688</v>
      </c>
      <c r="DP93" s="176">
        <v>23521.167897379284</v>
      </c>
      <c r="DQ93" s="176">
        <v>22884.410073580035</v>
      </c>
      <c r="DR93" s="176">
        <v>22290.320636717086</v>
      </c>
      <c r="DS93" s="176">
        <v>21742.549610535381</v>
      </c>
      <c r="DT93" s="176">
        <v>21245.014260701973</v>
      </c>
      <c r="DU93" s="176">
        <v>20801.883942790439</v>
      </c>
      <c r="DV93" s="176">
        <v>20417.565139355313</v>
      </c>
      <c r="DW93" s="176">
        <v>20096.706631376725</v>
      </c>
      <c r="DX93" s="176">
        <v>19844.271179189076</v>
      </c>
      <c r="DY93" s="176">
        <v>19665.774374375695</v>
      </c>
      <c r="DZ93" s="176">
        <v>19567.906400778138</v>
      </c>
      <c r="EA93" s="176">
        <v>19507.311063811972</v>
      </c>
      <c r="EB93" s="176">
        <v>19476.497804569233</v>
      </c>
      <c r="EC93" s="176">
        <v>19511.801971504065</v>
      </c>
      <c r="ED93" s="176">
        <v>19612.072744665275</v>
      </c>
      <c r="EE93" s="176">
        <v>19775.410841688656</v>
      </c>
      <c r="EF93" s="176">
        <v>19999.261379921565</v>
      </c>
      <c r="EG93" s="176">
        <v>20280.536688495435</v>
      </c>
      <c r="EH93" s="176">
        <v>20615.754689556561</v>
      </c>
      <c r="EI93" s="176">
        <v>21001.178792168193</v>
      </c>
      <c r="EJ93" s="176">
        <v>21432.947777040394</v>
      </c>
      <c r="EK93" s="176">
        <v>21907.187863627118</v>
      </c>
      <c r="EL93" s="176">
        <v>22420.102948015752</v>
      </c>
      <c r="EM93" s="176">
        <v>22919.676729173159</v>
      </c>
      <c r="EN93" s="176">
        <v>23399.239072820259</v>
      </c>
      <c r="EO93" s="176">
        <v>23946.835601740506</v>
      </c>
      <c r="EP93" t="str">
        <f t="shared" si="1"/>
        <v>16y 277d</v>
      </c>
    </row>
    <row r="94" spans="2:146" x14ac:dyDescent="0.25">
      <c r="B94" s="70">
        <v>91</v>
      </c>
      <c r="D94">
        <v>28505882.757871885</v>
      </c>
      <c r="E94" s="12">
        <v>33760200459.534534</v>
      </c>
      <c r="F94" s="12">
        <v>143685033132.9053</v>
      </c>
      <c r="G94" s="12">
        <v>0</v>
      </c>
      <c r="H94" s="12">
        <v>847265746.20721209</v>
      </c>
      <c r="I94" s="12">
        <v>1399681698627.4163</v>
      </c>
      <c r="J94" s="12">
        <v>232103962137.31747</v>
      </c>
      <c r="K94" s="12">
        <v>-59679365112.762772</v>
      </c>
      <c r="L94" s="12">
        <v>63701532.962155521</v>
      </c>
      <c r="M94" s="12">
        <v>-51786342148.556572</v>
      </c>
      <c r="N94" s="12">
        <v>937413274680.16248</v>
      </c>
      <c r="O94" s="12">
        <v>5438594.964899228</v>
      </c>
      <c r="P94" s="12">
        <v>63701537.49855198</v>
      </c>
      <c r="Q94" s="12">
        <v>-51786148486.761925</v>
      </c>
      <c r="R94" s="12">
        <v>937413325650.14075</v>
      </c>
      <c r="S94" s="12">
        <v>0</v>
      </c>
      <c r="T94" s="12">
        <v>91628176.552255481</v>
      </c>
      <c r="U94" s="12">
        <v>-290534251771.57837</v>
      </c>
      <c r="V94" s="12">
        <v>1153999161843.7959</v>
      </c>
      <c r="W94" s="12">
        <v>-475156559.03807777</v>
      </c>
      <c r="X94" s="12">
        <v>67935629.906560719</v>
      </c>
      <c r="Y94" s="12">
        <v>-89219328932.807663</v>
      </c>
      <c r="Z94" s="12">
        <v>980280674726.37183</v>
      </c>
      <c r="AA94" s="12">
        <v>-13529812790.289627</v>
      </c>
      <c r="AB94" s="12"/>
      <c r="AC94" s="12"/>
      <c r="AD94" s="12"/>
      <c r="AE94" s="12"/>
      <c r="AS94" s="6">
        <v>534160874.23125488</v>
      </c>
      <c r="AT94" s="176">
        <v>25671.44976314775</v>
      </c>
      <c r="AU94" s="176">
        <v>26332.227146092984</v>
      </c>
      <c r="AV94" s="176">
        <v>27015.317979577638</v>
      </c>
      <c r="AW94" s="176">
        <v>27716.673222461777</v>
      </c>
      <c r="AX94" s="176">
        <v>28433.174217186901</v>
      </c>
      <c r="AY94" s="176">
        <v>29162.31401650919</v>
      </c>
      <c r="AZ94" s="176">
        <v>29902.011395932393</v>
      </c>
      <c r="BA94" s="176">
        <v>30000</v>
      </c>
      <c r="BB94" s="176">
        <v>30000</v>
      </c>
      <c r="BC94" s="176">
        <v>30000</v>
      </c>
      <c r="BD94" s="176">
        <v>30000</v>
      </c>
      <c r="BE94" s="176">
        <v>30000</v>
      </c>
      <c r="BF94" s="176">
        <v>30000</v>
      </c>
      <c r="BG94" s="176">
        <v>30000</v>
      </c>
      <c r="BH94" s="176">
        <v>30000</v>
      </c>
      <c r="BI94" s="176">
        <v>30000</v>
      </c>
      <c r="BJ94" s="176">
        <v>30000</v>
      </c>
      <c r="BK94" s="176">
        <v>30000</v>
      </c>
      <c r="BL94" s="176">
        <v>30000</v>
      </c>
      <c r="BM94" s="176">
        <v>30000</v>
      </c>
      <c r="BN94" s="176">
        <v>30000</v>
      </c>
      <c r="BO94" s="176">
        <v>30000</v>
      </c>
      <c r="BP94" s="176">
        <v>30000</v>
      </c>
      <c r="BQ94" s="176">
        <v>30000</v>
      </c>
      <c r="BR94" s="176">
        <v>30000</v>
      </c>
      <c r="BS94" s="176">
        <v>30000</v>
      </c>
      <c r="BT94" s="176">
        <v>30000</v>
      </c>
      <c r="BU94" s="176">
        <v>30000</v>
      </c>
      <c r="BV94" s="176">
        <v>30000</v>
      </c>
      <c r="BW94" s="176">
        <v>30000</v>
      </c>
      <c r="BX94" s="176">
        <v>30000</v>
      </c>
      <c r="BY94" s="176">
        <v>30000</v>
      </c>
      <c r="BZ94" s="176">
        <v>30000</v>
      </c>
      <c r="CA94" s="176">
        <v>30000</v>
      </c>
      <c r="CB94" s="176">
        <v>30000</v>
      </c>
      <c r="CC94" s="176">
        <v>30000</v>
      </c>
      <c r="CD94" s="176">
        <v>30000</v>
      </c>
      <c r="CE94" s="176">
        <v>30000</v>
      </c>
      <c r="CF94" s="176">
        <v>30000</v>
      </c>
      <c r="CG94" s="176">
        <v>30000</v>
      </c>
      <c r="CH94" s="176">
        <v>30000</v>
      </c>
      <c r="CI94" s="176">
        <v>30000</v>
      </c>
      <c r="CJ94" s="176">
        <v>30000</v>
      </c>
      <c r="CK94" s="176">
        <v>30000</v>
      </c>
      <c r="CL94" s="176">
        <v>30000</v>
      </c>
      <c r="CM94" s="176">
        <v>30000</v>
      </c>
      <c r="CN94" s="176">
        <v>30000</v>
      </c>
      <c r="CO94" s="176">
        <v>30000</v>
      </c>
      <c r="CP94" s="176">
        <v>30000</v>
      </c>
      <c r="CQ94" s="176">
        <v>30000</v>
      </c>
      <c r="CR94" s="176">
        <v>30000</v>
      </c>
      <c r="CS94" s="176">
        <v>30000</v>
      </c>
      <c r="CT94" s="176">
        <v>30000</v>
      </c>
      <c r="CU94" s="176">
        <v>30000</v>
      </c>
      <c r="CV94" s="176">
        <v>30000</v>
      </c>
      <c r="CW94" s="176">
        <v>30000</v>
      </c>
      <c r="CX94" s="176">
        <v>30000</v>
      </c>
      <c r="CY94" s="176">
        <v>30000</v>
      </c>
      <c r="CZ94" s="176">
        <v>30000</v>
      </c>
      <c r="DA94" s="176">
        <v>30000</v>
      </c>
      <c r="DB94" s="176">
        <v>30000</v>
      </c>
      <c r="DC94" s="176">
        <v>30000</v>
      </c>
      <c r="DD94" s="176">
        <v>30000</v>
      </c>
      <c r="DE94" s="176">
        <v>30000</v>
      </c>
      <c r="DF94" s="176">
        <v>30000</v>
      </c>
      <c r="DG94" s="176">
        <v>30000</v>
      </c>
      <c r="DH94" s="176">
        <v>30000</v>
      </c>
      <c r="DI94" s="176">
        <v>29366.261265005091</v>
      </c>
      <c r="DJ94" s="176">
        <v>28498.060475991362</v>
      </c>
      <c r="DK94" s="176">
        <v>27653.283540643879</v>
      </c>
      <c r="DL94" s="176">
        <v>26833.80243820318</v>
      </c>
      <c r="DM94" s="176">
        <v>26041.664072063701</v>
      </c>
      <c r="DN94" s="176">
        <v>25279.112859578468</v>
      </c>
      <c r="DO94" s="176">
        <v>24548.612188964129</v>
      </c>
      <c r="DP94" s="176">
        <v>23852.863496908307</v>
      </c>
      <c r="DQ94" s="176">
        <v>23194.821380748203</v>
      </c>
      <c r="DR94" s="176">
        <v>22577.70286065033</v>
      </c>
      <c r="DS94" s="176">
        <v>22004.988787512815</v>
      </c>
      <c r="DT94" s="176">
        <v>21480.415733014204</v>
      </c>
      <c r="DU94" s="176">
        <v>21007.958065976476</v>
      </c>
      <c r="DV94" s="176">
        <v>20591.803442551842</v>
      </c>
      <c r="DW94" s="176">
        <v>20236.332957689359</v>
      </c>
      <c r="DX94" s="176">
        <v>19946.133763438287</v>
      </c>
      <c r="DY94" s="176">
        <v>19726.106810461439</v>
      </c>
      <c r="DZ94" s="176">
        <v>19581.802912261061</v>
      </c>
      <c r="EA94" s="176">
        <v>19520.275678241851</v>
      </c>
      <c r="EB94" s="176">
        <v>19470.098036928819</v>
      </c>
      <c r="EC94" s="176">
        <v>19473.839929506659</v>
      </c>
      <c r="ED94" s="176">
        <v>19543.270187073453</v>
      </c>
      <c r="EE94" s="176">
        <v>19676.819087593922</v>
      </c>
      <c r="EF94" s="176">
        <v>19872.210547555442</v>
      </c>
      <c r="EG94" s="176">
        <v>20126.573404874351</v>
      </c>
      <c r="EH94" s="176">
        <v>20436.575205015401</v>
      </c>
      <c r="EI94" s="176">
        <v>20798.56385072902</v>
      </c>
      <c r="EJ94" s="176">
        <v>21208.704104294815</v>
      </c>
      <c r="EK94" s="176">
        <v>21663.099297853823</v>
      </c>
      <c r="EL94" s="176">
        <v>22157.892444394369</v>
      </c>
      <c r="EM94" s="176">
        <v>22689.344674698066</v>
      </c>
      <c r="EN94" s="176">
        <v>23142.190514456299</v>
      </c>
      <c r="EO94" s="176">
        <v>23669.015346826036</v>
      </c>
      <c r="EP94" t="str">
        <f t="shared" si="1"/>
        <v>16y 338d</v>
      </c>
    </row>
    <row r="95" spans="2:146" x14ac:dyDescent="0.25">
      <c r="B95" s="70">
        <v>92</v>
      </c>
      <c r="D95">
        <v>28813008.876086093</v>
      </c>
      <c r="E95" s="12">
        <v>24656644900.518959</v>
      </c>
      <c r="F95" s="12">
        <v>145433558743.37442</v>
      </c>
      <c r="G95" s="12">
        <v>0</v>
      </c>
      <c r="H95" s="12">
        <v>856436539.24782789</v>
      </c>
      <c r="I95" s="12">
        <v>1377484834632.082</v>
      </c>
      <c r="J95" s="12">
        <v>318486869414.72125</v>
      </c>
      <c r="K95" s="12">
        <v>-60301823610.489944</v>
      </c>
      <c r="L95" s="12">
        <v>69167563.294406846</v>
      </c>
      <c r="M95" s="12">
        <v>-88465804931.826309</v>
      </c>
      <c r="N95" s="12">
        <v>979852606344.5708</v>
      </c>
      <c r="O95" s="12">
        <v>-35432453.526250787</v>
      </c>
      <c r="P95" s="12">
        <v>69167567.790139347</v>
      </c>
      <c r="Q95" s="12">
        <v>-88465625888.455994</v>
      </c>
      <c r="R95" s="12">
        <v>979852660233.64087</v>
      </c>
      <c r="S95" s="12">
        <v>0</v>
      </c>
      <c r="T95" s="12">
        <v>95466161.743549958</v>
      </c>
      <c r="U95" s="12">
        <v>-313738077079.4632</v>
      </c>
      <c r="V95" s="12">
        <v>1168335302817.5688</v>
      </c>
      <c r="W95" s="12">
        <v>-484171259.47753668</v>
      </c>
      <c r="X95" s="12">
        <v>73305041.858895123</v>
      </c>
      <c r="Y95" s="12">
        <v>-124874005989.06439</v>
      </c>
      <c r="Z95" s="12">
        <v>1017946592738.6022</v>
      </c>
      <c r="AA95" s="12">
        <v>-12768698525.930704</v>
      </c>
      <c r="AB95" s="12"/>
      <c r="AC95" s="12"/>
      <c r="AD95" s="12"/>
      <c r="AE95" s="12"/>
      <c r="AS95" s="6">
        <v>539427639.46757758</v>
      </c>
      <c r="AT95" s="176">
        <v>25359.581835389326</v>
      </c>
      <c r="AU95" s="176">
        <v>26009.594192926088</v>
      </c>
      <c r="AV95" s="176">
        <v>26683.667416278873</v>
      </c>
      <c r="AW95" s="176">
        <v>27377.322352298565</v>
      </c>
      <c r="AX95" s="176">
        <v>28087.171927576841</v>
      </c>
      <c r="AY95" s="176">
        <v>28810.529137914469</v>
      </c>
      <c r="AZ95" s="176">
        <v>29545.184239832131</v>
      </c>
      <c r="BA95" s="176">
        <v>30000</v>
      </c>
      <c r="BB95" s="176">
        <v>30000</v>
      </c>
      <c r="BC95" s="176">
        <v>30000</v>
      </c>
      <c r="BD95" s="176">
        <v>30000</v>
      </c>
      <c r="BE95" s="176">
        <v>30000</v>
      </c>
      <c r="BF95" s="176">
        <v>30000</v>
      </c>
      <c r="BG95" s="176">
        <v>30000</v>
      </c>
      <c r="BH95" s="176">
        <v>30000</v>
      </c>
      <c r="BI95" s="176">
        <v>30000</v>
      </c>
      <c r="BJ95" s="176">
        <v>30000</v>
      </c>
      <c r="BK95" s="176">
        <v>30000</v>
      </c>
      <c r="BL95" s="176">
        <v>30000</v>
      </c>
      <c r="BM95" s="176">
        <v>30000</v>
      </c>
      <c r="BN95" s="176">
        <v>30000</v>
      </c>
      <c r="BO95" s="176">
        <v>30000</v>
      </c>
      <c r="BP95" s="176">
        <v>30000</v>
      </c>
      <c r="BQ95" s="176">
        <v>30000</v>
      </c>
      <c r="BR95" s="176">
        <v>30000</v>
      </c>
      <c r="BS95" s="176">
        <v>30000</v>
      </c>
      <c r="BT95" s="176">
        <v>30000</v>
      </c>
      <c r="BU95" s="176">
        <v>30000</v>
      </c>
      <c r="BV95" s="176">
        <v>30000</v>
      </c>
      <c r="BW95" s="176">
        <v>30000</v>
      </c>
      <c r="BX95" s="176">
        <v>30000</v>
      </c>
      <c r="BY95" s="176">
        <v>30000</v>
      </c>
      <c r="BZ95" s="176">
        <v>30000</v>
      </c>
      <c r="CA95" s="176">
        <v>30000</v>
      </c>
      <c r="CB95" s="176">
        <v>30000</v>
      </c>
      <c r="CC95" s="176">
        <v>30000</v>
      </c>
      <c r="CD95" s="176">
        <v>30000</v>
      </c>
      <c r="CE95" s="176">
        <v>30000</v>
      </c>
      <c r="CF95" s="176">
        <v>30000</v>
      </c>
      <c r="CG95" s="176">
        <v>30000</v>
      </c>
      <c r="CH95" s="176">
        <v>30000</v>
      </c>
      <c r="CI95" s="176">
        <v>30000</v>
      </c>
      <c r="CJ95" s="176">
        <v>30000</v>
      </c>
      <c r="CK95" s="176">
        <v>30000</v>
      </c>
      <c r="CL95" s="176">
        <v>30000</v>
      </c>
      <c r="CM95" s="176">
        <v>30000</v>
      </c>
      <c r="CN95" s="176">
        <v>30000</v>
      </c>
      <c r="CO95" s="176">
        <v>30000</v>
      </c>
      <c r="CP95" s="176">
        <v>30000</v>
      </c>
      <c r="CQ95" s="176">
        <v>30000</v>
      </c>
      <c r="CR95" s="176">
        <v>30000</v>
      </c>
      <c r="CS95" s="176">
        <v>30000</v>
      </c>
      <c r="CT95" s="176">
        <v>30000</v>
      </c>
      <c r="CU95" s="176">
        <v>30000</v>
      </c>
      <c r="CV95" s="176">
        <v>30000</v>
      </c>
      <c r="CW95" s="176">
        <v>30000</v>
      </c>
      <c r="CX95" s="176">
        <v>30000</v>
      </c>
      <c r="CY95" s="176">
        <v>30000</v>
      </c>
      <c r="CZ95" s="176">
        <v>30000</v>
      </c>
      <c r="DA95" s="176">
        <v>30000</v>
      </c>
      <c r="DB95" s="176">
        <v>30000</v>
      </c>
      <c r="DC95" s="176">
        <v>30000</v>
      </c>
      <c r="DD95" s="176">
        <v>30000</v>
      </c>
      <c r="DE95" s="176">
        <v>30000</v>
      </c>
      <c r="DF95" s="176">
        <v>30000</v>
      </c>
      <c r="DG95" s="176">
        <v>30000</v>
      </c>
      <c r="DH95" s="176">
        <v>30000</v>
      </c>
      <c r="DI95" s="176">
        <v>29816.244752914543</v>
      </c>
      <c r="DJ95" s="176">
        <v>28935.713429786851</v>
      </c>
      <c r="DK95" s="176">
        <v>28077.727412424996</v>
      </c>
      <c r="DL95" s="176">
        <v>27244.08697941589</v>
      </c>
      <c r="DM95" s="176">
        <v>26436.754843564857</v>
      </c>
      <c r="DN95" s="176">
        <v>25657.878370173741</v>
      </c>
      <c r="DO95" s="176">
        <v>24909.810935022258</v>
      </c>
      <c r="DP95" s="176">
        <v>24195.131255458422</v>
      </c>
      <c r="DQ95" s="176">
        <v>23516.659171203377</v>
      </c>
      <c r="DR95" s="176">
        <v>22877.465993526021</v>
      </c>
      <c r="DS95" s="176">
        <v>22280.877276745901</v>
      </c>
      <c r="DT95" s="176">
        <v>21730.465886261994</v>
      </c>
      <c r="DU95" s="176">
        <v>21230.033921424991</v>
      </c>
      <c r="DV95" s="176">
        <v>20783.584134734396</v>
      </c>
      <c r="DW95" s="176">
        <v>20395.286500108461</v>
      </c>
      <c r="DX95" s="176">
        <v>20069.456009487476</v>
      </c>
      <c r="DY95" s="176">
        <v>19810.579950871637</v>
      </c>
      <c r="DZ95" s="176">
        <v>19623.476740964339</v>
      </c>
      <c r="EA95" s="176">
        <v>19513.761525196533</v>
      </c>
      <c r="EB95" s="176">
        <v>19478.777655978516</v>
      </c>
      <c r="EC95" s="176">
        <v>19450.711022071333</v>
      </c>
      <c r="ED95" s="176">
        <v>19488.889406058875</v>
      </c>
      <c r="EE95" s="176">
        <v>19592.091937729179</v>
      </c>
      <c r="EF95" s="176">
        <v>19758.348040049703</v>
      </c>
      <c r="EG95" s="176">
        <v>19985.034019708881</v>
      </c>
      <c r="EH95" s="176">
        <v>20268.998987868643</v>
      </c>
      <c r="EI95" s="176">
        <v>20606.70544796596</v>
      </c>
      <c r="EJ95" s="176">
        <v>20994.370404202371</v>
      </c>
      <c r="EK95" s="176">
        <v>21428.095597657808</v>
      </c>
      <c r="EL95" s="176">
        <v>21903.979176356181</v>
      </c>
      <c r="EM95" s="176">
        <v>22418.205125078646</v>
      </c>
      <c r="EN95" s="176">
        <v>22893.985537516506</v>
      </c>
      <c r="EO95" s="176">
        <v>23397.707246615464</v>
      </c>
      <c r="EP95" t="str">
        <f t="shared" si="1"/>
        <v>17y 34d</v>
      </c>
    </row>
    <row r="96" spans="2:146" x14ac:dyDescent="0.25">
      <c r="B96" s="70">
        <v>93</v>
      </c>
      <c r="D96">
        <v>29119781.205337424</v>
      </c>
      <c r="E96" s="12">
        <v>15467648913.427578</v>
      </c>
      <c r="F96" s="12">
        <v>146614278998.87674</v>
      </c>
      <c r="G96" s="12">
        <v>0</v>
      </c>
      <c r="H96" s="12">
        <v>865544063.411443</v>
      </c>
      <c r="I96" s="12">
        <v>1350075884377.9392</v>
      </c>
      <c r="J96" s="12">
        <v>403033542620.16357</v>
      </c>
      <c r="K96" s="12">
        <v>-60685119355.081635</v>
      </c>
      <c r="L96" s="12">
        <v>75163017.294959903</v>
      </c>
      <c r="M96" s="12">
        <v>-128273838455.54796</v>
      </c>
      <c r="N96" s="12">
        <v>1021719226862.9208</v>
      </c>
      <c r="O96" s="12">
        <v>-80091283.013521641</v>
      </c>
      <c r="P96" s="12">
        <v>75163021.682704791</v>
      </c>
      <c r="Q96" s="12">
        <v>-128273675936.93085</v>
      </c>
      <c r="R96" s="12">
        <v>1021719283874.8097</v>
      </c>
      <c r="S96" s="12">
        <v>0</v>
      </c>
      <c r="T96" s="12">
        <v>99429879.548133954</v>
      </c>
      <c r="U96" s="12">
        <v>-337338558043.3692</v>
      </c>
      <c r="V96" s="12">
        <v>1181787668775.9983</v>
      </c>
      <c r="W96" s="12">
        <v>-492920396.62251741</v>
      </c>
      <c r="X96" s="12">
        <v>79126654.570369795</v>
      </c>
      <c r="Y96" s="12">
        <v>-163030967397.12045</v>
      </c>
      <c r="Z96" s="12">
        <v>1054711963662.7174</v>
      </c>
      <c r="AA96" s="12">
        <v>-11892433273.366333</v>
      </c>
      <c r="AB96" s="12"/>
      <c r="AC96" s="12"/>
      <c r="AD96" s="12"/>
      <c r="AE96" s="12"/>
      <c r="AS96" s="6">
        <v>544694404.70390022</v>
      </c>
      <c r="AT96" s="176">
        <v>25052.837409357409</v>
      </c>
      <c r="AU96" s="176">
        <v>25691.405447131245</v>
      </c>
      <c r="AV96" s="176">
        <v>26355.955271896826</v>
      </c>
      <c r="AW96" s="176">
        <v>27041.504349483177</v>
      </c>
      <c r="AX96" s="176">
        <v>27744.361500251602</v>
      </c>
      <c r="AY96" s="176">
        <v>28461.640800694426</v>
      </c>
      <c r="AZ96" s="176">
        <v>29190.993089768388</v>
      </c>
      <c r="BA96" s="176">
        <v>29930.448530113677</v>
      </c>
      <c r="BB96" s="176">
        <v>30000</v>
      </c>
      <c r="BC96" s="176">
        <v>30000</v>
      </c>
      <c r="BD96" s="176">
        <v>30000</v>
      </c>
      <c r="BE96" s="176">
        <v>30000</v>
      </c>
      <c r="BF96" s="176">
        <v>30000</v>
      </c>
      <c r="BG96" s="176">
        <v>30000</v>
      </c>
      <c r="BH96" s="176">
        <v>30000</v>
      </c>
      <c r="BI96" s="176">
        <v>30000</v>
      </c>
      <c r="BJ96" s="176">
        <v>30000</v>
      </c>
      <c r="BK96" s="176">
        <v>30000</v>
      </c>
      <c r="BL96" s="176">
        <v>30000</v>
      </c>
      <c r="BM96" s="176">
        <v>30000</v>
      </c>
      <c r="BN96" s="176">
        <v>30000</v>
      </c>
      <c r="BO96" s="176">
        <v>30000</v>
      </c>
      <c r="BP96" s="176">
        <v>30000</v>
      </c>
      <c r="BQ96" s="176">
        <v>30000</v>
      </c>
      <c r="BR96" s="176">
        <v>30000</v>
      </c>
      <c r="BS96" s="176">
        <v>30000</v>
      </c>
      <c r="BT96" s="176">
        <v>30000</v>
      </c>
      <c r="BU96" s="176">
        <v>30000</v>
      </c>
      <c r="BV96" s="176">
        <v>30000</v>
      </c>
      <c r="BW96" s="176">
        <v>30000</v>
      </c>
      <c r="BX96" s="176">
        <v>30000</v>
      </c>
      <c r="BY96" s="176">
        <v>30000</v>
      </c>
      <c r="BZ96" s="176">
        <v>30000</v>
      </c>
      <c r="CA96" s="176">
        <v>30000</v>
      </c>
      <c r="CB96" s="176">
        <v>30000</v>
      </c>
      <c r="CC96" s="176">
        <v>30000</v>
      </c>
      <c r="CD96" s="176">
        <v>30000</v>
      </c>
      <c r="CE96" s="176">
        <v>30000</v>
      </c>
      <c r="CF96" s="176">
        <v>30000</v>
      </c>
      <c r="CG96" s="176">
        <v>30000</v>
      </c>
      <c r="CH96" s="176">
        <v>30000</v>
      </c>
      <c r="CI96" s="176">
        <v>30000</v>
      </c>
      <c r="CJ96" s="176">
        <v>30000</v>
      </c>
      <c r="CK96" s="176">
        <v>30000</v>
      </c>
      <c r="CL96" s="176">
        <v>30000</v>
      </c>
      <c r="CM96" s="176">
        <v>30000</v>
      </c>
      <c r="CN96" s="176">
        <v>30000</v>
      </c>
      <c r="CO96" s="176">
        <v>30000</v>
      </c>
      <c r="CP96" s="176">
        <v>30000</v>
      </c>
      <c r="CQ96" s="176">
        <v>30000</v>
      </c>
      <c r="CR96" s="176">
        <v>30000</v>
      </c>
      <c r="CS96" s="176">
        <v>30000</v>
      </c>
      <c r="CT96" s="176">
        <v>30000</v>
      </c>
      <c r="CU96" s="176">
        <v>30000</v>
      </c>
      <c r="CV96" s="176">
        <v>30000</v>
      </c>
      <c r="CW96" s="176">
        <v>30000</v>
      </c>
      <c r="CX96" s="176">
        <v>30000</v>
      </c>
      <c r="CY96" s="176">
        <v>30000</v>
      </c>
      <c r="CZ96" s="176">
        <v>30000</v>
      </c>
      <c r="DA96" s="176">
        <v>30000</v>
      </c>
      <c r="DB96" s="176">
        <v>30000</v>
      </c>
      <c r="DC96" s="176">
        <v>30000</v>
      </c>
      <c r="DD96" s="176">
        <v>30000</v>
      </c>
      <c r="DE96" s="176">
        <v>30000</v>
      </c>
      <c r="DF96" s="176">
        <v>30000</v>
      </c>
      <c r="DG96" s="176">
        <v>30000</v>
      </c>
      <c r="DH96" s="176">
        <v>30000</v>
      </c>
      <c r="DI96" s="176">
        <v>30000</v>
      </c>
      <c r="DJ96" s="176">
        <v>29380.141923635787</v>
      </c>
      <c r="DK96" s="176">
        <v>28509.398099434511</v>
      </c>
      <c r="DL96" s="176">
        <v>27662.087244208997</v>
      </c>
      <c r="DM96" s="176">
        <v>26840.095199336392</v>
      </c>
      <c r="DN96" s="176">
        <v>26045.480147277201</v>
      </c>
      <c r="DO96" s="176">
        <v>25280.493876008142</v>
      </c>
      <c r="DP96" s="176">
        <v>24547.601383744088</v>
      </c>
      <c r="DQ96" s="176">
        <v>23849.497391126184</v>
      </c>
      <c r="DR96" s="176">
        <v>23189.117938505751</v>
      </c>
      <c r="DS96" s="176">
        <v>22569.644890315511</v>
      </c>
      <c r="DT96" s="176">
        <v>21994.500979557532</v>
      </c>
      <c r="DU96" s="176">
        <v>21467.333262481712</v>
      </c>
      <c r="DV96" s="176">
        <v>20991.98400439183</v>
      </c>
      <c r="DW96" s="176">
        <v>20572.451093865064</v>
      </c>
      <c r="DX96" s="176">
        <v>20212.846597786796</v>
      </c>
      <c r="DY96" s="176">
        <v>19917.376194367469</v>
      </c>
      <c r="DZ96" s="176">
        <v>19690.389555763715</v>
      </c>
      <c r="EA96" s="176">
        <v>19536.608351285038</v>
      </c>
      <c r="EB96" s="176">
        <v>19461.760831625004</v>
      </c>
      <c r="EC96" s="176">
        <v>19442.591162889632</v>
      </c>
      <c r="ED96" s="176">
        <v>19449.178664309115</v>
      </c>
      <c r="EE96" s="176">
        <v>19521.539396284323</v>
      </c>
      <c r="EF96" s="176">
        <v>19658.032000841009</v>
      </c>
      <c r="EG96" s="176">
        <v>19856.30977640492</v>
      </c>
      <c r="EH96" s="176">
        <v>20113.435414092055</v>
      </c>
      <c r="EI96" s="176">
        <v>20426.017419427837</v>
      </c>
      <c r="EJ96" s="176">
        <v>20790.353403356599</v>
      </c>
      <c r="EK96" s="176">
        <v>21202.567295388228</v>
      </c>
      <c r="EL96" s="176">
        <v>21658.730913685551</v>
      </c>
      <c r="EM96" s="176">
        <v>22154.96442077159</v>
      </c>
      <c r="EN96" s="176">
        <v>22655.578770449807</v>
      </c>
      <c r="EO96" s="176">
        <v>23133.250325345623</v>
      </c>
      <c r="EP96" t="str">
        <f t="shared" si="1"/>
        <v>17y 95d</v>
      </c>
    </row>
    <row r="97" spans="2:146" x14ac:dyDescent="0.25">
      <c r="B97" s="70">
        <v>94</v>
      </c>
      <c r="D97">
        <v>29426234.115666363</v>
      </c>
      <c r="E97" s="12">
        <v>6228072229.5675421</v>
      </c>
      <c r="F97" s="12">
        <v>147223665828.77466</v>
      </c>
      <c r="G97" s="12">
        <v>0</v>
      </c>
      <c r="H97" s="12">
        <v>874589781.62316394</v>
      </c>
      <c r="I97" s="12">
        <v>1317612162917.7124</v>
      </c>
      <c r="J97" s="12">
        <v>485442153718.23969</v>
      </c>
      <c r="K97" s="12">
        <v>-60830247731.408943</v>
      </c>
      <c r="L97" s="12">
        <v>81721020.723694146</v>
      </c>
      <c r="M97" s="12">
        <v>-171175000572.66632</v>
      </c>
      <c r="N97" s="12">
        <v>1062411034962.5886</v>
      </c>
      <c r="O97" s="12">
        <v>-128538776.39870566</v>
      </c>
      <c r="P97" s="12">
        <v>81721024.92420727</v>
      </c>
      <c r="Q97" s="12">
        <v>-171174856576.72192</v>
      </c>
      <c r="R97" s="12">
        <v>1062411095380.4775</v>
      </c>
      <c r="S97" s="12">
        <v>0</v>
      </c>
      <c r="T97" s="12">
        <v>103518106.22684783</v>
      </c>
      <c r="U97" s="12">
        <v>-361283584011.61267</v>
      </c>
      <c r="V97" s="12">
        <v>1194272730038.199</v>
      </c>
      <c r="W97" s="12">
        <v>-501364641.31152242</v>
      </c>
      <c r="X97" s="12">
        <v>85421412.788305834</v>
      </c>
      <c r="Y97" s="12">
        <v>-203610454377.22971</v>
      </c>
      <c r="Z97" s="12">
        <v>1090080916355.8882</v>
      </c>
      <c r="AA97" s="12">
        <v>-10895549445.260761</v>
      </c>
      <c r="AB97" s="12"/>
      <c r="AC97" s="12"/>
      <c r="AD97" s="12"/>
      <c r="AE97" s="12"/>
      <c r="AS97" s="6">
        <v>549961169.94022286</v>
      </c>
      <c r="AT97" s="176">
        <v>24751.443204093746</v>
      </c>
      <c r="AU97" s="176">
        <v>25377.828262177925</v>
      </c>
      <c r="AV97" s="176">
        <v>26032.318154437591</v>
      </c>
      <c r="AW97" s="176">
        <v>26709.336136865131</v>
      </c>
      <c r="AX97" s="176">
        <v>27404.844818162223</v>
      </c>
      <c r="AY97" s="176">
        <v>28115.738124461976</v>
      </c>
      <c r="AZ97" s="176">
        <v>28839.515712511067</v>
      </c>
      <c r="BA97" s="176">
        <v>29574.097098326045</v>
      </c>
      <c r="BB97" s="176">
        <v>30000</v>
      </c>
      <c r="BC97" s="176">
        <v>30000</v>
      </c>
      <c r="BD97" s="176">
        <v>30000</v>
      </c>
      <c r="BE97" s="176">
        <v>30000</v>
      </c>
      <c r="BF97" s="176">
        <v>30000</v>
      </c>
      <c r="BG97" s="176">
        <v>30000</v>
      </c>
      <c r="BH97" s="176">
        <v>30000</v>
      </c>
      <c r="BI97" s="176">
        <v>30000</v>
      </c>
      <c r="BJ97" s="176">
        <v>30000</v>
      </c>
      <c r="BK97" s="176">
        <v>30000</v>
      </c>
      <c r="BL97" s="176">
        <v>30000</v>
      </c>
      <c r="BM97" s="176">
        <v>30000</v>
      </c>
      <c r="BN97" s="176">
        <v>30000</v>
      </c>
      <c r="BO97" s="176">
        <v>30000</v>
      </c>
      <c r="BP97" s="176">
        <v>30000</v>
      </c>
      <c r="BQ97" s="176">
        <v>30000</v>
      </c>
      <c r="BR97" s="176">
        <v>30000</v>
      </c>
      <c r="BS97" s="176">
        <v>30000</v>
      </c>
      <c r="BT97" s="176">
        <v>30000</v>
      </c>
      <c r="BU97" s="176">
        <v>30000</v>
      </c>
      <c r="BV97" s="176">
        <v>30000</v>
      </c>
      <c r="BW97" s="176">
        <v>30000</v>
      </c>
      <c r="BX97" s="176">
        <v>30000</v>
      </c>
      <c r="BY97" s="176">
        <v>30000</v>
      </c>
      <c r="BZ97" s="176">
        <v>30000</v>
      </c>
      <c r="CA97" s="176">
        <v>30000</v>
      </c>
      <c r="CB97" s="176">
        <v>30000</v>
      </c>
      <c r="CC97" s="176">
        <v>30000</v>
      </c>
      <c r="CD97" s="176">
        <v>30000</v>
      </c>
      <c r="CE97" s="176">
        <v>30000</v>
      </c>
      <c r="CF97" s="176">
        <v>30000</v>
      </c>
      <c r="CG97" s="176">
        <v>30000</v>
      </c>
      <c r="CH97" s="176">
        <v>30000</v>
      </c>
      <c r="CI97" s="176">
        <v>30000</v>
      </c>
      <c r="CJ97" s="176">
        <v>30000</v>
      </c>
      <c r="CK97" s="176">
        <v>30000</v>
      </c>
      <c r="CL97" s="176">
        <v>30000</v>
      </c>
      <c r="CM97" s="176">
        <v>30000</v>
      </c>
      <c r="CN97" s="176">
        <v>30000</v>
      </c>
      <c r="CO97" s="176">
        <v>30000</v>
      </c>
      <c r="CP97" s="176">
        <v>30000</v>
      </c>
      <c r="CQ97" s="176">
        <v>30000</v>
      </c>
      <c r="CR97" s="176">
        <v>30000</v>
      </c>
      <c r="CS97" s="176">
        <v>30000</v>
      </c>
      <c r="CT97" s="176">
        <v>30000</v>
      </c>
      <c r="CU97" s="176">
        <v>30000</v>
      </c>
      <c r="CV97" s="176">
        <v>30000</v>
      </c>
      <c r="CW97" s="176">
        <v>30000</v>
      </c>
      <c r="CX97" s="176">
        <v>30000</v>
      </c>
      <c r="CY97" s="176">
        <v>30000</v>
      </c>
      <c r="CZ97" s="176">
        <v>30000</v>
      </c>
      <c r="DA97" s="176">
        <v>30000</v>
      </c>
      <c r="DB97" s="176">
        <v>30000</v>
      </c>
      <c r="DC97" s="176">
        <v>30000</v>
      </c>
      <c r="DD97" s="176">
        <v>30000</v>
      </c>
      <c r="DE97" s="176">
        <v>30000</v>
      </c>
      <c r="DF97" s="176">
        <v>30000</v>
      </c>
      <c r="DG97" s="176">
        <v>30000</v>
      </c>
      <c r="DH97" s="176">
        <v>30000</v>
      </c>
      <c r="DI97" s="176">
        <v>30000</v>
      </c>
      <c r="DJ97" s="176">
        <v>29831.187386461319</v>
      </c>
      <c r="DK97" s="176">
        <v>28948.118587392499</v>
      </c>
      <c r="DL97" s="176">
        <v>28087.603823582427</v>
      </c>
      <c r="DM97" s="176">
        <v>27251.458937891832</v>
      </c>
      <c r="DN97" s="176">
        <v>26441.660285463593</v>
      </c>
      <c r="DO97" s="176">
        <v>25660.365884524497</v>
      </c>
      <c r="DP97" s="176">
        <v>24909.935274293173</v>
      </c>
      <c r="DQ97" s="176">
        <v>24192.946755500358</v>
      </c>
      <c r="DR97" s="176">
        <v>23512.210288093374</v>
      </c>
      <c r="DS97" s="176">
        <v>22870.773912005679</v>
      </c>
      <c r="DT97" s="176">
        <v>22271.92123339132</v>
      </c>
      <c r="DU97" s="176">
        <v>21719.157461365616</v>
      </c>
      <c r="DV97" s="176">
        <v>21216.182021787456</v>
      </c>
      <c r="DW97" s="176">
        <v>20766.847598591972</v>
      </c>
      <c r="DX97" s="176">
        <v>20375.109473936136</v>
      </c>
      <c r="DY97" s="176">
        <v>20044.978048907731</v>
      </c>
      <c r="DZ97" s="176">
        <v>19780.504528916237</v>
      </c>
      <c r="EA97" s="176">
        <v>19585.864535056186</v>
      </c>
      <c r="EB97" s="176">
        <v>19465.675862384876</v>
      </c>
      <c r="EC97" s="176">
        <v>19425.850433914835</v>
      </c>
      <c r="ED97" s="176">
        <v>19424.357454513742</v>
      </c>
      <c r="EE97" s="176">
        <v>19465.448170878561</v>
      </c>
      <c r="EF97" s="176">
        <v>19571.603896463377</v>
      </c>
      <c r="EG97" s="176">
        <v>19740.782261573237</v>
      </c>
      <c r="EH97" s="176">
        <v>19970.290945314508</v>
      </c>
      <c r="EI97" s="176">
        <v>20256.91663819578</v>
      </c>
      <c r="EJ97" s="176">
        <v>20597.067711804742</v>
      </c>
      <c r="EK97" s="176">
        <v>20986.91644103967</v>
      </c>
      <c r="EL97" s="176">
        <v>21422.529402825247</v>
      </c>
      <c r="EM97" s="176">
        <v>21899.978696968388</v>
      </c>
      <c r="EN97" s="176">
        <v>22415.430415006947</v>
      </c>
      <c r="EO97" s="176">
        <v>22876.018406096453</v>
      </c>
      <c r="EP97" t="str">
        <f t="shared" si="1"/>
        <v>17y 156d</v>
      </c>
    </row>
    <row r="98" spans="2:146" x14ac:dyDescent="0.25">
      <c r="B98" s="70">
        <v>95</v>
      </c>
      <c r="D98">
        <v>29732403.075571354</v>
      </c>
      <c r="E98" s="12">
        <v>-3027153228.2029686</v>
      </c>
      <c r="F98" s="12">
        <v>147260262709.22415</v>
      </c>
      <c r="G98" s="12">
        <v>0</v>
      </c>
      <c r="H98" s="12">
        <v>883575363.51074052</v>
      </c>
      <c r="I98" s="12">
        <v>1280266325296.8242</v>
      </c>
      <c r="J98" s="12">
        <v>565424900505.79529</v>
      </c>
      <c r="K98" s="12">
        <v>-60739058202.22258</v>
      </c>
      <c r="L98" s="12">
        <v>88869507.810882688</v>
      </c>
      <c r="M98" s="12">
        <v>-217045850199.84967</v>
      </c>
      <c r="N98" s="12">
        <v>1101232218456.1565</v>
      </c>
      <c r="O98" s="12">
        <v>-180677178.12852415</v>
      </c>
      <c r="P98" s="12">
        <v>88869511.733311594</v>
      </c>
      <c r="Q98" s="12">
        <v>-217045726796.81879</v>
      </c>
      <c r="R98" s="12">
        <v>1101232282662.6428</v>
      </c>
      <c r="S98" s="12">
        <v>0</v>
      </c>
      <c r="T98" s="12">
        <v>107728923.82238911</v>
      </c>
      <c r="U98" s="12">
        <v>-385515508234.09631</v>
      </c>
      <c r="V98" s="12">
        <v>1205707227441.2727</v>
      </c>
      <c r="W98" s="12">
        <v>-509463885.75829041</v>
      </c>
      <c r="X98" s="12">
        <v>92205592.503990963</v>
      </c>
      <c r="Y98" s="12">
        <v>-246466178596.15399</v>
      </c>
      <c r="Z98" s="12">
        <v>1123499794297.908</v>
      </c>
      <c r="AA98" s="12">
        <v>-9774217343.9671898</v>
      </c>
      <c r="AB98" s="12"/>
      <c r="AC98" s="12"/>
      <c r="AD98" s="12"/>
      <c r="AE98" s="12"/>
      <c r="AS98" s="6">
        <v>555227935.1765455</v>
      </c>
      <c r="AT98" s="176">
        <v>24455.642627467107</v>
      </c>
      <c r="AU98" s="176">
        <v>25069.037911279513</v>
      </c>
      <c r="AV98" s="176">
        <v>25712.899007745382</v>
      </c>
      <c r="AW98" s="176">
        <v>26380.94100725088</v>
      </c>
      <c r="AX98" s="176">
        <v>27068.7302864921</v>
      </c>
      <c r="AY98" s="176">
        <v>27772.916695073836</v>
      </c>
      <c r="AZ98" s="176">
        <v>28490.836073165498</v>
      </c>
      <c r="BA98" s="176">
        <v>29220.289816478966</v>
      </c>
      <c r="BB98" s="176">
        <v>29959.414663991225</v>
      </c>
      <c r="BC98" s="176">
        <v>30000</v>
      </c>
      <c r="BD98" s="176">
        <v>30000</v>
      </c>
      <c r="BE98" s="176">
        <v>30000</v>
      </c>
      <c r="BF98" s="176">
        <v>30000</v>
      </c>
      <c r="BG98" s="176">
        <v>30000</v>
      </c>
      <c r="BH98" s="176">
        <v>30000</v>
      </c>
      <c r="BI98" s="176">
        <v>30000</v>
      </c>
      <c r="BJ98" s="176">
        <v>30000</v>
      </c>
      <c r="BK98" s="176">
        <v>30000</v>
      </c>
      <c r="BL98" s="176">
        <v>30000</v>
      </c>
      <c r="BM98" s="176">
        <v>30000</v>
      </c>
      <c r="BN98" s="176">
        <v>30000</v>
      </c>
      <c r="BO98" s="176">
        <v>30000</v>
      </c>
      <c r="BP98" s="176">
        <v>30000</v>
      </c>
      <c r="BQ98" s="176">
        <v>30000</v>
      </c>
      <c r="BR98" s="176">
        <v>30000</v>
      </c>
      <c r="BS98" s="176">
        <v>30000</v>
      </c>
      <c r="BT98" s="176">
        <v>30000</v>
      </c>
      <c r="BU98" s="176">
        <v>30000</v>
      </c>
      <c r="BV98" s="176">
        <v>30000</v>
      </c>
      <c r="BW98" s="176">
        <v>30000</v>
      </c>
      <c r="BX98" s="176">
        <v>30000</v>
      </c>
      <c r="BY98" s="176">
        <v>30000</v>
      </c>
      <c r="BZ98" s="176">
        <v>30000</v>
      </c>
      <c r="CA98" s="176">
        <v>30000</v>
      </c>
      <c r="CB98" s="176">
        <v>30000</v>
      </c>
      <c r="CC98" s="176">
        <v>30000</v>
      </c>
      <c r="CD98" s="176">
        <v>30000</v>
      </c>
      <c r="CE98" s="176">
        <v>30000</v>
      </c>
      <c r="CF98" s="176">
        <v>30000</v>
      </c>
      <c r="CG98" s="176">
        <v>30000</v>
      </c>
      <c r="CH98" s="176">
        <v>30000</v>
      </c>
      <c r="CI98" s="176">
        <v>30000</v>
      </c>
      <c r="CJ98" s="176">
        <v>30000</v>
      </c>
      <c r="CK98" s="176">
        <v>30000</v>
      </c>
      <c r="CL98" s="176">
        <v>30000</v>
      </c>
      <c r="CM98" s="176">
        <v>30000</v>
      </c>
      <c r="CN98" s="176">
        <v>30000</v>
      </c>
      <c r="CO98" s="176">
        <v>30000</v>
      </c>
      <c r="CP98" s="176">
        <v>30000</v>
      </c>
      <c r="CQ98" s="176">
        <v>30000</v>
      </c>
      <c r="CR98" s="176">
        <v>30000</v>
      </c>
      <c r="CS98" s="176">
        <v>30000</v>
      </c>
      <c r="CT98" s="176">
        <v>30000</v>
      </c>
      <c r="CU98" s="176">
        <v>30000</v>
      </c>
      <c r="CV98" s="176">
        <v>30000</v>
      </c>
      <c r="CW98" s="176">
        <v>30000</v>
      </c>
      <c r="CX98" s="176">
        <v>30000</v>
      </c>
      <c r="CY98" s="176">
        <v>30000</v>
      </c>
      <c r="CZ98" s="176">
        <v>30000</v>
      </c>
      <c r="DA98" s="176">
        <v>30000</v>
      </c>
      <c r="DB98" s="176">
        <v>30000</v>
      </c>
      <c r="DC98" s="176">
        <v>30000</v>
      </c>
      <c r="DD98" s="176">
        <v>30000</v>
      </c>
      <c r="DE98" s="176">
        <v>30000</v>
      </c>
      <c r="DF98" s="176">
        <v>30000</v>
      </c>
      <c r="DG98" s="176">
        <v>30000</v>
      </c>
      <c r="DH98" s="176">
        <v>30000</v>
      </c>
      <c r="DI98" s="176">
        <v>30000</v>
      </c>
      <c r="DJ98" s="176">
        <v>30000</v>
      </c>
      <c r="DK98" s="176">
        <v>29393.724748487333</v>
      </c>
      <c r="DL98" s="176">
        <v>28520.452481321681</v>
      </c>
      <c r="DM98" s="176">
        <v>27670.637633695656</v>
      </c>
      <c r="DN98" s="176">
        <v>26846.181646265999</v>
      </c>
      <c r="DO98" s="176">
        <v>26049.156076146759</v>
      </c>
      <c r="DP98" s="176">
        <v>25281.822659076526</v>
      </c>
      <c r="DQ98" s="176">
        <v>24546.65122787996</v>
      </c>
      <c r="DR98" s="176">
        <v>23846.333883382707</v>
      </c>
      <c r="DS98" s="176">
        <v>23183.79337956864</v>
      </c>
      <c r="DT98" s="176">
        <v>22562.183278160104</v>
      </c>
      <c r="DU98" s="176">
        <v>21984.877177322422</v>
      </c>
      <c r="DV98" s="176">
        <v>21455.444458076257</v>
      </c>
      <c r="DW98" s="176">
        <v>20977.61099608209</v>
      </c>
      <c r="DX98" s="176">
        <v>20555.205709320893</v>
      </c>
      <c r="DY98" s="176">
        <v>20192.099565274562</v>
      </c>
      <c r="DZ98" s="176">
        <v>19892.154406408357</v>
      </c>
      <c r="EA98" s="176">
        <v>19659.220543342377</v>
      </c>
      <c r="EB98" s="176">
        <v>19497.26447728572</v>
      </c>
      <c r="EC98" s="176">
        <v>19410.79932456528</v>
      </c>
      <c r="ED98" s="176">
        <v>19406.014132140255</v>
      </c>
      <c r="EE98" s="176">
        <v>19424.079096405552</v>
      </c>
      <c r="EF98" s="176">
        <v>19499.385543863536</v>
      </c>
      <c r="EG98" s="176">
        <v>19638.820380387668</v>
      </c>
      <c r="EH98" s="176">
        <v>19839.966346125206</v>
      </c>
      <c r="EI98" s="176">
        <v>20099.820676447151</v>
      </c>
      <c r="EJ98" s="176">
        <v>20414.934047624163</v>
      </c>
      <c r="EK98" s="176">
        <v>20781.555402332393</v>
      </c>
      <c r="EL98" s="176">
        <v>21195.769700759523</v>
      </c>
      <c r="EM98" s="176">
        <v>21653.619274759192</v>
      </c>
      <c r="EN98" s="176">
        <v>22151.203474867776</v>
      </c>
      <c r="EO98" s="176">
        <v>22626.430644813863</v>
      </c>
      <c r="EP98" t="str">
        <f t="shared" si="1"/>
        <v>17y 217d</v>
      </c>
    </row>
    <row r="99" spans="2:146" x14ac:dyDescent="0.25">
      <c r="B99" s="70">
        <v>96</v>
      </c>
      <c r="D99">
        <v>30038324.525341354</v>
      </c>
      <c r="E99" s="12">
        <v>-12263137624.581814</v>
      </c>
      <c r="F99" s="12">
        <v>146724676459.12839</v>
      </c>
      <c r="G99" s="12">
        <v>0</v>
      </c>
      <c r="H99" s="12">
        <v>892502673.074754</v>
      </c>
      <c r="I99" s="12">
        <v>1238225090985.8948</v>
      </c>
      <c r="J99" s="12">
        <v>642708485511.49695</v>
      </c>
      <c r="K99" s="12">
        <v>-60414211947.700203</v>
      </c>
      <c r="L99" s="12">
        <v>96628755.208891615</v>
      </c>
      <c r="M99" s="12">
        <v>-265657821618.37097</v>
      </c>
      <c r="N99" s="12">
        <v>1137400668355.0852</v>
      </c>
      <c r="O99" s="12">
        <v>-236289052.08226329</v>
      </c>
      <c r="P99" s="12">
        <v>96628758.752000183</v>
      </c>
      <c r="Q99" s="12">
        <v>-265657720925.33008</v>
      </c>
      <c r="R99" s="12">
        <v>1137400736850.696</v>
      </c>
      <c r="S99" s="12">
        <v>0</v>
      </c>
      <c r="T99" s="12">
        <v>112059680.79892874</v>
      </c>
      <c r="U99" s="12">
        <v>-409971281320.55725</v>
      </c>
      <c r="V99" s="12">
        <v>1216009042098.6414</v>
      </c>
      <c r="W99" s="12">
        <v>-517177588.09215176</v>
      </c>
      <c r="X99" s="12">
        <v>99489229.76990363</v>
      </c>
      <c r="Y99" s="12">
        <v>-291376093419.88934</v>
      </c>
      <c r="Z99" s="12">
        <v>1154365115661.969</v>
      </c>
      <c r="AA99" s="12">
        <v>-8526750658.6787176</v>
      </c>
      <c r="AB99" s="12"/>
      <c r="AC99" s="12"/>
      <c r="AD99" s="12"/>
      <c r="AE99" s="12"/>
      <c r="AS99" s="6">
        <v>560494700.41286814</v>
      </c>
      <c r="AT99" s="176">
        <v>24165.697377887751</v>
      </c>
      <c r="AU99" s="176">
        <v>24765.216874817546</v>
      </c>
      <c r="AV99" s="176">
        <v>25397.84657854541</v>
      </c>
      <c r="AW99" s="176">
        <v>26056.448558663717</v>
      </c>
      <c r="AX99" s="176">
        <v>26736.133108499496</v>
      </c>
      <c r="AY99" s="176">
        <v>27433.279029596317</v>
      </c>
      <c r="AZ99" s="176">
        <v>28145.044882365906</v>
      </c>
      <c r="BA99" s="176">
        <v>28869.106331293879</v>
      </c>
      <c r="BB99" s="176">
        <v>29603.505117316919</v>
      </c>
      <c r="BC99" s="176">
        <v>30000</v>
      </c>
      <c r="BD99" s="176">
        <v>30000</v>
      </c>
      <c r="BE99" s="176">
        <v>30000</v>
      </c>
      <c r="BF99" s="176">
        <v>30000</v>
      </c>
      <c r="BG99" s="176">
        <v>30000</v>
      </c>
      <c r="BH99" s="176">
        <v>30000</v>
      </c>
      <c r="BI99" s="176">
        <v>30000</v>
      </c>
      <c r="BJ99" s="176">
        <v>30000</v>
      </c>
      <c r="BK99" s="176">
        <v>30000</v>
      </c>
      <c r="BL99" s="176">
        <v>30000</v>
      </c>
      <c r="BM99" s="176">
        <v>30000</v>
      </c>
      <c r="BN99" s="176">
        <v>30000</v>
      </c>
      <c r="BO99" s="176">
        <v>30000</v>
      </c>
      <c r="BP99" s="176">
        <v>30000</v>
      </c>
      <c r="BQ99" s="176">
        <v>30000</v>
      </c>
      <c r="BR99" s="176">
        <v>30000</v>
      </c>
      <c r="BS99" s="176">
        <v>30000</v>
      </c>
      <c r="BT99" s="176">
        <v>30000</v>
      </c>
      <c r="BU99" s="176">
        <v>30000</v>
      </c>
      <c r="BV99" s="176">
        <v>30000</v>
      </c>
      <c r="BW99" s="176">
        <v>30000</v>
      </c>
      <c r="BX99" s="176">
        <v>30000</v>
      </c>
      <c r="BY99" s="176">
        <v>30000</v>
      </c>
      <c r="BZ99" s="176">
        <v>30000</v>
      </c>
      <c r="CA99" s="176">
        <v>30000</v>
      </c>
      <c r="CB99" s="176">
        <v>30000</v>
      </c>
      <c r="CC99" s="176">
        <v>30000</v>
      </c>
      <c r="CD99" s="176">
        <v>30000</v>
      </c>
      <c r="CE99" s="176">
        <v>30000</v>
      </c>
      <c r="CF99" s="176">
        <v>30000</v>
      </c>
      <c r="CG99" s="176">
        <v>30000</v>
      </c>
      <c r="CH99" s="176">
        <v>30000</v>
      </c>
      <c r="CI99" s="176">
        <v>30000</v>
      </c>
      <c r="CJ99" s="176">
        <v>30000</v>
      </c>
      <c r="CK99" s="176">
        <v>30000</v>
      </c>
      <c r="CL99" s="176">
        <v>30000</v>
      </c>
      <c r="CM99" s="176">
        <v>30000</v>
      </c>
      <c r="CN99" s="176">
        <v>30000</v>
      </c>
      <c r="CO99" s="176">
        <v>30000</v>
      </c>
      <c r="CP99" s="176">
        <v>30000</v>
      </c>
      <c r="CQ99" s="176">
        <v>30000</v>
      </c>
      <c r="CR99" s="176">
        <v>30000</v>
      </c>
      <c r="CS99" s="176">
        <v>30000</v>
      </c>
      <c r="CT99" s="176">
        <v>30000</v>
      </c>
      <c r="CU99" s="176">
        <v>30000</v>
      </c>
      <c r="CV99" s="176">
        <v>30000</v>
      </c>
      <c r="CW99" s="176">
        <v>30000</v>
      </c>
      <c r="CX99" s="176">
        <v>30000</v>
      </c>
      <c r="CY99" s="176">
        <v>30000</v>
      </c>
      <c r="CZ99" s="176">
        <v>30000</v>
      </c>
      <c r="DA99" s="176">
        <v>30000</v>
      </c>
      <c r="DB99" s="176">
        <v>30000</v>
      </c>
      <c r="DC99" s="176">
        <v>30000</v>
      </c>
      <c r="DD99" s="176">
        <v>30000</v>
      </c>
      <c r="DE99" s="176">
        <v>30000</v>
      </c>
      <c r="DF99" s="176">
        <v>30000</v>
      </c>
      <c r="DG99" s="176">
        <v>30000</v>
      </c>
      <c r="DH99" s="176">
        <v>30000</v>
      </c>
      <c r="DI99" s="176">
        <v>30000</v>
      </c>
      <c r="DJ99" s="176">
        <v>30000</v>
      </c>
      <c r="DK99" s="176">
        <v>29846.064172440212</v>
      </c>
      <c r="DL99" s="176">
        <v>28960.462826536048</v>
      </c>
      <c r="DM99" s="176">
        <v>28097.439110857304</v>
      </c>
      <c r="DN99" s="176">
        <v>27258.826078734968</v>
      </c>
      <c r="DO99" s="176">
        <v>26446.615702853498</v>
      </c>
      <c r="DP99" s="176">
        <v>25662.979073918606</v>
      </c>
      <c r="DQ99" s="176">
        <v>24910.2849140533</v>
      </c>
      <c r="DR99" s="176">
        <v>24191.114937216553</v>
      </c>
      <c r="DS99" s="176">
        <v>23508.27414878269</v>
      </c>
      <c r="DT99" s="176">
        <v>22864.793723248855</v>
      </c>
      <c r="DU99" s="176">
        <v>22263.923713515342</v>
      </c>
      <c r="DV99" s="176">
        <v>21709.112805316483</v>
      </c>
      <c r="DW99" s="176">
        <v>21203.972478729054</v>
      </c>
      <c r="DX99" s="176">
        <v>20752.224949564108</v>
      </c>
      <c r="DY99" s="176">
        <v>20357.637148769063</v>
      </c>
      <c r="DZ99" s="176">
        <v>20023.950384461739</v>
      </c>
      <c r="EA99" s="176">
        <v>19754.828580676858</v>
      </c>
      <c r="EB99" s="176">
        <v>19553.873642155981</v>
      </c>
      <c r="EC99" s="176">
        <v>19424.808231551186</v>
      </c>
      <c r="ED99" s="176">
        <v>19372.043567131921</v>
      </c>
      <c r="EE99" s="176">
        <v>19397.66481140933</v>
      </c>
      <c r="EF99" s="176">
        <v>19441.676225376577</v>
      </c>
      <c r="EG99" s="176">
        <v>19550.777265186629</v>
      </c>
      <c r="EH99" s="176">
        <v>19722.853712820528</v>
      </c>
      <c r="EI99" s="176">
        <v>19955.145208662336</v>
      </c>
      <c r="EJ99" s="176">
        <v>20244.377156096471</v>
      </c>
      <c r="EK99" s="176">
        <v>20586.905373092184</v>
      </c>
      <c r="EL99" s="176">
        <v>20978.859249092515</v>
      </c>
      <c r="EM99" s="176">
        <v>21416.272233560831</v>
      </c>
      <c r="EN99" s="176">
        <v>21895.192438222028</v>
      </c>
      <c r="EO99" s="176">
        <v>22384.969538018006</v>
      </c>
      <c r="EP99" t="str">
        <f t="shared" si="1"/>
        <v>17y 278d</v>
      </c>
    </row>
    <row r="100" spans="2:146" x14ac:dyDescent="0.25">
      <c r="B100" s="70">
        <v>97</v>
      </c>
      <c r="D100">
        <v>30344035.748741817</v>
      </c>
      <c r="E100" s="12">
        <v>-21445145861.572136</v>
      </c>
      <c r="F100" s="12">
        <v>145619563876.12595</v>
      </c>
      <c r="G100" s="12">
        <v>0</v>
      </c>
      <c r="H100" s="12">
        <v>901373756.3530035</v>
      </c>
      <c r="I100" s="12">
        <v>1191688004069.6453</v>
      </c>
      <c r="J100" s="12">
        <v>717034481424.93567</v>
      </c>
      <c r="K100" s="12">
        <v>-59859138949.658325</v>
      </c>
      <c r="L100" s="12">
        <v>105008659.36800723</v>
      </c>
      <c r="M100" s="12">
        <v>-316662271920.23474</v>
      </c>
      <c r="N100" s="12">
        <v>1170063789273.0017</v>
      </c>
      <c r="O100" s="12">
        <v>-295018237.69345093</v>
      </c>
      <c r="P100" s="12">
        <v>105008662.42252935</v>
      </c>
      <c r="Q100" s="12">
        <v>-316662196068.70654</v>
      </c>
      <c r="R100" s="12">
        <v>1170063862690.1531</v>
      </c>
      <c r="S100" s="12">
        <v>0</v>
      </c>
      <c r="T100" s="12">
        <v>116506959.39891826</v>
      </c>
      <c r="U100" s="12">
        <v>-434582681183.17065</v>
      </c>
      <c r="V100" s="12">
        <v>1225098131411.2756</v>
      </c>
      <c r="W100" s="12">
        <v>-524465156.85167783</v>
      </c>
      <c r="X100" s="12">
        <v>107274472.79922697</v>
      </c>
      <c r="Y100" s="12">
        <v>-338035141191.60004</v>
      </c>
      <c r="Z100" s="12">
        <v>1182036516487.5378</v>
      </c>
      <c r="AA100" s="12">
        <v>-7154120221.4261665</v>
      </c>
      <c r="AB100" s="12"/>
      <c r="AC100" s="12"/>
      <c r="AD100" s="12"/>
      <c r="AE100" s="12"/>
      <c r="AS100" s="6">
        <v>565761465.64919078</v>
      </c>
      <c r="AT100" s="176">
        <v>23881.889484684656</v>
      </c>
      <c r="AU100" s="176">
        <v>24466.553630374328</v>
      </c>
      <c r="AV100" s="176">
        <v>25087.314557196492</v>
      </c>
      <c r="AW100" s="176">
        <v>25735.994513115103</v>
      </c>
      <c r="AX100" s="176">
        <v>26407.175567580121</v>
      </c>
      <c r="AY100" s="176">
        <v>27096.935104334807</v>
      </c>
      <c r="AZ100" s="176">
        <v>27802.240226644564</v>
      </c>
      <c r="BA100" s="176">
        <v>28520.633288289664</v>
      </c>
      <c r="BB100" s="176">
        <v>29250.056286754843</v>
      </c>
      <c r="BC100" s="176">
        <v>29988.74586968459</v>
      </c>
      <c r="BD100" s="176">
        <v>30000</v>
      </c>
      <c r="BE100" s="176">
        <v>30000</v>
      </c>
      <c r="BF100" s="176">
        <v>30000</v>
      </c>
      <c r="BG100" s="176">
        <v>30000</v>
      </c>
      <c r="BH100" s="176">
        <v>30000</v>
      </c>
      <c r="BI100" s="176">
        <v>30000</v>
      </c>
      <c r="BJ100" s="176">
        <v>30000</v>
      </c>
      <c r="BK100" s="176">
        <v>30000</v>
      </c>
      <c r="BL100" s="176">
        <v>30000</v>
      </c>
      <c r="BM100" s="176">
        <v>30000</v>
      </c>
      <c r="BN100" s="176">
        <v>30000</v>
      </c>
      <c r="BO100" s="176">
        <v>30000</v>
      </c>
      <c r="BP100" s="176">
        <v>30000</v>
      </c>
      <c r="BQ100" s="176">
        <v>30000</v>
      </c>
      <c r="BR100" s="176">
        <v>30000</v>
      </c>
      <c r="BS100" s="176">
        <v>30000</v>
      </c>
      <c r="BT100" s="176">
        <v>30000</v>
      </c>
      <c r="BU100" s="176">
        <v>30000</v>
      </c>
      <c r="BV100" s="176">
        <v>30000</v>
      </c>
      <c r="BW100" s="176">
        <v>30000</v>
      </c>
      <c r="BX100" s="176">
        <v>30000</v>
      </c>
      <c r="BY100" s="176">
        <v>30000</v>
      </c>
      <c r="BZ100" s="176">
        <v>30000</v>
      </c>
      <c r="CA100" s="176">
        <v>30000</v>
      </c>
      <c r="CB100" s="176">
        <v>30000</v>
      </c>
      <c r="CC100" s="176">
        <v>30000</v>
      </c>
      <c r="CD100" s="176">
        <v>30000</v>
      </c>
      <c r="CE100" s="176">
        <v>30000</v>
      </c>
      <c r="CF100" s="176">
        <v>30000</v>
      </c>
      <c r="CG100" s="176">
        <v>30000</v>
      </c>
      <c r="CH100" s="176">
        <v>30000</v>
      </c>
      <c r="CI100" s="176">
        <v>30000</v>
      </c>
      <c r="CJ100" s="176">
        <v>30000</v>
      </c>
      <c r="CK100" s="176">
        <v>30000</v>
      </c>
      <c r="CL100" s="176">
        <v>30000</v>
      </c>
      <c r="CM100" s="176">
        <v>30000</v>
      </c>
      <c r="CN100" s="176">
        <v>30000</v>
      </c>
      <c r="CO100" s="176">
        <v>30000</v>
      </c>
      <c r="CP100" s="176">
        <v>30000</v>
      </c>
      <c r="CQ100" s="176">
        <v>30000</v>
      </c>
      <c r="CR100" s="176">
        <v>30000</v>
      </c>
      <c r="CS100" s="176">
        <v>30000</v>
      </c>
      <c r="CT100" s="176">
        <v>30000</v>
      </c>
      <c r="CU100" s="176">
        <v>30000</v>
      </c>
      <c r="CV100" s="176">
        <v>30000</v>
      </c>
      <c r="CW100" s="176">
        <v>30000</v>
      </c>
      <c r="CX100" s="176">
        <v>30000</v>
      </c>
      <c r="CY100" s="176">
        <v>30000</v>
      </c>
      <c r="CZ100" s="176">
        <v>30000</v>
      </c>
      <c r="DA100" s="176">
        <v>30000</v>
      </c>
      <c r="DB100" s="176">
        <v>30000</v>
      </c>
      <c r="DC100" s="176">
        <v>30000</v>
      </c>
      <c r="DD100" s="176">
        <v>30000</v>
      </c>
      <c r="DE100" s="176">
        <v>30000</v>
      </c>
      <c r="DF100" s="176">
        <v>30000</v>
      </c>
      <c r="DG100" s="176">
        <v>30000</v>
      </c>
      <c r="DH100" s="176">
        <v>30000</v>
      </c>
      <c r="DI100" s="176">
        <v>30000</v>
      </c>
      <c r="DJ100" s="176">
        <v>30000</v>
      </c>
      <c r="DK100" s="176">
        <v>30000</v>
      </c>
      <c r="DL100" s="176">
        <v>29407.47707275928</v>
      </c>
      <c r="DM100" s="176">
        <v>28531.686029618297</v>
      </c>
      <c r="DN100" s="176">
        <v>27679.392788188205</v>
      </c>
      <c r="DO100" s="176">
        <v>26852.516242801667</v>
      </c>
      <c r="DP100" s="176">
        <v>26053.143585141337</v>
      </c>
      <c r="DQ100" s="176">
        <v>25283.54930862812</v>
      </c>
      <c r="DR100" s="176">
        <v>24546.21163628489</v>
      </c>
      <c r="DS100" s="176">
        <v>23843.824615777085</v>
      </c>
      <c r="DT100" s="176">
        <v>23179.303652241088</v>
      </c>
      <c r="DU100" s="176">
        <v>22555.781790351306</v>
      </c>
      <c r="DV100" s="176">
        <v>21976.593826521541</v>
      </c>
      <c r="DW100" s="176">
        <v>21445.245163050262</v>
      </c>
      <c r="DX100" s="176">
        <v>20965.36354840891</v>
      </c>
      <c r="DY100" s="176">
        <v>20540.633496250812</v>
      </c>
      <c r="DZ100" s="176">
        <v>20174.717972933999</v>
      </c>
      <c r="EA100" s="176">
        <v>19871.180321050502</v>
      </c>
      <c r="EB100" s="176">
        <v>19633.435152404632</v>
      </c>
      <c r="EC100" s="176">
        <v>19464.786911716212</v>
      </c>
      <c r="ED100" s="176">
        <v>19368.677488237623</v>
      </c>
      <c r="EE100" s="176">
        <v>19349.417082641754</v>
      </c>
      <c r="EF100" s="176">
        <v>19398.750054153406</v>
      </c>
      <c r="EG100" s="176">
        <v>19476.987277504071</v>
      </c>
      <c r="EH100" s="176">
        <v>19619.333459852758</v>
      </c>
      <c r="EI100" s="176">
        <v>19823.301273717501</v>
      </c>
      <c r="EJ100" s="176">
        <v>20085.823557607084</v>
      </c>
      <c r="EK100" s="176">
        <v>20403.394687675438</v>
      </c>
      <c r="EL100" s="176">
        <v>20772.216778086353</v>
      </c>
      <c r="EM100" s="176">
        <v>21188.337853295681</v>
      </c>
      <c r="EN100" s="176">
        <v>21647.772847969205</v>
      </c>
      <c r="EO100" s="176">
        <v>22146.602377249743</v>
      </c>
      <c r="EP100" t="str">
        <f t="shared" si="1"/>
        <v>17y 339d</v>
      </c>
    </row>
    <row r="101" spans="2:146" x14ac:dyDescent="0.25">
      <c r="B101" s="70">
        <v>98</v>
      </c>
      <c r="D101">
        <v>30649574.743324768</v>
      </c>
      <c r="E101" s="12">
        <v>-30538708522.737682</v>
      </c>
      <c r="F101" s="12">
        <v>143949613408.72516</v>
      </c>
      <c r="G101" s="12">
        <v>0</v>
      </c>
      <c r="H101" s="12">
        <v>910190829.17421722</v>
      </c>
      <c r="I101" s="12">
        <v>1140866237867.8953</v>
      </c>
      <c r="J101" s="12">
        <v>788159593887.55164</v>
      </c>
      <c r="K101" s="12">
        <v>-59077995053.975281</v>
      </c>
      <c r="L101" s="12">
        <v>114005931.15674974</v>
      </c>
      <c r="M101" s="12">
        <v>-369580009570.9707</v>
      </c>
      <c r="N101" s="12">
        <v>1198324063146.5779</v>
      </c>
      <c r="O101" s="12">
        <v>-356355470.53059494</v>
      </c>
      <c r="P101" s="12">
        <v>114005933.6090205</v>
      </c>
      <c r="Q101" s="12">
        <v>-369579960667.05945</v>
      </c>
      <c r="R101" s="12">
        <v>1198324142255.1121</v>
      </c>
      <c r="S101" s="12">
        <v>0</v>
      </c>
      <c r="T101" s="12">
        <v>121066551.13569249</v>
      </c>
      <c r="U101" s="12">
        <v>-459276645061.03143</v>
      </c>
      <c r="V101" s="12">
        <v>1232897518104.1814</v>
      </c>
      <c r="W101" s="12">
        <v>-531286371.40300059</v>
      </c>
      <c r="X101" s="12">
        <v>115553964.9962505</v>
      </c>
      <c r="Y101" s="12">
        <v>-386051180987.11127</v>
      </c>
      <c r="Z101" s="12">
        <v>1205855096307.2478</v>
      </c>
      <c r="AA101" s="12">
        <v>-5660435450.9351511</v>
      </c>
      <c r="AB101" s="12"/>
      <c r="AC101" s="12"/>
      <c r="AD101" s="12"/>
      <c r="AE101" s="12"/>
      <c r="AS101" s="6">
        <v>571028230.88551342</v>
      </c>
      <c r="AT101" s="176">
        <v>23604.524004629537</v>
      </c>
      <c r="AU101" s="176">
        <v>24173.240723514442</v>
      </c>
      <c r="AV101" s="176">
        <v>24781.460280593157</v>
      </c>
      <c r="AW101" s="176">
        <v>25419.720399751852</v>
      </c>
      <c r="AX101" s="176">
        <v>26081.987336367034</v>
      </c>
      <c r="AY101" s="176">
        <v>26764.002978326844</v>
      </c>
      <c r="AZ101" s="176">
        <v>27462.528307849992</v>
      </c>
      <c r="BA101" s="176">
        <v>28174.965094040454</v>
      </c>
      <c r="BB101" s="176">
        <v>28899.151190007633</v>
      </c>
      <c r="BC101" s="176">
        <v>29633.241413679803</v>
      </c>
      <c r="BD101" s="176">
        <v>30000</v>
      </c>
      <c r="BE101" s="176">
        <v>30000</v>
      </c>
      <c r="BF101" s="176">
        <v>30000</v>
      </c>
      <c r="BG101" s="176">
        <v>30000</v>
      </c>
      <c r="BH101" s="176">
        <v>30000</v>
      </c>
      <c r="BI101" s="176">
        <v>30000</v>
      </c>
      <c r="BJ101" s="176">
        <v>30000</v>
      </c>
      <c r="BK101" s="176">
        <v>30000</v>
      </c>
      <c r="BL101" s="176">
        <v>30000</v>
      </c>
      <c r="BM101" s="176">
        <v>30000</v>
      </c>
      <c r="BN101" s="176">
        <v>30000</v>
      </c>
      <c r="BO101" s="176">
        <v>30000</v>
      </c>
      <c r="BP101" s="176">
        <v>30000</v>
      </c>
      <c r="BQ101" s="176">
        <v>30000</v>
      </c>
      <c r="BR101" s="176">
        <v>30000</v>
      </c>
      <c r="BS101" s="176">
        <v>30000</v>
      </c>
      <c r="BT101" s="176">
        <v>30000</v>
      </c>
      <c r="BU101" s="176">
        <v>30000</v>
      </c>
      <c r="BV101" s="176">
        <v>30000</v>
      </c>
      <c r="BW101" s="176">
        <v>30000</v>
      </c>
      <c r="BX101" s="176">
        <v>30000</v>
      </c>
      <c r="BY101" s="176">
        <v>30000</v>
      </c>
      <c r="BZ101" s="176">
        <v>30000</v>
      </c>
      <c r="CA101" s="176">
        <v>30000</v>
      </c>
      <c r="CB101" s="176">
        <v>30000</v>
      </c>
      <c r="CC101" s="176">
        <v>30000</v>
      </c>
      <c r="CD101" s="176">
        <v>30000</v>
      </c>
      <c r="CE101" s="176">
        <v>30000</v>
      </c>
      <c r="CF101" s="176">
        <v>30000</v>
      </c>
      <c r="CG101" s="176">
        <v>30000</v>
      </c>
      <c r="CH101" s="176">
        <v>30000</v>
      </c>
      <c r="CI101" s="176">
        <v>30000</v>
      </c>
      <c r="CJ101" s="176">
        <v>30000</v>
      </c>
      <c r="CK101" s="176">
        <v>30000</v>
      </c>
      <c r="CL101" s="176">
        <v>30000</v>
      </c>
      <c r="CM101" s="176">
        <v>30000</v>
      </c>
      <c r="CN101" s="176">
        <v>30000</v>
      </c>
      <c r="CO101" s="176">
        <v>30000</v>
      </c>
      <c r="CP101" s="176">
        <v>30000</v>
      </c>
      <c r="CQ101" s="176">
        <v>30000</v>
      </c>
      <c r="CR101" s="176">
        <v>30000</v>
      </c>
      <c r="CS101" s="176">
        <v>30000</v>
      </c>
      <c r="CT101" s="176">
        <v>30000</v>
      </c>
      <c r="CU101" s="176">
        <v>30000</v>
      </c>
      <c r="CV101" s="176">
        <v>30000</v>
      </c>
      <c r="CW101" s="176">
        <v>30000</v>
      </c>
      <c r="CX101" s="176">
        <v>30000</v>
      </c>
      <c r="CY101" s="176">
        <v>30000</v>
      </c>
      <c r="CZ101" s="176">
        <v>30000</v>
      </c>
      <c r="DA101" s="176">
        <v>30000</v>
      </c>
      <c r="DB101" s="176">
        <v>30000</v>
      </c>
      <c r="DC101" s="176">
        <v>30000</v>
      </c>
      <c r="DD101" s="176">
        <v>30000</v>
      </c>
      <c r="DE101" s="176">
        <v>30000</v>
      </c>
      <c r="DF101" s="176">
        <v>30000</v>
      </c>
      <c r="DG101" s="176">
        <v>30000</v>
      </c>
      <c r="DH101" s="176">
        <v>30000</v>
      </c>
      <c r="DI101" s="176">
        <v>30000</v>
      </c>
      <c r="DJ101" s="176">
        <v>30000</v>
      </c>
      <c r="DK101" s="176">
        <v>30000</v>
      </c>
      <c r="DL101" s="176">
        <v>29861.348872165188</v>
      </c>
      <c r="DM101" s="176">
        <v>28973.214570278615</v>
      </c>
      <c r="DN101" s="176">
        <v>28107.696832415146</v>
      </c>
      <c r="DO101" s="176">
        <v>27266.647658273141</v>
      </c>
      <c r="DP101" s="176">
        <v>26452.076740050801</v>
      </c>
      <c r="DQ101" s="176">
        <v>25666.170842023243</v>
      </c>
      <c r="DR101" s="176">
        <v>24911.311149739377</v>
      </c>
      <c r="DS101" s="176">
        <v>24190.086995190377</v>
      </c>
      <c r="DT101" s="176">
        <v>23505.303890872397</v>
      </c>
      <c r="DU101" s="176">
        <v>22859.983307664173</v>
      </c>
      <c r="DV101" s="176">
        <v>22257.351275347548</v>
      </c>
      <c r="DW101" s="176">
        <v>21700.812510534728</v>
      </c>
      <c r="DX101" s="176">
        <v>21193.907467136778</v>
      </c>
      <c r="DY101" s="176">
        <v>20740.250557518641</v>
      </c>
      <c r="DZ101" s="176">
        <v>20343.45091980719</v>
      </c>
      <c r="EA101" s="176">
        <v>20007.022484331079</v>
      </c>
      <c r="EB101" s="176">
        <v>19734.300007916296</v>
      </c>
      <c r="EC101" s="176">
        <v>19528.395560005316</v>
      </c>
      <c r="ED101" s="176">
        <v>19392.26419570603</v>
      </c>
      <c r="EE101" s="176">
        <v>19329.023359432391</v>
      </c>
      <c r="EF101" s="176">
        <v>19342.871499369776</v>
      </c>
      <c r="EG101" s="176">
        <v>19417.762989219122</v>
      </c>
      <c r="EH101" s="176">
        <v>19529.771126348955</v>
      </c>
      <c r="EI101" s="176">
        <v>19704.692233806105</v>
      </c>
      <c r="EJ101" s="176">
        <v>19939.698901100077</v>
      </c>
      <c r="EK101" s="176">
        <v>20231.456730890863</v>
      </c>
      <c r="EL101" s="176">
        <v>20576.270812840812</v>
      </c>
      <c r="EM101" s="176">
        <v>20970.22969620474</v>
      </c>
      <c r="EN101" s="176">
        <v>21409.335821189321</v>
      </c>
      <c r="EO101" s="176">
        <v>21889.615427865549</v>
      </c>
      <c r="EP101" t="str">
        <f t="shared" si="1"/>
        <v>18y 35d</v>
      </c>
    </row>
    <row r="102" spans="2:146" x14ac:dyDescent="0.25">
      <c r="B102" s="70">
        <v>99</v>
      </c>
      <c r="D102">
        <v>30954980.089614052</v>
      </c>
      <c r="E102" s="12">
        <v>-39509731054.9552</v>
      </c>
      <c r="F102" s="12">
        <v>141721522036.36423</v>
      </c>
      <c r="G102" s="12">
        <v>0</v>
      </c>
      <c r="H102" s="12">
        <v>918956265.08229244</v>
      </c>
      <c r="I102" s="12">
        <v>1085981450947.6666</v>
      </c>
      <c r="J102" s="12">
        <v>855855832802.94922</v>
      </c>
      <c r="K102" s="12">
        <v>-58075619482.202126</v>
      </c>
      <c r="L102" s="12">
        <v>123601462.07773504</v>
      </c>
      <c r="M102" s="12">
        <v>-423797898558.84583</v>
      </c>
      <c r="N102" s="12">
        <v>1221274885194.634</v>
      </c>
      <c r="O102" s="12">
        <v>-419631736.96212196</v>
      </c>
      <c r="P102" s="12">
        <v>123601463.81462355</v>
      </c>
      <c r="Q102" s="12">
        <v>-423797878635.51245</v>
      </c>
      <c r="R102" s="12">
        <v>1221274970894.7334</v>
      </c>
      <c r="S102" s="12">
        <v>0</v>
      </c>
      <c r="T102" s="12">
        <v>125733441.78418817</v>
      </c>
      <c r="U102" s="12">
        <v>-483975706893.13397</v>
      </c>
      <c r="V102" s="12">
        <v>1239334315860.157</v>
      </c>
      <c r="W102" s="12">
        <v>-537601832.69422746</v>
      </c>
      <c r="X102" s="12">
        <v>124309399.55919181</v>
      </c>
      <c r="Y102" s="12">
        <v>-434945343287.49884</v>
      </c>
      <c r="Z102" s="12">
        <v>1225167106760.0276</v>
      </c>
      <c r="AA102" s="12">
        <v>-4053342903.498004</v>
      </c>
      <c r="AB102" s="12"/>
      <c r="AC102" s="12"/>
      <c r="AD102" s="12"/>
      <c r="AE102" s="12"/>
      <c r="AS102" s="6">
        <v>576294996.12183607</v>
      </c>
      <c r="AT102" s="176">
        <v>23333.932877723702</v>
      </c>
      <c r="AU102" s="176">
        <v>23885.471752039328</v>
      </c>
      <c r="AV102" s="176">
        <v>24480.442854293979</v>
      </c>
      <c r="AW102" s="176">
        <v>25107.77309208511</v>
      </c>
      <c r="AX102" s="176">
        <v>25760.705854727108</v>
      </c>
      <c r="AY102" s="176">
        <v>26434.609564970935</v>
      </c>
      <c r="AZ102" s="176">
        <v>27126.024371806256</v>
      </c>
      <c r="BA102" s="176">
        <v>27832.204830430193</v>
      </c>
      <c r="BB102" s="176">
        <v>28550.880891183857</v>
      </c>
      <c r="BC102" s="176">
        <v>29280.122775443182</v>
      </c>
      <c r="BD102" s="176">
        <v>30000</v>
      </c>
      <c r="BE102" s="176">
        <v>30000</v>
      </c>
      <c r="BF102" s="176">
        <v>30000</v>
      </c>
      <c r="BG102" s="176">
        <v>30000</v>
      </c>
      <c r="BH102" s="176">
        <v>30000</v>
      </c>
      <c r="BI102" s="176">
        <v>30000</v>
      </c>
      <c r="BJ102" s="176">
        <v>30000</v>
      </c>
      <c r="BK102" s="176">
        <v>30000</v>
      </c>
      <c r="BL102" s="176">
        <v>30000</v>
      </c>
      <c r="BM102" s="176">
        <v>30000</v>
      </c>
      <c r="BN102" s="176">
        <v>30000</v>
      </c>
      <c r="BO102" s="176">
        <v>30000</v>
      </c>
      <c r="BP102" s="176">
        <v>30000</v>
      </c>
      <c r="BQ102" s="176">
        <v>30000</v>
      </c>
      <c r="BR102" s="176">
        <v>30000</v>
      </c>
      <c r="BS102" s="176">
        <v>30000</v>
      </c>
      <c r="BT102" s="176">
        <v>30000</v>
      </c>
      <c r="BU102" s="176">
        <v>30000</v>
      </c>
      <c r="BV102" s="176">
        <v>30000</v>
      </c>
      <c r="BW102" s="176">
        <v>30000</v>
      </c>
      <c r="BX102" s="176">
        <v>30000</v>
      </c>
      <c r="BY102" s="176">
        <v>30000</v>
      </c>
      <c r="BZ102" s="176">
        <v>30000</v>
      </c>
      <c r="CA102" s="176">
        <v>30000</v>
      </c>
      <c r="CB102" s="176">
        <v>30000</v>
      </c>
      <c r="CC102" s="176">
        <v>30000</v>
      </c>
      <c r="CD102" s="176">
        <v>30000</v>
      </c>
      <c r="CE102" s="176">
        <v>30000</v>
      </c>
      <c r="CF102" s="176">
        <v>30000</v>
      </c>
      <c r="CG102" s="176">
        <v>30000</v>
      </c>
      <c r="CH102" s="176">
        <v>30000</v>
      </c>
      <c r="CI102" s="176">
        <v>30000</v>
      </c>
      <c r="CJ102" s="176">
        <v>30000</v>
      </c>
      <c r="CK102" s="176">
        <v>30000</v>
      </c>
      <c r="CL102" s="176">
        <v>30000</v>
      </c>
      <c r="CM102" s="176">
        <v>30000</v>
      </c>
      <c r="CN102" s="176">
        <v>30000</v>
      </c>
      <c r="CO102" s="176">
        <v>30000</v>
      </c>
      <c r="CP102" s="176">
        <v>30000</v>
      </c>
      <c r="CQ102" s="176">
        <v>30000</v>
      </c>
      <c r="CR102" s="176">
        <v>30000</v>
      </c>
      <c r="CS102" s="176">
        <v>30000</v>
      </c>
      <c r="CT102" s="176">
        <v>30000</v>
      </c>
      <c r="CU102" s="176">
        <v>30000</v>
      </c>
      <c r="CV102" s="176">
        <v>30000</v>
      </c>
      <c r="CW102" s="176">
        <v>30000</v>
      </c>
      <c r="CX102" s="176">
        <v>30000</v>
      </c>
      <c r="CY102" s="176">
        <v>30000</v>
      </c>
      <c r="CZ102" s="176">
        <v>30000</v>
      </c>
      <c r="DA102" s="176">
        <v>30000</v>
      </c>
      <c r="DB102" s="176">
        <v>30000</v>
      </c>
      <c r="DC102" s="176">
        <v>30000</v>
      </c>
      <c r="DD102" s="176">
        <v>30000</v>
      </c>
      <c r="DE102" s="176">
        <v>30000</v>
      </c>
      <c r="DF102" s="176">
        <v>30000</v>
      </c>
      <c r="DG102" s="176">
        <v>30000</v>
      </c>
      <c r="DH102" s="176">
        <v>30000</v>
      </c>
      <c r="DI102" s="176">
        <v>30000</v>
      </c>
      <c r="DJ102" s="176">
        <v>30000</v>
      </c>
      <c r="DK102" s="176">
        <v>30000</v>
      </c>
      <c r="DL102" s="176">
        <v>30000</v>
      </c>
      <c r="DM102" s="176">
        <v>29421.873201268791</v>
      </c>
      <c r="DN102" s="176">
        <v>28543.567727456521</v>
      </c>
      <c r="DO102" s="176">
        <v>27688.816797563675</v>
      </c>
      <c r="DP102" s="176">
        <v>26859.558708248922</v>
      </c>
      <c r="DQ102" s="176">
        <v>26057.898682771702</v>
      </c>
      <c r="DR102" s="176">
        <v>25286.126982427646</v>
      </c>
      <c r="DS102" s="176">
        <v>24546.734067843419</v>
      </c>
      <c r="DT102" s="176">
        <v>23842.420922873054</v>
      </c>
      <c r="DU102" s="176">
        <v>23176.102142752974</v>
      </c>
      <c r="DV102" s="176">
        <v>22550.898953478172</v>
      </c>
      <c r="DW102" s="176">
        <v>21970.118826616854</v>
      </c>
      <c r="DX102" s="176">
        <v>21437.218659340477</v>
      </c>
      <c r="DY102" s="176">
        <v>20955.74882071506</v>
      </c>
      <c r="DZ102" s="176">
        <v>20529.277387735678</v>
      </c>
      <c r="EA102" s="176">
        <v>20161.297395122921</v>
      </c>
      <c r="EB102" s="176">
        <v>19855.126340952986</v>
      </c>
      <c r="EC102" s="176">
        <v>19613.81815743108</v>
      </c>
      <c r="ED102" s="176">
        <v>19440.127194537905</v>
      </c>
      <c r="EE102" s="176">
        <v>19336.602060614616</v>
      </c>
      <c r="EF102" s="176">
        <v>19305.978315060151</v>
      </c>
      <c r="EG102" s="176">
        <v>19352.304428834661</v>
      </c>
      <c r="EH102" s="176">
        <v>19454.514276799437</v>
      </c>
      <c r="EI102" s="176">
        <v>19599.710692734938</v>
      </c>
      <c r="EJ102" s="176">
        <v>19806.425191482584</v>
      </c>
      <c r="EK102" s="176">
        <v>20071.527661099153</v>
      </c>
      <c r="EL102" s="176">
        <v>20391.457992192318</v>
      </c>
      <c r="EM102" s="176">
        <v>20762.373530260924</v>
      </c>
      <c r="EN102" s="176">
        <v>21180.287516743469</v>
      </c>
      <c r="EO102" s="176">
        <v>21641.189651599467</v>
      </c>
      <c r="EP102" t="str">
        <f t="shared" si="1"/>
        <v>18y 95d</v>
      </c>
    </row>
    <row r="103" spans="2:146" x14ac:dyDescent="0.25">
      <c r="B103" s="70">
        <v>100</v>
      </c>
      <c r="D103">
        <v>31260290.819398057</v>
      </c>
      <c r="E103" s="12">
        <v>-48324601145.016907</v>
      </c>
      <c r="F103" s="12">
        <v>138943967503.38098</v>
      </c>
      <c r="G103" s="12">
        <v>0</v>
      </c>
      <c r="H103" s="12">
        <v>927672583.49864042</v>
      </c>
      <c r="I103" s="12">
        <v>1027264699841.6989</v>
      </c>
      <c r="J103" s="12">
        <v>919910603435.8385</v>
      </c>
      <c r="K103" s="12">
        <v>-56857493199.947052</v>
      </c>
      <c r="L103" s="12">
        <v>133758186.14635848</v>
      </c>
      <c r="M103" s="12">
        <v>-478575059666.16815</v>
      </c>
      <c r="N103" s="12">
        <v>1238045889164.8535</v>
      </c>
      <c r="O103" s="12">
        <v>-484022438.86982912</v>
      </c>
      <c r="P103" s="12">
        <v>133758187.061342</v>
      </c>
      <c r="Q103" s="12">
        <v>-478575070627.65582</v>
      </c>
      <c r="R103" s="12">
        <v>1238045982463.5103</v>
      </c>
      <c r="S103" s="12">
        <v>0</v>
      </c>
      <c r="T103" s="12">
        <v>130501807.1174296</v>
      </c>
      <c r="U103" s="12">
        <v>-508598540534.31213</v>
      </c>
      <c r="V103" s="12">
        <v>1244340772120.9692</v>
      </c>
      <c r="W103" s="12">
        <v>-543373437.20113826</v>
      </c>
      <c r="X103" s="12">
        <v>133510410.90402249</v>
      </c>
      <c r="Y103" s="12">
        <v>-484157926967.14532</v>
      </c>
      <c r="Z103" s="12">
        <v>1239352276322.2935</v>
      </c>
      <c r="AA103" s="12">
        <v>-2344285281.2650771</v>
      </c>
      <c r="AB103" s="12"/>
      <c r="AC103" s="12"/>
      <c r="AD103" s="12"/>
      <c r="AE103" s="12"/>
      <c r="AT103" t="str">
        <f xml:space="preserve"> "y" &amp; ROUNDDOWN(AT2/$EX$4, 0)+1 &amp; " d" &amp; ROUND(MOD(AT2, $EX$4-0.0001)/$EX$5, 0)+1</f>
        <v>y1 d1</v>
      </c>
      <c r="AU103" t="str">
        <f t="shared" ref="AU103:DF103" si="2" xml:space="preserve"> "y" &amp; ROUNDDOWN(AU2/$EX$4, 0)+1 &amp; " d" &amp; ROUND(MOD(AU2, $EX$4-0.0001)/$EX$5, 0)+1</f>
        <v>y1 d5</v>
      </c>
      <c r="AV103" t="str">
        <f t="shared" si="2"/>
        <v>y1 d8</v>
      </c>
      <c r="AW103" t="str">
        <f t="shared" si="2"/>
        <v>y1 d12</v>
      </c>
      <c r="AX103" t="str">
        <f t="shared" si="2"/>
        <v>y1 d16</v>
      </c>
      <c r="AY103" t="str">
        <f t="shared" si="2"/>
        <v>y1 d19</v>
      </c>
      <c r="AZ103" t="str">
        <f t="shared" si="2"/>
        <v>y1 d23</v>
      </c>
      <c r="BA103" t="str">
        <f t="shared" si="2"/>
        <v>y1 d27</v>
      </c>
      <c r="BB103" t="str">
        <f t="shared" si="2"/>
        <v>y1 d31</v>
      </c>
      <c r="BC103" t="str">
        <f t="shared" si="2"/>
        <v>y1 d34</v>
      </c>
      <c r="BD103" t="str">
        <f t="shared" si="2"/>
        <v>y1 d38</v>
      </c>
      <c r="BE103" t="str">
        <f t="shared" si="2"/>
        <v>y1 d42</v>
      </c>
      <c r="BF103" t="str">
        <f t="shared" si="2"/>
        <v>y1 d45</v>
      </c>
      <c r="BG103" t="str">
        <f t="shared" si="2"/>
        <v>y1 d49</v>
      </c>
      <c r="BH103" t="str">
        <f t="shared" si="2"/>
        <v>y1 d53</v>
      </c>
      <c r="BI103" t="str">
        <f t="shared" si="2"/>
        <v>y1 d56</v>
      </c>
      <c r="BJ103" t="str">
        <f t="shared" si="2"/>
        <v>y1 d60</v>
      </c>
      <c r="BK103" t="str">
        <f t="shared" si="2"/>
        <v>y1 d64</v>
      </c>
      <c r="BL103" t="str">
        <f t="shared" si="2"/>
        <v>y1 d67</v>
      </c>
      <c r="BM103" t="str">
        <f t="shared" si="2"/>
        <v>y1 d71</v>
      </c>
      <c r="BN103" t="str">
        <f t="shared" si="2"/>
        <v>y1 d75</v>
      </c>
      <c r="BO103" t="str">
        <f t="shared" si="2"/>
        <v>y1 d78</v>
      </c>
      <c r="BP103" t="str">
        <f t="shared" si="2"/>
        <v>y1 d82</v>
      </c>
      <c r="BQ103" t="str">
        <f t="shared" si="2"/>
        <v>y1 d86</v>
      </c>
      <c r="BR103" t="str">
        <f t="shared" si="2"/>
        <v>y1 d90</v>
      </c>
      <c r="BS103" t="str">
        <f t="shared" si="2"/>
        <v>y1 d93</v>
      </c>
      <c r="BT103" t="str">
        <f t="shared" si="2"/>
        <v>y1 d97</v>
      </c>
      <c r="BU103" t="str">
        <f t="shared" si="2"/>
        <v>y1 d101</v>
      </c>
      <c r="BV103" t="str">
        <f t="shared" si="2"/>
        <v>y1 d104</v>
      </c>
      <c r="BW103" t="str">
        <f t="shared" si="2"/>
        <v>y1 d108</v>
      </c>
      <c r="BX103" t="str">
        <f t="shared" si="2"/>
        <v>y1 d112</v>
      </c>
      <c r="BY103" t="str">
        <f t="shared" si="2"/>
        <v>y1 d115</v>
      </c>
      <c r="BZ103" t="str">
        <f t="shared" si="2"/>
        <v>y1 d119</v>
      </c>
      <c r="CA103" t="str">
        <f t="shared" si="2"/>
        <v>y1 d123</v>
      </c>
      <c r="CB103" t="str">
        <f t="shared" si="2"/>
        <v>y1 d126</v>
      </c>
      <c r="CC103" t="str">
        <f t="shared" si="2"/>
        <v>y1 d130</v>
      </c>
      <c r="CD103" t="str">
        <f t="shared" si="2"/>
        <v>y1 d134</v>
      </c>
      <c r="CE103" t="str">
        <f t="shared" si="2"/>
        <v>y1 d138</v>
      </c>
      <c r="CF103" t="str">
        <f t="shared" si="2"/>
        <v>y1 d141</v>
      </c>
      <c r="CG103" t="str">
        <f t="shared" si="2"/>
        <v>y1 d145</v>
      </c>
      <c r="CH103" t="str">
        <f t="shared" si="2"/>
        <v>y1 d149</v>
      </c>
      <c r="CI103" t="str">
        <f t="shared" si="2"/>
        <v>y1 d152</v>
      </c>
      <c r="CJ103" t="str">
        <f t="shared" si="2"/>
        <v>y1 d156</v>
      </c>
      <c r="CK103" t="str">
        <f t="shared" si="2"/>
        <v>y1 d160</v>
      </c>
      <c r="CL103" t="str">
        <f t="shared" si="2"/>
        <v>y1 d163</v>
      </c>
      <c r="CM103" t="str">
        <f t="shared" si="2"/>
        <v>y1 d167</v>
      </c>
      <c r="CN103" t="str">
        <f t="shared" si="2"/>
        <v>y1 d171</v>
      </c>
      <c r="CO103" t="str">
        <f t="shared" si="2"/>
        <v>y1 d174</v>
      </c>
      <c r="CP103" t="str">
        <f t="shared" si="2"/>
        <v>y1 d178</v>
      </c>
      <c r="CQ103" t="str">
        <f t="shared" si="2"/>
        <v>y1 d182</v>
      </c>
      <c r="CR103" t="str">
        <f t="shared" si="2"/>
        <v>y1 d185</v>
      </c>
      <c r="CS103" t="str">
        <f t="shared" si="2"/>
        <v>y1 d189</v>
      </c>
      <c r="CT103" t="str">
        <f t="shared" si="2"/>
        <v>y1 d193</v>
      </c>
      <c r="CU103" t="str">
        <f t="shared" si="2"/>
        <v>y1 d197</v>
      </c>
      <c r="CV103" t="str">
        <f t="shared" si="2"/>
        <v>y1 d200</v>
      </c>
      <c r="CW103" t="str">
        <f t="shared" si="2"/>
        <v>y1 d204</v>
      </c>
      <c r="CX103" t="str">
        <f t="shared" si="2"/>
        <v>y1 d208</v>
      </c>
      <c r="CY103" t="str">
        <f t="shared" si="2"/>
        <v>y1 d211</v>
      </c>
      <c r="CZ103" t="str">
        <f t="shared" si="2"/>
        <v>y1 d215</v>
      </c>
      <c r="DA103" t="str">
        <f t="shared" si="2"/>
        <v>y1 d219</v>
      </c>
      <c r="DB103" t="str">
        <f t="shared" si="2"/>
        <v>y1 d222</v>
      </c>
      <c r="DC103" t="str">
        <f t="shared" si="2"/>
        <v>y1 d226</v>
      </c>
      <c r="DD103" t="str">
        <f t="shared" si="2"/>
        <v>y1 d230</v>
      </c>
      <c r="DE103" t="str">
        <f t="shared" si="2"/>
        <v>y1 d233</v>
      </c>
      <c r="DF103" t="str">
        <f t="shared" si="2"/>
        <v>y1 d237</v>
      </c>
      <c r="DG103" t="str">
        <f t="shared" ref="DG103:EO103" si="3" xml:space="preserve"> "y" &amp; ROUNDDOWN(DG2/$EX$4, 0)+1 &amp; " d" &amp; ROUND(MOD(DG2, $EX$4-0.0001)/$EX$5, 0)+1</f>
        <v>y1 d241</v>
      </c>
      <c r="DH103" t="str">
        <f t="shared" si="3"/>
        <v>y1 d245</v>
      </c>
      <c r="DI103" t="str">
        <f t="shared" si="3"/>
        <v>y1 d248</v>
      </c>
      <c r="DJ103" t="str">
        <f t="shared" si="3"/>
        <v>y1 d252</v>
      </c>
      <c r="DK103" t="str">
        <f t="shared" si="3"/>
        <v>y1 d256</v>
      </c>
      <c r="DL103" t="str">
        <f t="shared" si="3"/>
        <v>y1 d259</v>
      </c>
      <c r="DM103" t="str">
        <f t="shared" si="3"/>
        <v>y1 d263</v>
      </c>
      <c r="DN103" t="str">
        <f t="shared" si="3"/>
        <v>y1 d267</v>
      </c>
      <c r="DO103" t="str">
        <f t="shared" si="3"/>
        <v>y1 d270</v>
      </c>
      <c r="DP103" t="str">
        <f t="shared" si="3"/>
        <v>y1 d274</v>
      </c>
      <c r="DQ103" t="str">
        <f t="shared" si="3"/>
        <v>y1 d278</v>
      </c>
      <c r="DR103" t="str">
        <f t="shared" si="3"/>
        <v>y1 d281</v>
      </c>
      <c r="DS103" t="str">
        <f t="shared" si="3"/>
        <v>y1 d285</v>
      </c>
      <c r="DT103" t="str">
        <f t="shared" si="3"/>
        <v>y1 d289</v>
      </c>
      <c r="DU103" t="str">
        <f t="shared" si="3"/>
        <v>y1 d292</v>
      </c>
      <c r="DV103" t="str">
        <f t="shared" si="3"/>
        <v>y1 d296</v>
      </c>
      <c r="DW103" t="str">
        <f t="shared" si="3"/>
        <v>y1 d300</v>
      </c>
      <c r="DX103" t="str">
        <f t="shared" si="3"/>
        <v>y1 d304</v>
      </c>
      <c r="DY103" t="str">
        <f t="shared" si="3"/>
        <v>y1 d307</v>
      </c>
      <c r="DZ103" t="str">
        <f t="shared" si="3"/>
        <v>y1 d311</v>
      </c>
      <c r="EA103" t="str">
        <f t="shared" si="3"/>
        <v>y1 d315</v>
      </c>
      <c r="EB103" t="str">
        <f t="shared" si="3"/>
        <v>y1 d318</v>
      </c>
      <c r="EC103" t="str">
        <f t="shared" si="3"/>
        <v>y1 d322</v>
      </c>
      <c r="ED103" t="str">
        <f t="shared" si="3"/>
        <v>y1 d326</v>
      </c>
      <c r="EE103" t="str">
        <f t="shared" si="3"/>
        <v>y1 d329</v>
      </c>
      <c r="EF103" t="str">
        <f t="shared" si="3"/>
        <v>y1 d333</v>
      </c>
      <c r="EG103" t="str">
        <f t="shared" si="3"/>
        <v>y1 d337</v>
      </c>
      <c r="EH103" t="str">
        <f t="shared" si="3"/>
        <v>y1 d340</v>
      </c>
      <c r="EI103" t="str">
        <f t="shared" si="3"/>
        <v>y1 d344</v>
      </c>
      <c r="EJ103" t="str">
        <f t="shared" si="3"/>
        <v>y1 d348</v>
      </c>
      <c r="EK103" t="str">
        <f t="shared" si="3"/>
        <v>y1 d351</v>
      </c>
      <c r="EL103" t="str">
        <f t="shared" si="3"/>
        <v>y1 d355</v>
      </c>
      <c r="EM103" t="str">
        <f t="shared" si="3"/>
        <v>y1 d359</v>
      </c>
      <c r="EN103" t="str">
        <f t="shared" si="3"/>
        <v>y1 d363</v>
      </c>
      <c r="EO103" t="str">
        <f t="shared" si="3"/>
        <v>y1 d1</v>
      </c>
    </row>
    <row r="104" spans="2:146" x14ac:dyDescent="0.25">
      <c r="D104">
        <v>31565546.283348706</v>
      </c>
      <c r="E104" s="14">
        <v>-56950294258.087761</v>
      </c>
      <c r="F104" s="14">
        <v>135627576026.20419</v>
      </c>
      <c r="G104" s="14">
        <v>0</v>
      </c>
      <c r="H104" s="14">
        <v>936342438.17698181</v>
      </c>
      <c r="I104" s="14">
        <v>964955412237.52734</v>
      </c>
      <c r="J104" s="14">
        <v>980126728491.77661</v>
      </c>
      <c r="K104" s="14">
        <v>-55429698486.619781</v>
      </c>
      <c r="L104" s="14">
        <v>144419799.05400893</v>
      </c>
      <c r="M104" s="14">
        <v>-533060606169.98138</v>
      </c>
      <c r="N104" s="14">
        <v>1247855305998.0476</v>
      </c>
      <c r="O104" s="14">
        <v>-548564865.12197137</v>
      </c>
      <c r="P104" s="14">
        <v>144419799.05400524</v>
      </c>
      <c r="Q104" s="14">
        <v>-533060649729.05859</v>
      </c>
      <c r="R104" s="14">
        <v>1247855407966.647</v>
      </c>
      <c r="S104" s="14">
        <v>0</v>
      </c>
      <c r="T104" s="14">
        <v>135365020.46025652</v>
      </c>
      <c r="U104" s="14">
        <v>-533060606165.10278</v>
      </c>
      <c r="V104" s="14">
        <v>1247855305997.5151</v>
      </c>
      <c r="W104" s="14">
        <v>-548564865.44291568</v>
      </c>
      <c r="X104" s="14">
        <v>143113976.39873192</v>
      </c>
      <c r="Y104" s="14">
        <v>-533060606163.0379</v>
      </c>
      <c r="Z104" s="14">
        <v>1247855305995.9834</v>
      </c>
      <c r="AA104" s="14">
        <v>-548564865.16955292</v>
      </c>
    </row>
  </sheetData>
  <sheetProtection selectLockedCells="1"/>
  <mergeCells count="33">
    <mergeCell ref="ES37:EU39"/>
    <mergeCell ref="EV37:EX39"/>
    <mergeCell ref="AG40:AI40"/>
    <mergeCell ref="ES41:EX56"/>
    <mergeCell ref="AG44:AI44"/>
    <mergeCell ref="AG48:AI48"/>
    <mergeCell ref="AG52:AI52"/>
    <mergeCell ref="AG56:AI56"/>
    <mergeCell ref="ES31:EU33"/>
    <mergeCell ref="EV31:EX33"/>
    <mergeCell ref="AG32:AI32"/>
    <mergeCell ref="AJ32:AL32"/>
    <mergeCell ref="ES34:EX36"/>
    <mergeCell ref="AG36:AI36"/>
    <mergeCell ref="AJ36:AL36"/>
    <mergeCell ref="AG28:AI28"/>
    <mergeCell ref="AJ28:AL28"/>
    <mergeCell ref="ES28:EU30"/>
    <mergeCell ref="EV28:EX30"/>
    <mergeCell ref="AT1:CK1"/>
    <mergeCell ref="ES3:EX3"/>
    <mergeCell ref="AG7:AI7"/>
    <mergeCell ref="AG12:AI12"/>
    <mergeCell ref="AG17:AI17"/>
    <mergeCell ref="AG26:AL26"/>
    <mergeCell ref="Y2:AA2"/>
    <mergeCell ref="AC2:AE2"/>
    <mergeCell ref="AG2:AI2"/>
    <mergeCell ref="E2:G2"/>
    <mergeCell ref="I2:K2"/>
    <mergeCell ref="M2:O2"/>
    <mergeCell ref="Q2:S2"/>
    <mergeCell ref="U2:W2"/>
  </mergeCells>
  <conditionalFormatting sqref="AT3:EO102">
    <cfRule type="cellIs" dxfId="1" priority="1" operator="between">
      <formula>$ES$37</formula>
      <formula>$EV$37</formula>
    </cfRule>
    <cfRule type="colorScale" priority="2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PLWReal">
                <anchor moveWithCells="1" sizeWithCells="1">
                  <from>
                    <xdr:col>147</xdr:col>
                    <xdr:colOff>542925</xdr:colOff>
                    <xdr:row>12</xdr:row>
                    <xdr:rowOff>95250</xdr:rowOff>
                  </from>
                  <to>
                    <xdr:col>154</xdr:col>
                    <xdr:colOff>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1748C-F64C-4CAF-9197-4E3D55503FA7}">
  <sheetPr codeName="Sheet6"/>
  <dimension ref="A1:O23"/>
  <sheetViews>
    <sheetView workbookViewId="0">
      <selection activeCell="B13" sqref="B13"/>
    </sheetView>
  </sheetViews>
  <sheetFormatPr defaultRowHeight="15" x14ac:dyDescent="0.25"/>
  <cols>
    <col min="1" max="11" width="9.42578125" customWidth="1"/>
    <col min="18" max="18" width="23.7109375" customWidth="1"/>
  </cols>
  <sheetData>
    <row r="1" spans="1:15" ht="15.75" thickBot="1" x14ac:dyDescent="0.3"/>
    <row r="2" spans="1:15" ht="18.75" thickBot="1" x14ac:dyDescent="0.4">
      <c r="A2" s="94" t="s">
        <v>120</v>
      </c>
      <c r="B2" s="95" t="s">
        <v>121</v>
      </c>
      <c r="C2" s="96" t="s">
        <v>25</v>
      </c>
      <c r="D2" s="95" t="s">
        <v>19</v>
      </c>
      <c r="E2" s="95" t="s">
        <v>18</v>
      </c>
      <c r="F2" s="95" t="s">
        <v>20</v>
      </c>
      <c r="G2" s="96" t="s">
        <v>73</v>
      </c>
      <c r="H2" s="96" t="s">
        <v>72</v>
      </c>
      <c r="I2" s="96" t="s">
        <v>74</v>
      </c>
      <c r="J2" s="96" t="s">
        <v>85</v>
      </c>
      <c r="K2" s="97" t="s">
        <v>86</v>
      </c>
    </row>
    <row r="3" spans="1:15" ht="15.75" thickBot="1" x14ac:dyDescent="0.3">
      <c r="A3" s="90"/>
      <c r="B3" s="91" t="s">
        <v>76</v>
      </c>
      <c r="C3" s="92">
        <f>332900*C6</f>
        <v>1.3265104625678429E+20</v>
      </c>
      <c r="D3" s="104"/>
      <c r="E3" s="104"/>
      <c r="F3" s="104"/>
      <c r="G3" s="104"/>
      <c r="H3" s="104"/>
      <c r="I3" s="104"/>
      <c r="J3" s="91"/>
      <c r="K3" s="93"/>
      <c r="N3" s="259" t="s">
        <v>122</v>
      </c>
      <c r="O3" s="260"/>
    </row>
    <row r="4" spans="1:15" x14ac:dyDescent="0.25">
      <c r="A4" s="4">
        <v>1</v>
      </c>
      <c r="B4" s="78" t="s">
        <v>77</v>
      </c>
      <c r="C4" s="79">
        <f>3.3011E+23*C23</f>
        <v>22024642101000</v>
      </c>
      <c r="D4" s="79">
        <v>57909050000</v>
      </c>
      <c r="E4" s="81">
        <v>0.20563000000000001</v>
      </c>
      <c r="F4" s="81">
        <f>7.005*PI()/180</f>
        <v>0.12226031410220278</v>
      </c>
      <c r="G4" s="81">
        <f>29.124*PI()/180</f>
        <v>0.50830969135082849</v>
      </c>
      <c r="H4" s="81">
        <f>48.331*PI()/180</f>
        <v>0.8435350807813794</v>
      </c>
      <c r="I4" s="82">
        <f>174.796*PI()/180</f>
        <v>3.0507657193160083</v>
      </c>
      <c r="J4" s="79">
        <f>D4*SQRT(2*C4/$C$3)</f>
        <v>33370332.06361606</v>
      </c>
      <c r="K4" s="83">
        <v>2439700</v>
      </c>
      <c r="N4" s="98" t="s">
        <v>79</v>
      </c>
      <c r="O4" s="99">
        <v>3</v>
      </c>
    </row>
    <row r="5" spans="1:15" x14ac:dyDescent="0.25">
      <c r="A5" s="4">
        <v>2</v>
      </c>
      <c r="B5" s="78" t="s">
        <v>78</v>
      </c>
      <c r="C5" s="79">
        <f>4.8675E+24*C23</f>
        <v>324755219250000</v>
      </c>
      <c r="D5" s="79">
        <v>108208000000</v>
      </c>
      <c r="E5" s="81">
        <v>6.7720000000000002E-3</v>
      </c>
      <c r="F5" s="81">
        <f>3.39458*PI()/180</f>
        <v>5.9246597722349109E-2</v>
      </c>
      <c r="G5" s="81">
        <f>54.884*PI()/180</f>
        <v>0.95790650666456778</v>
      </c>
      <c r="H5" s="81">
        <f>76.68*PI()/180</f>
        <v>1.3383184704292519</v>
      </c>
      <c r="I5" s="82">
        <f>50.115*PI()/180</f>
        <v>0.87467175463695823</v>
      </c>
      <c r="J5" s="79">
        <f t="shared" ref="J5:J12" si="0">D5*SQRT(2*C5/$C$3)</f>
        <v>239440217.20212469</v>
      </c>
      <c r="K5" s="83">
        <v>6051800</v>
      </c>
      <c r="N5" s="2" t="s">
        <v>81</v>
      </c>
      <c r="O5" s="5">
        <v>5</v>
      </c>
    </row>
    <row r="6" spans="1:15" x14ac:dyDescent="0.25">
      <c r="A6" s="4">
        <v>3</v>
      </c>
      <c r="B6" s="78" t="s">
        <v>79</v>
      </c>
      <c r="C6" s="79">
        <f>5.97237E+24*C23</f>
        <v>398471151267000</v>
      </c>
      <c r="D6" s="79">
        <v>149598023000</v>
      </c>
      <c r="E6" s="81">
        <v>1.6708600000000001E-2</v>
      </c>
      <c r="F6" s="81">
        <v>0</v>
      </c>
      <c r="G6" s="81">
        <f>114.20783*PI()/180</f>
        <v>1.9933026650579555</v>
      </c>
      <c r="H6" s="81">
        <v>0</v>
      </c>
      <c r="I6" s="82">
        <f>358.617*PI()/180</f>
        <v>6.2590474036245052</v>
      </c>
      <c r="J6" s="79">
        <f t="shared" si="0"/>
        <v>366677240.59648705</v>
      </c>
      <c r="K6" s="83">
        <v>6371000</v>
      </c>
      <c r="N6" s="2" t="s">
        <v>80</v>
      </c>
      <c r="O6" s="5">
        <v>4</v>
      </c>
    </row>
    <row r="7" spans="1:15" x14ac:dyDescent="0.25">
      <c r="A7" s="4">
        <v>4</v>
      </c>
      <c r="B7" s="78" t="s">
        <v>80</v>
      </c>
      <c r="C7" s="79">
        <f>6.4171E+23*C23</f>
        <v>42814313661000</v>
      </c>
      <c r="D7" s="79">
        <v>227939200000</v>
      </c>
      <c r="E7" s="81">
        <v>9.3399999999999997E-2</v>
      </c>
      <c r="F7" s="81">
        <f>PI()/180*1.85</f>
        <v>3.22885911618951E-2</v>
      </c>
      <c r="G7" s="81">
        <f>PI()/180*286.502</f>
        <v>5.0004032135487941</v>
      </c>
      <c r="H7" s="81">
        <f>PI()/180*49.558</f>
        <v>0.86495027070334984</v>
      </c>
      <c r="I7" s="82">
        <f>PI()/180*320.45776</f>
        <v>5.5930430255657839</v>
      </c>
      <c r="J7" s="79">
        <f t="shared" si="0"/>
        <v>183135766.65439263</v>
      </c>
      <c r="K7" s="83">
        <v>3389500</v>
      </c>
      <c r="N7" s="2" t="s">
        <v>77</v>
      </c>
      <c r="O7" s="5">
        <v>1</v>
      </c>
    </row>
    <row r="8" spans="1:15" x14ac:dyDescent="0.25">
      <c r="A8" s="4">
        <v>5</v>
      </c>
      <c r="B8" s="78" t="s">
        <v>81</v>
      </c>
      <c r="C8" s="79">
        <f>1.8982E+27*C23</f>
        <v>1.2664619562000002E+17</v>
      </c>
      <c r="D8" s="79">
        <v>778570000000</v>
      </c>
      <c r="E8" s="81">
        <v>4.8899999999999999E-2</v>
      </c>
      <c r="F8" s="81">
        <f>PI()/180*1.303</f>
        <v>2.2741640153486113E-2</v>
      </c>
      <c r="G8" s="81">
        <f>PI()/180*273.867</f>
        <v>4.7798808625593106</v>
      </c>
      <c r="H8" s="81">
        <f>PI()/180*100.464</f>
        <v>1.7534275797235832</v>
      </c>
      <c r="I8" s="82">
        <f>PI()/180*20.02</f>
        <v>0.3494149162492648</v>
      </c>
      <c r="J8" s="79">
        <f t="shared" si="0"/>
        <v>34021495291.503708</v>
      </c>
      <c r="K8" s="83">
        <v>69911000</v>
      </c>
      <c r="N8" s="2" t="s">
        <v>82</v>
      </c>
      <c r="O8" s="5">
        <v>8</v>
      </c>
    </row>
    <row r="9" spans="1:15" x14ac:dyDescent="0.25">
      <c r="A9" s="4">
        <v>6</v>
      </c>
      <c r="B9" s="78" t="s">
        <v>87</v>
      </c>
      <c r="C9" s="79">
        <f>5.6834E+26*C23</f>
        <v>3.7919133294E+16</v>
      </c>
      <c r="D9" s="79">
        <v>1433530000000</v>
      </c>
      <c r="E9" s="81">
        <v>5.6500000000000002E-2</v>
      </c>
      <c r="F9" s="81">
        <f>PI()/180*2.485</f>
        <v>4.337143191205909E-2</v>
      </c>
      <c r="G9" s="81">
        <f>PI()/180*339.392</f>
        <v>5.9235078549285944</v>
      </c>
      <c r="H9" s="81">
        <f>PI()/180*113.665</f>
        <v>1.9838284942793547</v>
      </c>
      <c r="I9" s="82">
        <f>PI()/180*317.02</f>
        <v>5.533042794672423</v>
      </c>
      <c r="J9" s="79">
        <f t="shared" si="0"/>
        <v>34276434945.05685</v>
      </c>
      <c r="K9" s="83">
        <v>58232000</v>
      </c>
      <c r="N9" s="2" t="s">
        <v>84</v>
      </c>
      <c r="O9" s="5">
        <v>9</v>
      </c>
    </row>
    <row r="10" spans="1:15" x14ac:dyDescent="0.25">
      <c r="A10" s="4">
        <v>7</v>
      </c>
      <c r="B10" s="78" t="s">
        <v>83</v>
      </c>
      <c r="C10" s="79">
        <f>8.681E+25*C23</f>
        <v>5791885071000000</v>
      </c>
      <c r="D10" s="79">
        <v>2875040000000</v>
      </c>
      <c r="E10" s="81">
        <v>4.6381E-3</v>
      </c>
      <c r="F10" s="81">
        <f>PI()/180*0.773</f>
        <v>1.3491395117916168E-2</v>
      </c>
      <c r="G10" s="81">
        <f>PI()/180*96.998857</f>
        <v>1.6929494253211494</v>
      </c>
      <c r="H10" s="81">
        <f>PI()/180*74.006</f>
        <v>1.2916483662309235</v>
      </c>
      <c r="I10" s="82">
        <f>PI()/180*142.2386</f>
        <v>2.4825318934272063</v>
      </c>
      <c r="J10" s="79">
        <f t="shared" si="0"/>
        <v>26866649962.542435</v>
      </c>
      <c r="K10" s="83">
        <v>25362000</v>
      </c>
      <c r="N10" s="2" t="s">
        <v>87</v>
      </c>
      <c r="O10" s="5">
        <v>6</v>
      </c>
    </row>
    <row r="11" spans="1:15" x14ac:dyDescent="0.25">
      <c r="A11" s="4">
        <v>8</v>
      </c>
      <c r="B11" s="78" t="s">
        <v>82</v>
      </c>
      <c r="C11" s="79">
        <f>1.0243E+26*C23</f>
        <v>6834037413000001</v>
      </c>
      <c r="D11" s="79">
        <v>4500000000000</v>
      </c>
      <c r="E11" s="81">
        <v>9.4560000000000009E-3</v>
      </c>
      <c r="F11" s="81">
        <f>PI()/180*1.767975</f>
        <v>3.0856984842946748E-2</v>
      </c>
      <c r="G11" s="81">
        <f>PI()/180*276.336</f>
        <v>4.8229730417910508</v>
      </c>
      <c r="H11" s="81">
        <f>PI()/180*131.784</f>
        <v>2.300064701448207</v>
      </c>
      <c r="I11" s="82">
        <f>PI()/180*256.228</f>
        <v>4.472022235800031</v>
      </c>
      <c r="J11" s="79">
        <f t="shared" si="0"/>
        <v>45678396265.365936</v>
      </c>
      <c r="K11" s="83">
        <v>24622000</v>
      </c>
      <c r="N11" s="2" t="s">
        <v>83</v>
      </c>
      <c r="O11" s="5">
        <v>7</v>
      </c>
    </row>
    <row r="12" spans="1:15" ht="15.75" thickBot="1" x14ac:dyDescent="0.3">
      <c r="A12" s="84">
        <v>9</v>
      </c>
      <c r="B12" s="85" t="s">
        <v>84</v>
      </c>
      <c r="C12" s="86">
        <f>1.303E+22*C23</f>
        <v>869349873000</v>
      </c>
      <c r="D12" s="86">
        <v>5906380000000</v>
      </c>
      <c r="E12" s="87">
        <v>0.24879999999999999</v>
      </c>
      <c r="F12" s="87">
        <f>PI()/180*17.16</f>
        <v>0.29949849964222697</v>
      </c>
      <c r="G12" s="87">
        <f>PI()/180*113.834</f>
        <v>1.9867781007152252</v>
      </c>
      <c r="H12" s="87">
        <f>PI()/180*110.299</f>
        <v>1.9250807116572257</v>
      </c>
      <c r="I12" s="88">
        <f>PI()/180*15.53</f>
        <v>0.27104963283471939</v>
      </c>
      <c r="J12" s="86">
        <f t="shared" si="0"/>
        <v>676204941.74863362</v>
      </c>
      <c r="K12" s="89">
        <v>1188300</v>
      </c>
      <c r="N12" s="3" t="s">
        <v>78</v>
      </c>
      <c r="O12" s="100">
        <v>2</v>
      </c>
    </row>
    <row r="20" spans="2:6" x14ac:dyDescent="0.25">
      <c r="F20" s="1"/>
    </row>
    <row r="23" spans="2:6" x14ac:dyDescent="0.25">
      <c r="B23" t="s">
        <v>17</v>
      </c>
      <c r="C23" s="1">
        <v>6.6719100000000001E-11</v>
      </c>
    </row>
  </sheetData>
  <sortState ref="N4:O12">
    <sortCondition ref="N4"/>
  </sortState>
  <mergeCells count="1">
    <mergeCell ref="N3:O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38A5E-1BBE-4F98-A79E-0E979EB93BD2}">
  <sheetPr codeName="Sheet12"/>
  <dimension ref="A1:L29"/>
  <sheetViews>
    <sheetView showGridLines="0" tabSelected="1" zoomScaleNormal="100" workbookViewId="0">
      <selection activeCell="Z32" sqref="Z32"/>
    </sheetView>
  </sheetViews>
  <sheetFormatPr defaultRowHeight="15" x14ac:dyDescent="0.25"/>
  <cols>
    <col min="1" max="1" width="1.140625" style="107" customWidth="1"/>
    <col min="2" max="6" width="9.85546875" style="107" customWidth="1"/>
    <col min="7" max="7" width="3.140625" style="107" customWidth="1"/>
    <col min="8" max="12" width="9.85546875" style="107" customWidth="1"/>
    <col min="13" max="59" width="9.140625" style="107"/>
    <col min="60" max="60" width="9.140625" style="107" customWidth="1"/>
    <col min="61" max="106" width="9.140625" style="107"/>
    <col min="107" max="107" width="9.140625" style="107" customWidth="1"/>
    <col min="108" max="16384" width="9.140625" style="107"/>
  </cols>
  <sheetData>
    <row r="1" spans="1:12" x14ac:dyDescent="0.25">
      <c r="B1" s="264" t="s">
        <v>99</v>
      </c>
      <c r="C1" s="265"/>
      <c r="D1" s="265"/>
      <c r="E1" s="265"/>
      <c r="F1" s="266"/>
      <c r="H1" s="264" t="s">
        <v>110</v>
      </c>
      <c r="I1" s="265"/>
      <c r="J1" s="265"/>
      <c r="K1" s="265"/>
      <c r="L1" s="266"/>
    </row>
    <row r="2" spans="1:12" x14ac:dyDescent="0.25">
      <c r="A2" s="108">
        <f>VLOOKUP(D2,KData!$N$3:$O$19,2)</f>
        <v>3</v>
      </c>
      <c r="B2" s="292" t="s">
        <v>21</v>
      </c>
      <c r="C2" s="293"/>
      <c r="D2" s="147" t="s">
        <v>4</v>
      </c>
      <c r="E2" s="109"/>
      <c r="F2" s="110"/>
      <c r="H2" s="303" t="s">
        <v>107</v>
      </c>
      <c r="I2" s="304"/>
      <c r="J2" s="111">
        <v>1674.2330029588031</v>
      </c>
      <c r="K2" s="112"/>
      <c r="L2" s="113"/>
    </row>
    <row r="3" spans="1:12" x14ac:dyDescent="0.25">
      <c r="A3" s="114"/>
      <c r="B3" s="290" t="s">
        <v>41</v>
      </c>
      <c r="C3" s="291"/>
      <c r="D3" s="148">
        <v>90</v>
      </c>
      <c r="E3" s="115" t="s">
        <v>48</v>
      </c>
      <c r="F3" s="116"/>
      <c r="H3" s="305" t="s">
        <v>106</v>
      </c>
      <c r="I3" s="117" t="s">
        <v>43</v>
      </c>
      <c r="J3" s="118">
        <v>10</v>
      </c>
      <c r="K3" s="267" t="s">
        <v>97</v>
      </c>
      <c r="L3" s="268"/>
    </row>
    <row r="4" spans="1:12" x14ac:dyDescent="0.25">
      <c r="A4" s="108">
        <f>VLOOKUP(D4,KData!$N$3:$O$19,2)</f>
        <v>4</v>
      </c>
      <c r="B4" s="292" t="s">
        <v>40</v>
      </c>
      <c r="C4" s="293"/>
      <c r="D4" s="147" t="s">
        <v>7</v>
      </c>
      <c r="E4" s="109"/>
      <c r="F4" s="110"/>
      <c r="H4" s="306"/>
      <c r="I4" s="119" t="s">
        <v>44</v>
      </c>
      <c r="J4" s="120">
        <v>22</v>
      </c>
      <c r="K4" s="269"/>
      <c r="L4" s="270"/>
    </row>
    <row r="5" spans="1:12" x14ac:dyDescent="0.25">
      <c r="B5" s="290" t="s">
        <v>41</v>
      </c>
      <c r="C5" s="291"/>
      <c r="D5" s="148">
        <v>90</v>
      </c>
      <c r="E5" s="115" t="s">
        <v>48</v>
      </c>
      <c r="F5" s="116"/>
      <c r="H5" s="275" t="s">
        <v>60</v>
      </c>
      <c r="I5" s="117" t="s">
        <v>43</v>
      </c>
      <c r="J5" s="118">
        <v>0</v>
      </c>
      <c r="K5" s="267"/>
      <c r="L5" s="268"/>
    </row>
    <row r="6" spans="1:12" x14ac:dyDescent="0.25">
      <c r="B6" s="121"/>
      <c r="C6" s="122"/>
      <c r="D6" s="122"/>
      <c r="E6" s="112"/>
      <c r="F6" s="113"/>
      <c r="H6" s="276"/>
      <c r="I6" s="119" t="s">
        <v>44</v>
      </c>
      <c r="J6" s="120">
        <v>343</v>
      </c>
      <c r="K6" s="269"/>
      <c r="L6" s="270"/>
    </row>
    <row r="7" spans="1:12" ht="15.75" thickBot="1" x14ac:dyDescent="0.3">
      <c r="B7" s="280" t="s">
        <v>42</v>
      </c>
      <c r="C7" s="281"/>
      <c r="D7" s="149">
        <v>4000</v>
      </c>
      <c r="E7" s="284" t="s">
        <v>96</v>
      </c>
      <c r="F7" s="285"/>
      <c r="H7" s="299" t="s">
        <v>100</v>
      </c>
      <c r="I7" s="117" t="s">
        <v>43</v>
      </c>
      <c r="J7" s="123"/>
      <c r="K7" s="267"/>
      <c r="L7" s="268"/>
    </row>
    <row r="8" spans="1:12" ht="15.75" thickBot="1" x14ac:dyDescent="0.3">
      <c r="B8" s="282"/>
      <c r="C8" s="282"/>
      <c r="D8" s="124"/>
      <c r="E8" s="125"/>
      <c r="H8" s="300"/>
      <c r="I8" s="126" t="s">
        <v>44</v>
      </c>
      <c r="J8" s="127"/>
      <c r="K8" s="301"/>
      <c r="L8" s="302"/>
    </row>
    <row r="9" spans="1:12" x14ac:dyDescent="0.25">
      <c r="B9" s="264" t="s">
        <v>134</v>
      </c>
      <c r="C9" s="265"/>
      <c r="D9" s="265"/>
      <c r="E9" s="265"/>
      <c r="F9" s="266"/>
    </row>
    <row r="10" spans="1:12" x14ac:dyDescent="0.25">
      <c r="B10" s="279" t="s">
        <v>24</v>
      </c>
      <c r="C10" s="128" t="s">
        <v>43</v>
      </c>
      <c r="D10" s="150">
        <v>8</v>
      </c>
      <c r="E10" s="286" t="s">
        <v>129</v>
      </c>
      <c r="F10" s="287"/>
    </row>
    <row r="11" spans="1:12" x14ac:dyDescent="0.25">
      <c r="B11" s="283"/>
      <c r="C11" s="129" t="s">
        <v>44</v>
      </c>
      <c r="D11" s="151">
        <v>220</v>
      </c>
      <c r="E11" s="288" t="s">
        <v>130</v>
      </c>
      <c r="F11" s="289"/>
    </row>
    <row r="12" spans="1:12" x14ac:dyDescent="0.25">
      <c r="B12" s="279" t="s">
        <v>45</v>
      </c>
      <c r="C12" s="130" t="s">
        <v>46</v>
      </c>
      <c r="D12" s="152">
        <v>2</v>
      </c>
      <c r="E12" s="131"/>
      <c r="F12" s="132"/>
    </row>
    <row r="13" spans="1:12" ht="15.75" thickBot="1" x14ac:dyDescent="0.3">
      <c r="B13" s="279"/>
      <c r="C13" s="133" t="s">
        <v>47</v>
      </c>
      <c r="D13" s="153">
        <v>0</v>
      </c>
      <c r="E13" s="134"/>
      <c r="F13" s="132"/>
    </row>
    <row r="14" spans="1:12" ht="15" customHeight="1" x14ac:dyDescent="0.25">
      <c r="B14" s="264" t="s">
        <v>135</v>
      </c>
      <c r="C14" s="265"/>
      <c r="D14" s="265"/>
      <c r="E14" s="265"/>
      <c r="F14" s="266"/>
    </row>
    <row r="15" spans="1:12" x14ac:dyDescent="0.25">
      <c r="B15" s="275" t="s">
        <v>59</v>
      </c>
      <c r="C15" s="135" t="s">
        <v>43</v>
      </c>
      <c r="D15" s="154">
        <v>10</v>
      </c>
      <c r="E15" s="267" t="s">
        <v>97</v>
      </c>
      <c r="F15" s="268"/>
    </row>
    <row r="16" spans="1:12" x14ac:dyDescent="0.25">
      <c r="B16" s="276"/>
      <c r="C16" s="136" t="s">
        <v>44</v>
      </c>
      <c r="D16" s="155">
        <v>22</v>
      </c>
      <c r="E16" s="269"/>
      <c r="F16" s="270"/>
    </row>
    <row r="17" spans="2:6" x14ac:dyDescent="0.25">
      <c r="B17" s="275" t="s">
        <v>60</v>
      </c>
      <c r="C17" s="137" t="s">
        <v>46</v>
      </c>
      <c r="D17" s="156">
        <v>0</v>
      </c>
      <c r="E17" s="109"/>
      <c r="F17" s="110"/>
    </row>
    <row r="18" spans="2:6" ht="15.75" thickBot="1" x14ac:dyDescent="0.3">
      <c r="B18" s="277"/>
      <c r="C18" s="138" t="s">
        <v>47</v>
      </c>
      <c r="D18" s="157">
        <v>343</v>
      </c>
      <c r="E18" s="139"/>
      <c r="F18" s="140"/>
    </row>
    <row r="19" spans="2:6" ht="15.75" thickBot="1" x14ac:dyDescent="0.3">
      <c r="B19" s="278"/>
      <c r="C19" s="278"/>
    </row>
    <row r="20" spans="2:6" x14ac:dyDescent="0.25">
      <c r="B20" s="264" t="s">
        <v>105</v>
      </c>
      <c r="C20" s="265"/>
      <c r="D20" s="265"/>
      <c r="E20" s="265"/>
      <c r="F20" s="266"/>
    </row>
    <row r="21" spans="2:6" x14ac:dyDescent="0.25">
      <c r="B21" s="261" t="s">
        <v>91</v>
      </c>
      <c r="C21" s="141" t="s">
        <v>92</v>
      </c>
      <c r="D21" s="158">
        <v>0</v>
      </c>
      <c r="E21" s="271" t="s">
        <v>103</v>
      </c>
      <c r="F21" s="272"/>
    </row>
    <row r="22" spans="2:6" x14ac:dyDescent="0.25">
      <c r="B22" s="262"/>
      <c r="C22" s="142" t="s">
        <v>94</v>
      </c>
      <c r="D22" s="159">
        <v>0</v>
      </c>
      <c r="E22" s="273"/>
      <c r="F22" s="274"/>
    </row>
    <row r="23" spans="2:6" ht="15" customHeight="1" x14ac:dyDescent="0.25">
      <c r="B23" s="262"/>
      <c r="C23" s="143" t="s">
        <v>93</v>
      </c>
      <c r="D23" s="160">
        <v>0</v>
      </c>
      <c r="E23" s="271" t="s">
        <v>104</v>
      </c>
      <c r="F23" s="272"/>
    </row>
    <row r="24" spans="2:6" x14ac:dyDescent="0.25">
      <c r="B24" s="263"/>
      <c r="C24" s="142" t="s">
        <v>95</v>
      </c>
      <c r="D24" s="159">
        <v>0</v>
      </c>
      <c r="E24" s="273"/>
      <c r="F24" s="274"/>
    </row>
    <row r="25" spans="2:6" x14ac:dyDescent="0.25">
      <c r="B25" s="294" t="s">
        <v>98</v>
      </c>
      <c r="C25" s="295"/>
      <c r="D25" s="144" t="s">
        <v>101</v>
      </c>
      <c r="E25" s="145" t="s">
        <v>102</v>
      </c>
      <c r="F25" s="110"/>
    </row>
    <row r="26" spans="2:6" ht="15.75" thickBot="1" x14ac:dyDescent="0.3">
      <c r="B26" s="296" t="s">
        <v>100</v>
      </c>
      <c r="C26" s="297"/>
      <c r="D26" s="146"/>
      <c r="E26" s="146"/>
      <c r="F26" s="140"/>
    </row>
    <row r="27" spans="2:6" x14ac:dyDescent="0.25">
      <c r="B27" s="298"/>
      <c r="C27" s="298"/>
    </row>
    <row r="28" spans="2:6" x14ac:dyDescent="0.25">
      <c r="B28" s="298"/>
      <c r="C28" s="298"/>
    </row>
    <row r="29" spans="2:6" x14ac:dyDescent="0.25">
      <c r="B29" s="298"/>
      <c r="C29" s="298"/>
    </row>
  </sheetData>
  <sheetProtection selectLockedCells="1"/>
  <mergeCells count="35">
    <mergeCell ref="H7:H8"/>
    <mergeCell ref="K3:L4"/>
    <mergeCell ref="K5:L6"/>
    <mergeCell ref="K7:L8"/>
    <mergeCell ref="H1:L1"/>
    <mergeCell ref="H2:I2"/>
    <mergeCell ref="H3:H4"/>
    <mergeCell ref="H5:H6"/>
    <mergeCell ref="B25:C25"/>
    <mergeCell ref="B26:C26"/>
    <mergeCell ref="B27:C27"/>
    <mergeCell ref="B28:C28"/>
    <mergeCell ref="B29:C29"/>
    <mergeCell ref="B1:F1"/>
    <mergeCell ref="B5:C5"/>
    <mergeCell ref="B4:C4"/>
    <mergeCell ref="B3:C3"/>
    <mergeCell ref="B2:C2"/>
    <mergeCell ref="B14:F14"/>
    <mergeCell ref="B12:B13"/>
    <mergeCell ref="B9:F9"/>
    <mergeCell ref="B7:C7"/>
    <mergeCell ref="B8:C8"/>
    <mergeCell ref="B10:B11"/>
    <mergeCell ref="E7:F7"/>
    <mergeCell ref="E10:F10"/>
    <mergeCell ref="E11:F11"/>
    <mergeCell ref="B21:B24"/>
    <mergeCell ref="B20:F20"/>
    <mergeCell ref="E15:F16"/>
    <mergeCell ref="E21:F22"/>
    <mergeCell ref="E23:F24"/>
    <mergeCell ref="B15:B16"/>
    <mergeCell ref="B17:B18"/>
    <mergeCell ref="B19:C19"/>
  </mergeCells>
  <dataValidations count="1">
    <dataValidation type="list" allowBlank="1" showInputMessage="1" showErrorMessage="1" sqref="D25" xr:uid="{F4CFF928-1A0A-4972-8661-78B88BC20E1C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LWKerb">
                <anchor moveWithCells="1" siz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5</xdr:col>
                    <xdr:colOff>647700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TPKerb">
                <anchor moveWithCells="1" sizeWithCells="1">
                  <from>
                    <xdr:col>4</xdr:col>
                    <xdr:colOff>9525</xdr:colOff>
                    <xdr:row>16</xdr:row>
                    <xdr:rowOff>19050</xdr:rowOff>
                  </from>
                  <to>
                    <xdr:col>5</xdr:col>
                    <xdr:colOff>638175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89B90B-574C-4D34-BCDF-EE35B4A2897D}">
          <x14:formula1>
            <xm:f>KData!$N$3:$N$19</xm:f>
          </x14:formula1>
          <xm:sqref>D4 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055FE-EBFA-4957-92F5-16F8CEBB8182}">
  <sheetPr codeName="Sheet10"/>
  <dimension ref="B1:EX104"/>
  <sheetViews>
    <sheetView zoomScale="30" zoomScaleNormal="30" workbookViewId="0">
      <selection activeCell="L105" sqref="L105"/>
    </sheetView>
  </sheetViews>
  <sheetFormatPr defaultRowHeight="15" x14ac:dyDescent="0.25"/>
  <cols>
    <col min="1" max="1" width="6.140625" customWidth="1"/>
    <col min="2" max="2" width="6.140625" style="9" customWidth="1"/>
    <col min="3" max="4" width="6.140625" customWidth="1"/>
    <col min="5" max="31" width="6.140625" style="14" customWidth="1"/>
    <col min="32" max="36" width="6.140625" customWidth="1"/>
    <col min="37" max="41" width="6.140625" style="10" customWidth="1"/>
    <col min="42" max="44" width="6.140625" customWidth="1"/>
    <col min="45" max="45" width="9.140625" style="6"/>
    <col min="46" max="70" width="2.7109375" style="28" customWidth="1"/>
    <col min="71" max="145" width="2.7109375" customWidth="1"/>
  </cols>
  <sheetData>
    <row r="1" spans="2:154" x14ac:dyDescent="0.25">
      <c r="AT1" s="236" t="s">
        <v>88</v>
      </c>
      <c r="AU1" s="236"/>
      <c r="AV1" s="236"/>
      <c r="AW1" s="236"/>
      <c r="AX1" s="236"/>
      <c r="AY1" s="236"/>
      <c r="AZ1" s="236"/>
      <c r="BA1" s="236"/>
      <c r="BB1" s="236"/>
      <c r="BC1" s="236"/>
      <c r="BD1" s="236"/>
      <c r="BE1" s="236"/>
      <c r="BF1" s="236"/>
      <c r="BG1" s="236"/>
      <c r="BH1" s="236"/>
      <c r="BI1" s="236"/>
      <c r="BJ1" s="236"/>
      <c r="BK1" s="236"/>
      <c r="BL1" s="236"/>
      <c r="BM1" s="236"/>
      <c r="BN1" s="236"/>
      <c r="BO1" s="236"/>
      <c r="BP1" s="236"/>
      <c r="BQ1" s="236"/>
      <c r="BR1" s="236"/>
      <c r="BS1" s="236"/>
      <c r="BT1" s="236"/>
      <c r="BU1" s="236"/>
      <c r="BV1" s="236"/>
      <c r="BW1" s="236"/>
      <c r="BX1" s="236"/>
      <c r="BY1" s="236"/>
      <c r="BZ1" s="236"/>
      <c r="CA1" s="236"/>
      <c r="CB1" s="236"/>
      <c r="CC1" s="236"/>
      <c r="CD1" s="236"/>
      <c r="CE1" s="236"/>
      <c r="CF1" s="236"/>
      <c r="CG1" s="236"/>
      <c r="CH1" s="236"/>
      <c r="CI1" s="236"/>
      <c r="CJ1" s="236"/>
      <c r="CK1" s="236"/>
    </row>
    <row r="2" spans="2:154" ht="87" customHeight="1" x14ac:dyDescent="0.35">
      <c r="E2" s="223" t="s">
        <v>28</v>
      </c>
      <c r="F2" s="223"/>
      <c r="G2" s="223"/>
      <c r="H2" s="15"/>
      <c r="I2" s="223" t="s">
        <v>30</v>
      </c>
      <c r="J2" s="223"/>
      <c r="K2" s="223"/>
      <c r="L2" s="15"/>
      <c r="M2" s="223" t="s">
        <v>31</v>
      </c>
      <c r="N2" s="223"/>
      <c r="O2" s="223"/>
      <c r="P2" s="15"/>
      <c r="Q2" s="223" t="s">
        <v>38</v>
      </c>
      <c r="R2" s="223"/>
      <c r="S2" s="223"/>
      <c r="T2" s="15"/>
      <c r="U2" s="223" t="s">
        <v>39</v>
      </c>
      <c r="V2" s="223"/>
      <c r="W2" s="223"/>
      <c r="X2" s="15"/>
      <c r="Y2" s="223" t="s">
        <v>32</v>
      </c>
      <c r="Z2" s="223"/>
      <c r="AA2" s="223"/>
      <c r="AB2" s="15"/>
      <c r="AC2" s="223" t="s">
        <v>33</v>
      </c>
      <c r="AD2" s="223"/>
      <c r="AE2" s="223"/>
      <c r="AG2" s="208" t="s">
        <v>34</v>
      </c>
      <c r="AH2" s="208"/>
      <c r="AI2" s="208"/>
      <c r="AK2" s="11" t="s">
        <v>49</v>
      </c>
      <c r="AL2" s="11" t="s">
        <v>54</v>
      </c>
      <c r="AM2" s="11" t="s">
        <v>55</v>
      </c>
      <c r="AN2" s="11" t="s">
        <v>56</v>
      </c>
      <c r="AO2" s="11" t="s">
        <v>57</v>
      </c>
      <c r="AT2" s="29">
        <v>69155215</v>
      </c>
      <c r="AU2" s="29">
        <v>69341145.202020198</v>
      </c>
      <c r="AV2" s="29">
        <v>69527075.404040396</v>
      </c>
      <c r="AW2" s="29">
        <v>69713005.606060594</v>
      </c>
      <c r="AX2" s="29">
        <v>69898935.808080792</v>
      </c>
      <c r="AY2" s="29">
        <v>70084866.010100991</v>
      </c>
      <c r="AZ2" s="29">
        <v>70270796.212121189</v>
      </c>
      <c r="BA2" s="29">
        <v>70456726.414141387</v>
      </c>
      <c r="BB2" s="29">
        <v>70642656.616161585</v>
      </c>
      <c r="BC2" s="29">
        <v>70828586.818181783</v>
      </c>
      <c r="BD2" s="30">
        <v>71014517.020201981</v>
      </c>
      <c r="BE2" s="30">
        <v>71200447.222222179</v>
      </c>
      <c r="BF2" s="30">
        <v>71386377.424242377</v>
      </c>
      <c r="BG2" s="30">
        <v>71572307.626262575</v>
      </c>
      <c r="BH2" s="30">
        <v>71758237.828282773</v>
      </c>
      <c r="BI2" s="30">
        <v>71944168.030302972</v>
      </c>
      <c r="BJ2" s="30">
        <v>72130098.23232317</v>
      </c>
      <c r="BK2" s="30">
        <v>72316028.434343368</v>
      </c>
      <c r="BL2" s="30">
        <v>72501958.636363566</v>
      </c>
      <c r="BM2" s="30">
        <v>72687888.838383764</v>
      </c>
      <c r="BN2" s="30">
        <v>72873819.040403962</v>
      </c>
      <c r="BO2" s="30">
        <v>73059749.24242416</v>
      </c>
      <c r="BP2" s="30">
        <v>73245679.444444358</v>
      </c>
      <c r="BQ2" s="30">
        <v>73431609.646464556</v>
      </c>
      <c r="BR2" s="30">
        <v>73617539.848484755</v>
      </c>
      <c r="BS2" s="30">
        <v>73803470.050504953</v>
      </c>
      <c r="BT2" s="30">
        <v>73989400.252525151</v>
      </c>
      <c r="BU2" s="30">
        <v>74175330.454545349</v>
      </c>
      <c r="BV2" s="30">
        <v>74361260.656565547</v>
      </c>
      <c r="BW2" s="30">
        <v>74547190.858585745</v>
      </c>
      <c r="BX2" s="30">
        <v>74733121.060605943</v>
      </c>
      <c r="BY2" s="30">
        <v>74919051.262626141</v>
      </c>
      <c r="BZ2" s="30">
        <v>75104981.464646339</v>
      </c>
      <c r="CA2" s="30">
        <v>75290911.666666538</v>
      </c>
      <c r="CB2" s="30">
        <v>75476841.868686736</v>
      </c>
      <c r="CC2" s="30">
        <v>75662772.070706934</v>
      </c>
      <c r="CD2" s="30">
        <v>75848702.272727132</v>
      </c>
      <c r="CE2" s="30">
        <v>76034632.47474733</v>
      </c>
      <c r="CF2" s="30">
        <v>76220562.676767528</v>
      </c>
      <c r="CG2" s="30">
        <v>76406492.878787726</v>
      </c>
      <c r="CH2" s="30">
        <v>76592423.080807924</v>
      </c>
      <c r="CI2" s="30">
        <v>76778353.282828122</v>
      </c>
      <c r="CJ2" s="30">
        <v>76964283.48484832</v>
      </c>
      <c r="CK2" s="30">
        <v>77150213.686868519</v>
      </c>
      <c r="CL2" s="30">
        <v>77336143.888888717</v>
      </c>
      <c r="CM2" s="30">
        <v>77522074.090908915</v>
      </c>
      <c r="CN2" s="30">
        <v>77708004.292929113</v>
      </c>
      <c r="CO2" s="30">
        <v>77893934.494949311</v>
      </c>
      <c r="CP2" s="30">
        <v>78079864.696969509</v>
      </c>
      <c r="CQ2" s="30">
        <v>78265794.898989707</v>
      </c>
      <c r="CR2" s="30">
        <v>78451725.101009905</v>
      </c>
      <c r="CS2" s="30">
        <v>78637655.303030103</v>
      </c>
      <c r="CT2" s="30">
        <v>78823585.505050302</v>
      </c>
      <c r="CU2" s="30">
        <v>79009515.7070705</v>
      </c>
      <c r="CV2" s="30">
        <v>79195445.909090698</v>
      </c>
      <c r="CW2" s="30">
        <v>79381376.111110896</v>
      </c>
      <c r="CX2" s="30">
        <v>79567306.313131094</v>
      </c>
      <c r="CY2" s="30">
        <v>79753236.515151292</v>
      </c>
      <c r="CZ2" s="30">
        <v>79939166.71717149</v>
      </c>
      <c r="DA2" s="30">
        <v>80125096.919191688</v>
      </c>
      <c r="DB2" s="30">
        <v>80311027.121211886</v>
      </c>
      <c r="DC2" s="30">
        <v>80496957.323232085</v>
      </c>
      <c r="DD2" s="30">
        <v>80682887.525252283</v>
      </c>
      <c r="DE2" s="30">
        <v>80868817.727272481</v>
      </c>
      <c r="DF2" s="30">
        <v>81054747.929292679</v>
      </c>
      <c r="DG2" s="30">
        <v>81240678.131312877</v>
      </c>
      <c r="DH2" s="30">
        <v>81426608.333333075</v>
      </c>
      <c r="DI2" s="30">
        <v>81612538.535353273</v>
      </c>
      <c r="DJ2" s="30">
        <v>81798468.737373471</v>
      </c>
      <c r="DK2" s="30">
        <v>81984398.939393669</v>
      </c>
      <c r="DL2" s="30">
        <v>82170329.141413867</v>
      </c>
      <c r="DM2" s="30">
        <v>82356259.343434066</v>
      </c>
      <c r="DN2" s="30">
        <v>82542189.545454264</v>
      </c>
      <c r="DO2" s="30">
        <v>82728119.747474462</v>
      </c>
      <c r="DP2" s="30">
        <v>82914049.94949466</v>
      </c>
      <c r="DQ2" s="30">
        <v>83099980.151514858</v>
      </c>
      <c r="DR2" s="30">
        <v>83285910.353535056</v>
      </c>
      <c r="DS2" s="30">
        <v>83471840.555555254</v>
      </c>
      <c r="DT2" s="30">
        <v>83657770.757575452</v>
      </c>
      <c r="DU2" s="30">
        <v>83843700.95959565</v>
      </c>
      <c r="DV2" s="30">
        <v>84029631.161615849</v>
      </c>
      <c r="DW2" s="30">
        <v>84215561.363636047</v>
      </c>
      <c r="DX2" s="30">
        <v>84401491.565656245</v>
      </c>
      <c r="DY2" s="30">
        <v>84587421.767676443</v>
      </c>
      <c r="DZ2" s="30">
        <v>84773351.969696641</v>
      </c>
      <c r="EA2" s="30">
        <v>84959282.171716839</v>
      </c>
      <c r="EB2" s="30">
        <v>85145212.373737037</v>
      </c>
      <c r="EC2" s="30">
        <v>85331142.575757235</v>
      </c>
      <c r="ED2" s="30">
        <v>85517072.777777433</v>
      </c>
      <c r="EE2" s="30">
        <v>85703002.979797632</v>
      </c>
      <c r="EF2" s="30">
        <v>85888933.18181783</v>
      </c>
      <c r="EG2" s="30">
        <v>86074863.383838028</v>
      </c>
      <c r="EH2" s="30">
        <v>86260793.585858226</v>
      </c>
      <c r="EI2" s="30">
        <v>86446723.787878424</v>
      </c>
      <c r="EJ2" s="30">
        <v>86632653.989898622</v>
      </c>
      <c r="EK2" s="30">
        <v>86818584.19191882</v>
      </c>
      <c r="EL2" s="30">
        <v>87004514.393939018</v>
      </c>
      <c r="EM2" s="30">
        <v>87190444.595959216</v>
      </c>
      <c r="EN2" s="30">
        <v>87376374.797979414</v>
      </c>
      <c r="EO2" s="30">
        <v>87562304.999999613</v>
      </c>
    </row>
    <row r="3" spans="2:154" ht="15" customHeight="1" x14ac:dyDescent="0.25">
      <c r="B3" s="9" t="s">
        <v>29</v>
      </c>
      <c r="D3" s="9" t="s">
        <v>27</v>
      </c>
      <c r="E3" s="15" t="s">
        <v>22</v>
      </c>
      <c r="F3" s="15" t="s">
        <v>23</v>
      </c>
      <c r="G3" s="15" t="s">
        <v>26</v>
      </c>
      <c r="H3" s="15" t="s">
        <v>27</v>
      </c>
      <c r="I3" s="15" t="s">
        <v>22</v>
      </c>
      <c r="J3" s="15" t="s">
        <v>23</v>
      </c>
      <c r="K3" s="15" t="s">
        <v>26</v>
      </c>
      <c r="L3" s="15" t="s">
        <v>27</v>
      </c>
      <c r="M3" s="15" t="s">
        <v>22</v>
      </c>
      <c r="N3" s="15" t="s">
        <v>23</v>
      </c>
      <c r="O3" s="15" t="s">
        <v>26</v>
      </c>
      <c r="P3" s="15" t="s">
        <v>27</v>
      </c>
      <c r="Q3" s="15" t="s">
        <v>22</v>
      </c>
      <c r="R3" s="15" t="s">
        <v>23</v>
      </c>
      <c r="S3" s="15" t="s">
        <v>26</v>
      </c>
      <c r="T3" s="15" t="s">
        <v>27</v>
      </c>
      <c r="U3" s="15" t="s">
        <v>22</v>
      </c>
      <c r="V3" s="15" t="s">
        <v>23</v>
      </c>
      <c r="W3" s="15" t="s">
        <v>26</v>
      </c>
      <c r="X3" s="15" t="s">
        <v>27</v>
      </c>
      <c r="Y3" s="15" t="s">
        <v>22</v>
      </c>
      <c r="Z3" s="15" t="s">
        <v>23</v>
      </c>
      <c r="AA3" s="15" t="s">
        <v>26</v>
      </c>
      <c r="AB3" s="15" t="s">
        <v>27</v>
      </c>
      <c r="AC3" s="15" t="s">
        <v>22</v>
      </c>
      <c r="AD3" s="15" t="s">
        <v>23</v>
      </c>
      <c r="AE3" s="15" t="s">
        <v>26</v>
      </c>
      <c r="AG3" s="9" t="s">
        <v>22</v>
      </c>
      <c r="AH3" s="9" t="s">
        <v>23</v>
      </c>
      <c r="AI3" s="9" t="s">
        <v>26</v>
      </c>
      <c r="AK3" s="11" t="s">
        <v>50</v>
      </c>
      <c r="AL3" s="19">
        <v>1081.4421102060498</v>
      </c>
      <c r="AM3" s="19">
        <v>0</v>
      </c>
      <c r="AN3" s="19">
        <v>592.79968202545706</v>
      </c>
      <c r="AO3" s="19">
        <v>1674.2417922315069</v>
      </c>
      <c r="AS3" s="31">
        <v>1864000.7769453882</v>
      </c>
      <c r="AT3" s="176">
        <v>4000</v>
      </c>
      <c r="AU3" s="176">
        <v>4000</v>
      </c>
      <c r="AV3" s="176">
        <v>4000</v>
      </c>
      <c r="AW3" s="176">
        <v>4000</v>
      </c>
      <c r="AX3" s="176">
        <v>4000</v>
      </c>
      <c r="AY3" s="176">
        <v>4000</v>
      </c>
      <c r="AZ3" s="176">
        <v>4000</v>
      </c>
      <c r="BA3" s="176">
        <v>4000</v>
      </c>
      <c r="BB3" s="176">
        <v>4000</v>
      </c>
      <c r="BC3" s="176">
        <v>4000</v>
      </c>
      <c r="BD3" s="176">
        <v>4000</v>
      </c>
      <c r="BE3" s="176">
        <v>4000</v>
      </c>
      <c r="BF3" s="176">
        <v>4000</v>
      </c>
      <c r="BG3" s="176">
        <v>4000</v>
      </c>
      <c r="BH3" s="176">
        <v>4000</v>
      </c>
      <c r="BI3" s="176">
        <v>4000</v>
      </c>
      <c r="BJ3" s="176">
        <v>4000</v>
      </c>
      <c r="BK3" s="176">
        <v>4000</v>
      </c>
      <c r="BL3" s="176">
        <v>4000</v>
      </c>
      <c r="BM3" s="176">
        <v>4000</v>
      </c>
      <c r="BN3" s="176">
        <v>4000</v>
      </c>
      <c r="BO3" s="176">
        <v>4000</v>
      </c>
      <c r="BP3" s="176">
        <v>4000</v>
      </c>
      <c r="BQ3" s="176">
        <v>4000</v>
      </c>
      <c r="BR3" s="176">
        <v>4000</v>
      </c>
      <c r="BS3" s="176">
        <v>4000</v>
      </c>
      <c r="BT3" s="176">
        <v>4000</v>
      </c>
      <c r="BU3" s="176">
        <v>4000</v>
      </c>
      <c r="BV3" s="176">
        <v>4000</v>
      </c>
      <c r="BW3" s="176">
        <v>4000</v>
      </c>
      <c r="BX3" s="176">
        <v>4000</v>
      </c>
      <c r="BY3" s="176">
        <v>4000</v>
      </c>
      <c r="BZ3" s="176">
        <v>4000</v>
      </c>
      <c r="CA3" s="176">
        <v>4000</v>
      </c>
      <c r="CB3" s="176">
        <v>4000</v>
      </c>
      <c r="CC3" s="176">
        <v>4000</v>
      </c>
      <c r="CD3" s="176">
        <v>4000</v>
      </c>
      <c r="CE3" s="176">
        <v>4000</v>
      </c>
      <c r="CF3" s="176">
        <v>4000</v>
      </c>
      <c r="CG3" s="176">
        <v>4000</v>
      </c>
      <c r="CH3" s="176">
        <v>4000</v>
      </c>
      <c r="CI3" s="176">
        <v>4000</v>
      </c>
      <c r="CJ3" s="176">
        <v>4000</v>
      </c>
      <c r="CK3" s="176">
        <v>4000</v>
      </c>
      <c r="CL3" s="176">
        <v>4000</v>
      </c>
      <c r="CM3" s="176">
        <v>4000</v>
      </c>
      <c r="CN3" s="176">
        <v>4000</v>
      </c>
      <c r="CO3" s="176">
        <v>4000</v>
      </c>
      <c r="CP3" s="176">
        <v>4000</v>
      </c>
      <c r="CQ3" s="176">
        <v>4000</v>
      </c>
      <c r="CR3" s="176">
        <v>4000</v>
      </c>
      <c r="CS3" s="176">
        <v>4000</v>
      </c>
      <c r="CT3" s="176">
        <v>4000</v>
      </c>
      <c r="CU3" s="176">
        <v>4000</v>
      </c>
      <c r="CV3" s="176">
        <v>4000</v>
      </c>
      <c r="CW3" s="176">
        <v>4000</v>
      </c>
      <c r="CX3" s="176">
        <v>4000</v>
      </c>
      <c r="CY3" s="176">
        <v>4000</v>
      </c>
      <c r="CZ3" s="176">
        <v>4000</v>
      </c>
      <c r="DA3" s="176">
        <v>4000</v>
      </c>
      <c r="DB3" s="176">
        <v>4000</v>
      </c>
      <c r="DC3" s="176">
        <v>4000</v>
      </c>
      <c r="DD3" s="176">
        <v>4000</v>
      </c>
      <c r="DE3" s="176">
        <v>4000</v>
      </c>
      <c r="DF3" s="176">
        <v>4000</v>
      </c>
      <c r="DG3" s="176">
        <v>4000</v>
      </c>
      <c r="DH3" s="176">
        <v>4000</v>
      </c>
      <c r="DI3" s="176">
        <v>4000</v>
      </c>
      <c r="DJ3" s="176">
        <v>4000</v>
      </c>
      <c r="DK3" s="176">
        <v>4000</v>
      </c>
      <c r="DL3" s="176">
        <v>4000</v>
      </c>
      <c r="DM3" s="176">
        <v>4000</v>
      </c>
      <c r="DN3" s="176">
        <v>4000</v>
      </c>
      <c r="DO3" s="176">
        <v>4000</v>
      </c>
      <c r="DP3" s="176">
        <v>4000</v>
      </c>
      <c r="DQ3" s="176">
        <v>4000</v>
      </c>
      <c r="DR3" s="176">
        <v>4000</v>
      </c>
      <c r="DS3" s="176">
        <v>4000</v>
      </c>
      <c r="DT3" s="176">
        <v>4000</v>
      </c>
      <c r="DU3" s="176">
        <v>4000</v>
      </c>
      <c r="DV3" s="176">
        <v>4000</v>
      </c>
      <c r="DW3" s="176">
        <v>4000</v>
      </c>
      <c r="DX3" s="176">
        <v>4000</v>
      </c>
      <c r="DY3" s="176">
        <v>4000</v>
      </c>
      <c r="DZ3" s="176">
        <v>4000</v>
      </c>
      <c r="EA3" s="176">
        <v>4000</v>
      </c>
      <c r="EB3" s="176">
        <v>4000</v>
      </c>
      <c r="EC3" s="176">
        <v>4000</v>
      </c>
      <c r="ED3" s="176">
        <v>4000</v>
      </c>
      <c r="EE3" s="176">
        <v>4000</v>
      </c>
      <c r="EF3" s="176">
        <v>4000</v>
      </c>
      <c r="EG3" s="176">
        <v>4000</v>
      </c>
      <c r="EH3" s="176">
        <v>4000</v>
      </c>
      <c r="EI3" s="176">
        <v>4000</v>
      </c>
      <c r="EJ3" s="176">
        <v>4000</v>
      </c>
      <c r="EK3" s="176">
        <v>4000</v>
      </c>
      <c r="EL3" s="176">
        <v>4000</v>
      </c>
      <c r="EM3" s="176">
        <v>4000</v>
      </c>
      <c r="EN3" s="176">
        <v>4000</v>
      </c>
      <c r="EO3" s="176">
        <v>4000</v>
      </c>
      <c r="EP3" t="str">
        <f>ROUNDDOWN(AS3/$EX$4, 0) &amp; "y " &amp; ROUND(MOD(AS3, $EX$4)/$EX$5, 0) &amp; "d"</f>
        <v>0y 86d</v>
      </c>
      <c r="ES3" s="208" t="s">
        <v>111</v>
      </c>
      <c r="ET3" s="208"/>
      <c r="EU3" s="208"/>
      <c r="EV3" s="208"/>
      <c r="EW3" s="208"/>
      <c r="EX3" s="208"/>
    </row>
    <row r="4" spans="2:154" ht="15" customHeight="1" x14ac:dyDescent="0.25">
      <c r="B4" s="9">
        <v>1</v>
      </c>
      <c r="D4">
        <v>0</v>
      </c>
      <c r="E4" s="12">
        <v>-13599823007.697136</v>
      </c>
      <c r="F4" s="12">
        <v>21659825.247473374</v>
      </c>
      <c r="G4" s="12">
        <v>0</v>
      </c>
      <c r="H4" s="12">
        <v>0</v>
      </c>
      <c r="I4" s="12">
        <v>15514867153.114368</v>
      </c>
      <c r="J4" s="12">
        <v>-15290394870.784014</v>
      </c>
      <c r="K4" s="12">
        <v>32847.339609958261</v>
      </c>
      <c r="L4" s="12">
        <v>0</v>
      </c>
      <c r="M4" s="12">
        <v>-12959530821.615719</v>
      </c>
      <c r="N4" s="12">
        <v>-4123859341.9662218</v>
      </c>
      <c r="O4" s="12">
        <v>8.1532107287785038E-8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G4" s="8">
        <v>0</v>
      </c>
      <c r="AH4" s="8">
        <v>0</v>
      </c>
      <c r="AI4" s="8">
        <v>0</v>
      </c>
      <c r="AJ4" s="1"/>
      <c r="AK4" s="18" t="s">
        <v>53</v>
      </c>
      <c r="AL4" s="19"/>
      <c r="AM4" s="19"/>
      <c r="AN4" s="19"/>
      <c r="AO4" s="19"/>
      <c r="AS4" s="31">
        <v>2042869.5383694405</v>
      </c>
      <c r="AT4" s="176">
        <v>4000</v>
      </c>
      <c r="AU4" s="176">
        <v>4000</v>
      </c>
      <c r="AV4" s="176">
        <v>4000</v>
      </c>
      <c r="AW4" s="176">
        <v>4000</v>
      </c>
      <c r="AX4" s="176">
        <v>4000</v>
      </c>
      <c r="AY4" s="176">
        <v>4000</v>
      </c>
      <c r="AZ4" s="176">
        <v>4000</v>
      </c>
      <c r="BA4" s="176">
        <v>4000</v>
      </c>
      <c r="BB4" s="176">
        <v>4000</v>
      </c>
      <c r="BC4" s="176">
        <v>4000</v>
      </c>
      <c r="BD4" s="176">
        <v>4000</v>
      </c>
      <c r="BE4" s="176">
        <v>4000</v>
      </c>
      <c r="BF4" s="176">
        <v>4000</v>
      </c>
      <c r="BG4" s="176">
        <v>4000</v>
      </c>
      <c r="BH4" s="176">
        <v>4000</v>
      </c>
      <c r="BI4" s="176">
        <v>4000</v>
      </c>
      <c r="BJ4" s="176">
        <v>4000</v>
      </c>
      <c r="BK4" s="176">
        <v>4000</v>
      </c>
      <c r="BL4" s="176">
        <v>4000</v>
      </c>
      <c r="BM4" s="176">
        <v>4000</v>
      </c>
      <c r="BN4" s="176">
        <v>4000</v>
      </c>
      <c r="BO4" s="176">
        <v>4000</v>
      </c>
      <c r="BP4" s="176">
        <v>4000</v>
      </c>
      <c r="BQ4" s="176">
        <v>4000</v>
      </c>
      <c r="BR4" s="176">
        <v>4000</v>
      </c>
      <c r="BS4" s="176">
        <v>4000</v>
      </c>
      <c r="BT4" s="176">
        <v>4000</v>
      </c>
      <c r="BU4" s="176">
        <v>4000</v>
      </c>
      <c r="BV4" s="176">
        <v>4000</v>
      </c>
      <c r="BW4" s="176">
        <v>4000</v>
      </c>
      <c r="BX4" s="176">
        <v>4000</v>
      </c>
      <c r="BY4" s="176">
        <v>4000</v>
      </c>
      <c r="BZ4" s="176">
        <v>4000</v>
      </c>
      <c r="CA4" s="176">
        <v>4000</v>
      </c>
      <c r="CB4" s="176">
        <v>4000</v>
      </c>
      <c r="CC4" s="176">
        <v>4000</v>
      </c>
      <c r="CD4" s="176">
        <v>4000</v>
      </c>
      <c r="CE4" s="176">
        <v>4000</v>
      </c>
      <c r="CF4" s="176">
        <v>4000</v>
      </c>
      <c r="CG4" s="176">
        <v>4000</v>
      </c>
      <c r="CH4" s="176">
        <v>4000</v>
      </c>
      <c r="CI4" s="176">
        <v>4000</v>
      </c>
      <c r="CJ4" s="176">
        <v>4000</v>
      </c>
      <c r="CK4" s="176">
        <v>4000</v>
      </c>
      <c r="CL4" s="176">
        <v>4000</v>
      </c>
      <c r="CM4" s="176">
        <v>4000</v>
      </c>
      <c r="CN4" s="176">
        <v>4000</v>
      </c>
      <c r="CO4" s="176">
        <v>4000</v>
      </c>
      <c r="CP4" s="176">
        <v>4000</v>
      </c>
      <c r="CQ4" s="176">
        <v>4000</v>
      </c>
      <c r="CR4" s="176">
        <v>4000</v>
      </c>
      <c r="CS4" s="176">
        <v>4000</v>
      </c>
      <c r="CT4" s="176">
        <v>4000</v>
      </c>
      <c r="CU4" s="176">
        <v>4000</v>
      </c>
      <c r="CV4" s="176">
        <v>4000</v>
      </c>
      <c r="CW4" s="176">
        <v>4000</v>
      </c>
      <c r="CX4" s="176">
        <v>4000</v>
      </c>
      <c r="CY4" s="176">
        <v>4000</v>
      </c>
      <c r="CZ4" s="176">
        <v>4000</v>
      </c>
      <c r="DA4" s="176">
        <v>4000</v>
      </c>
      <c r="DB4" s="176">
        <v>4000</v>
      </c>
      <c r="DC4" s="176">
        <v>4000</v>
      </c>
      <c r="DD4" s="176">
        <v>4000</v>
      </c>
      <c r="DE4" s="176">
        <v>4000</v>
      </c>
      <c r="DF4" s="176">
        <v>4000</v>
      </c>
      <c r="DG4" s="176">
        <v>4000</v>
      </c>
      <c r="DH4" s="176">
        <v>4000</v>
      </c>
      <c r="DI4" s="176">
        <v>4000</v>
      </c>
      <c r="DJ4" s="176">
        <v>4000</v>
      </c>
      <c r="DK4" s="176">
        <v>4000</v>
      </c>
      <c r="DL4" s="176">
        <v>4000</v>
      </c>
      <c r="DM4" s="176">
        <v>4000</v>
      </c>
      <c r="DN4" s="176">
        <v>4000</v>
      </c>
      <c r="DO4" s="176">
        <v>4000</v>
      </c>
      <c r="DP4" s="176">
        <v>4000</v>
      </c>
      <c r="DQ4" s="176">
        <v>4000</v>
      </c>
      <c r="DR4" s="176">
        <v>4000</v>
      </c>
      <c r="DS4" s="176">
        <v>4000</v>
      </c>
      <c r="DT4" s="176">
        <v>4000</v>
      </c>
      <c r="DU4" s="176">
        <v>4000</v>
      </c>
      <c r="DV4" s="176">
        <v>4000</v>
      </c>
      <c r="DW4" s="176">
        <v>4000</v>
      </c>
      <c r="DX4" s="176">
        <v>4000</v>
      </c>
      <c r="DY4" s="176">
        <v>4000</v>
      </c>
      <c r="DZ4" s="176">
        <v>4000</v>
      </c>
      <c r="EA4" s="176">
        <v>4000</v>
      </c>
      <c r="EB4" s="176">
        <v>4000</v>
      </c>
      <c r="EC4" s="176">
        <v>4000</v>
      </c>
      <c r="ED4" s="176">
        <v>4000</v>
      </c>
      <c r="EE4" s="176">
        <v>4000</v>
      </c>
      <c r="EF4" s="176">
        <v>4000</v>
      </c>
      <c r="EG4" s="176">
        <v>4000</v>
      </c>
      <c r="EH4" s="176">
        <v>4000</v>
      </c>
      <c r="EI4" s="176">
        <v>4000</v>
      </c>
      <c r="EJ4" s="176">
        <v>4000</v>
      </c>
      <c r="EK4" s="176">
        <v>4000</v>
      </c>
      <c r="EL4" s="176">
        <v>4000</v>
      </c>
      <c r="EM4" s="176">
        <v>4000</v>
      </c>
      <c r="EN4" s="176">
        <v>4000</v>
      </c>
      <c r="EO4" s="176">
        <v>4000</v>
      </c>
      <c r="EP4" t="str">
        <f t="shared" ref="EP4:EP67" si="0">ROUNDDOWN(AS4/$EX$4, 0) &amp; "y " &amp; ROUND(MOD(AS4, $EX$4)/$EX$5, 0) &amp; "d"</f>
        <v>0y 95d</v>
      </c>
      <c r="ES4" s="72"/>
      <c r="ET4" s="73" t="s">
        <v>112</v>
      </c>
      <c r="EU4" s="68" t="s">
        <v>119</v>
      </c>
      <c r="EV4" s="72"/>
      <c r="EW4" s="73" t="s">
        <v>117</v>
      </c>
      <c r="EX4" s="72">
        <f>IF(EU4="Real", 31558149.7635, 9203545)</f>
        <v>9203545</v>
      </c>
    </row>
    <row r="5" spans="2:154" ht="15" customHeight="1" x14ac:dyDescent="0.25">
      <c r="B5" s="9">
        <v>2</v>
      </c>
      <c r="D5">
        <v>92035.445972177811</v>
      </c>
      <c r="E5" s="12">
        <v>-13574346895.255716</v>
      </c>
      <c r="F5" s="12">
        <v>-832322867.62990141</v>
      </c>
      <c r="G5" s="12">
        <v>0</v>
      </c>
      <c r="H5" s="12">
        <v>191502.67994532309</v>
      </c>
      <c r="I5" s="12">
        <v>16442679650.331343</v>
      </c>
      <c r="J5" s="12">
        <v>-14284591334.989309</v>
      </c>
      <c r="K5" s="12">
        <v>-1399407.5769721856</v>
      </c>
      <c r="L5" s="12">
        <v>45833.427549929263</v>
      </c>
      <c r="M5" s="12">
        <v>-12804239627.016361</v>
      </c>
      <c r="N5" s="12">
        <v>-4566266078.6577959</v>
      </c>
      <c r="O5" s="12">
        <v>1599601.7068632722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G5" s="8">
        <v>-12959530821.61533</v>
      </c>
      <c r="AH5" s="8">
        <v>-4123859341.9660225</v>
      </c>
      <c r="AI5" s="8">
        <v>0</v>
      </c>
      <c r="AJ5" s="1"/>
      <c r="AK5" s="18" t="s">
        <v>51</v>
      </c>
      <c r="AL5" s="19"/>
      <c r="AM5" s="19"/>
      <c r="AN5" s="19"/>
      <c r="AO5" s="19"/>
      <c r="AS5" s="31">
        <v>2221738.299793493</v>
      </c>
      <c r="AT5" s="176">
        <v>4000</v>
      </c>
      <c r="AU5" s="176">
        <v>4000</v>
      </c>
      <c r="AV5" s="176">
        <v>4000</v>
      </c>
      <c r="AW5" s="176">
        <v>4000</v>
      </c>
      <c r="AX5" s="176">
        <v>4000</v>
      </c>
      <c r="AY5" s="176">
        <v>4000</v>
      </c>
      <c r="AZ5" s="176">
        <v>4000</v>
      </c>
      <c r="BA5" s="176">
        <v>4000</v>
      </c>
      <c r="BB5" s="176">
        <v>4000</v>
      </c>
      <c r="BC5" s="176">
        <v>4000</v>
      </c>
      <c r="BD5" s="176">
        <v>4000</v>
      </c>
      <c r="BE5" s="176">
        <v>4000</v>
      </c>
      <c r="BF5" s="176">
        <v>4000</v>
      </c>
      <c r="BG5" s="176">
        <v>4000</v>
      </c>
      <c r="BH5" s="176">
        <v>4000</v>
      </c>
      <c r="BI5" s="176">
        <v>4000</v>
      </c>
      <c r="BJ5" s="176">
        <v>4000</v>
      </c>
      <c r="BK5" s="176">
        <v>4000</v>
      </c>
      <c r="BL5" s="176">
        <v>4000</v>
      </c>
      <c r="BM5" s="176">
        <v>4000</v>
      </c>
      <c r="BN5" s="176">
        <v>4000</v>
      </c>
      <c r="BO5" s="176">
        <v>4000</v>
      </c>
      <c r="BP5" s="176">
        <v>4000</v>
      </c>
      <c r="BQ5" s="176">
        <v>4000</v>
      </c>
      <c r="BR5" s="176">
        <v>4000</v>
      </c>
      <c r="BS5" s="176">
        <v>4000</v>
      </c>
      <c r="BT5" s="176">
        <v>4000</v>
      </c>
      <c r="BU5" s="176">
        <v>4000</v>
      </c>
      <c r="BV5" s="176">
        <v>4000</v>
      </c>
      <c r="BW5" s="176">
        <v>4000</v>
      </c>
      <c r="BX5" s="176">
        <v>4000</v>
      </c>
      <c r="BY5" s="176">
        <v>4000</v>
      </c>
      <c r="BZ5" s="176">
        <v>4000</v>
      </c>
      <c r="CA5" s="176">
        <v>4000</v>
      </c>
      <c r="CB5" s="176">
        <v>4000</v>
      </c>
      <c r="CC5" s="176">
        <v>4000</v>
      </c>
      <c r="CD5" s="176">
        <v>4000</v>
      </c>
      <c r="CE5" s="176">
        <v>4000</v>
      </c>
      <c r="CF5" s="176">
        <v>4000</v>
      </c>
      <c r="CG5" s="176">
        <v>4000</v>
      </c>
      <c r="CH5" s="176">
        <v>4000</v>
      </c>
      <c r="CI5" s="176">
        <v>4000</v>
      </c>
      <c r="CJ5" s="176">
        <v>4000</v>
      </c>
      <c r="CK5" s="176">
        <v>4000</v>
      </c>
      <c r="CL5" s="176">
        <v>4000</v>
      </c>
      <c r="CM5" s="176">
        <v>4000</v>
      </c>
      <c r="CN5" s="176">
        <v>4000</v>
      </c>
      <c r="CO5" s="176">
        <v>4000</v>
      </c>
      <c r="CP5" s="176">
        <v>4000</v>
      </c>
      <c r="CQ5" s="176">
        <v>4000</v>
      </c>
      <c r="CR5" s="176">
        <v>4000</v>
      </c>
      <c r="CS5" s="176">
        <v>4000</v>
      </c>
      <c r="CT5" s="176">
        <v>4000</v>
      </c>
      <c r="CU5" s="176">
        <v>4000</v>
      </c>
      <c r="CV5" s="176">
        <v>4000</v>
      </c>
      <c r="CW5" s="176">
        <v>4000</v>
      </c>
      <c r="CX5" s="176">
        <v>4000</v>
      </c>
      <c r="CY5" s="176">
        <v>4000</v>
      </c>
      <c r="CZ5" s="176">
        <v>4000</v>
      </c>
      <c r="DA5" s="176">
        <v>4000</v>
      </c>
      <c r="DB5" s="176">
        <v>4000</v>
      </c>
      <c r="DC5" s="176">
        <v>4000</v>
      </c>
      <c r="DD5" s="176">
        <v>4000</v>
      </c>
      <c r="DE5" s="176">
        <v>4000</v>
      </c>
      <c r="DF5" s="176">
        <v>4000</v>
      </c>
      <c r="DG5" s="176">
        <v>4000</v>
      </c>
      <c r="DH5" s="176">
        <v>4000</v>
      </c>
      <c r="DI5" s="176">
        <v>4000</v>
      </c>
      <c r="DJ5" s="176">
        <v>4000</v>
      </c>
      <c r="DK5" s="176">
        <v>4000</v>
      </c>
      <c r="DL5" s="176">
        <v>4000</v>
      </c>
      <c r="DM5" s="176">
        <v>4000</v>
      </c>
      <c r="DN5" s="176">
        <v>4000</v>
      </c>
      <c r="DO5" s="176">
        <v>4000</v>
      </c>
      <c r="DP5" s="176">
        <v>4000</v>
      </c>
      <c r="DQ5" s="176">
        <v>4000</v>
      </c>
      <c r="DR5" s="176">
        <v>4000</v>
      </c>
      <c r="DS5" s="176">
        <v>4000</v>
      </c>
      <c r="DT5" s="176">
        <v>4000</v>
      </c>
      <c r="DU5" s="176">
        <v>4000</v>
      </c>
      <c r="DV5" s="176">
        <v>4000</v>
      </c>
      <c r="DW5" s="176">
        <v>4000</v>
      </c>
      <c r="DX5" s="176">
        <v>4000</v>
      </c>
      <c r="DY5" s="176">
        <v>4000</v>
      </c>
      <c r="DZ5" s="176">
        <v>4000</v>
      </c>
      <c r="EA5" s="176">
        <v>4000</v>
      </c>
      <c r="EB5" s="176">
        <v>4000</v>
      </c>
      <c r="EC5" s="176">
        <v>4000</v>
      </c>
      <c r="ED5" s="176">
        <v>4000</v>
      </c>
      <c r="EE5" s="176">
        <v>4000</v>
      </c>
      <c r="EF5" s="176">
        <v>4000</v>
      </c>
      <c r="EG5" s="176">
        <v>4000</v>
      </c>
      <c r="EH5" s="176">
        <v>4000</v>
      </c>
      <c r="EI5" s="176">
        <v>4000</v>
      </c>
      <c r="EJ5" s="176">
        <v>4000</v>
      </c>
      <c r="EK5" s="176">
        <v>4000</v>
      </c>
      <c r="EL5" s="176">
        <v>4000</v>
      </c>
      <c r="EM5" s="176">
        <v>4000</v>
      </c>
      <c r="EN5" s="176">
        <v>4000</v>
      </c>
      <c r="EO5" s="176">
        <v>4000</v>
      </c>
      <c r="EP5" t="str">
        <f t="shared" si="0"/>
        <v>0y 103d</v>
      </c>
      <c r="ES5" s="72"/>
      <c r="ET5" s="73" t="s">
        <v>21</v>
      </c>
      <c r="EU5" s="68" t="s">
        <v>4</v>
      </c>
      <c r="EV5" s="72"/>
      <c r="EW5" s="73" t="s">
        <v>118</v>
      </c>
      <c r="EX5" s="72">
        <f>IF(EU4="Real", 86400, 21600)</f>
        <v>21600</v>
      </c>
    </row>
    <row r="6" spans="2:154" ht="15" customHeight="1" x14ac:dyDescent="0.25">
      <c r="B6" s="9">
        <v>3</v>
      </c>
      <c r="D6">
        <v>184070.89194435108</v>
      </c>
      <c r="E6" s="12">
        <v>-13495299037.147917</v>
      </c>
      <c r="F6" s="12">
        <v>-1683020762.4009373</v>
      </c>
      <c r="G6" s="12">
        <v>0</v>
      </c>
      <c r="H6" s="12">
        <v>382926.07109727478</v>
      </c>
      <c r="I6" s="12">
        <v>17301757361.658581</v>
      </c>
      <c r="J6" s="12">
        <v>-13219824303.568651</v>
      </c>
      <c r="K6" s="12">
        <v>-2825252.4814099032</v>
      </c>
      <c r="L6" s="12">
        <v>91637.716362300169</v>
      </c>
      <c r="M6" s="12">
        <v>-12636508631.812675</v>
      </c>
      <c r="N6" s="12">
        <v>-5003920072.3569078</v>
      </c>
      <c r="O6" s="12">
        <v>3196620.1392444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G6" s="8"/>
      <c r="AH6" s="8"/>
      <c r="AI6" s="8"/>
      <c r="AK6" s="11" t="s">
        <v>52</v>
      </c>
      <c r="AL6" s="19"/>
      <c r="AM6" s="19"/>
      <c r="AN6" s="19"/>
      <c r="AO6" s="19"/>
      <c r="AS6" s="31">
        <v>2400607.0612175455</v>
      </c>
      <c r="AT6" s="176">
        <v>4000</v>
      </c>
      <c r="AU6" s="176">
        <v>4000</v>
      </c>
      <c r="AV6" s="176">
        <v>4000</v>
      </c>
      <c r="AW6" s="176">
        <v>4000</v>
      </c>
      <c r="AX6" s="176">
        <v>4000</v>
      </c>
      <c r="AY6" s="176">
        <v>4000</v>
      </c>
      <c r="AZ6" s="176">
        <v>4000</v>
      </c>
      <c r="BA6" s="176">
        <v>4000</v>
      </c>
      <c r="BB6" s="176">
        <v>4000</v>
      </c>
      <c r="BC6" s="176">
        <v>4000</v>
      </c>
      <c r="BD6" s="176">
        <v>4000</v>
      </c>
      <c r="BE6" s="176">
        <v>4000</v>
      </c>
      <c r="BF6" s="176">
        <v>4000</v>
      </c>
      <c r="BG6" s="176">
        <v>4000</v>
      </c>
      <c r="BH6" s="176">
        <v>4000</v>
      </c>
      <c r="BI6" s="176">
        <v>4000</v>
      </c>
      <c r="BJ6" s="176">
        <v>4000</v>
      </c>
      <c r="BK6" s="176">
        <v>4000</v>
      </c>
      <c r="BL6" s="176">
        <v>4000</v>
      </c>
      <c r="BM6" s="176">
        <v>4000</v>
      </c>
      <c r="BN6" s="176">
        <v>4000</v>
      </c>
      <c r="BO6" s="176">
        <v>4000</v>
      </c>
      <c r="BP6" s="176">
        <v>4000</v>
      </c>
      <c r="BQ6" s="176">
        <v>4000</v>
      </c>
      <c r="BR6" s="176">
        <v>4000</v>
      </c>
      <c r="BS6" s="176">
        <v>4000</v>
      </c>
      <c r="BT6" s="176">
        <v>4000</v>
      </c>
      <c r="BU6" s="176">
        <v>4000</v>
      </c>
      <c r="BV6" s="176">
        <v>4000</v>
      </c>
      <c r="BW6" s="176">
        <v>4000</v>
      </c>
      <c r="BX6" s="176">
        <v>4000</v>
      </c>
      <c r="BY6" s="176">
        <v>4000</v>
      </c>
      <c r="BZ6" s="176">
        <v>4000</v>
      </c>
      <c r="CA6" s="176">
        <v>4000</v>
      </c>
      <c r="CB6" s="176">
        <v>4000</v>
      </c>
      <c r="CC6" s="176">
        <v>4000</v>
      </c>
      <c r="CD6" s="176">
        <v>4000</v>
      </c>
      <c r="CE6" s="176">
        <v>4000</v>
      </c>
      <c r="CF6" s="176">
        <v>4000</v>
      </c>
      <c r="CG6" s="176">
        <v>4000</v>
      </c>
      <c r="CH6" s="176">
        <v>4000</v>
      </c>
      <c r="CI6" s="176">
        <v>4000</v>
      </c>
      <c r="CJ6" s="176">
        <v>4000</v>
      </c>
      <c r="CK6" s="176">
        <v>4000</v>
      </c>
      <c r="CL6" s="176">
        <v>4000</v>
      </c>
      <c r="CM6" s="176">
        <v>4000</v>
      </c>
      <c r="CN6" s="176">
        <v>4000</v>
      </c>
      <c r="CO6" s="176">
        <v>4000</v>
      </c>
      <c r="CP6" s="176">
        <v>4000</v>
      </c>
      <c r="CQ6" s="176">
        <v>4000</v>
      </c>
      <c r="CR6" s="176">
        <v>4000</v>
      </c>
      <c r="CS6" s="176">
        <v>4000</v>
      </c>
      <c r="CT6" s="176">
        <v>4000</v>
      </c>
      <c r="CU6" s="176">
        <v>4000</v>
      </c>
      <c r="CV6" s="176">
        <v>4000</v>
      </c>
      <c r="CW6" s="176">
        <v>4000</v>
      </c>
      <c r="CX6" s="176">
        <v>4000</v>
      </c>
      <c r="CY6" s="176">
        <v>4000</v>
      </c>
      <c r="CZ6" s="176">
        <v>4000</v>
      </c>
      <c r="DA6" s="176">
        <v>4000</v>
      </c>
      <c r="DB6" s="176">
        <v>4000</v>
      </c>
      <c r="DC6" s="176">
        <v>4000</v>
      </c>
      <c r="DD6" s="176">
        <v>4000</v>
      </c>
      <c r="DE6" s="176">
        <v>4000</v>
      </c>
      <c r="DF6" s="176">
        <v>4000</v>
      </c>
      <c r="DG6" s="176">
        <v>4000</v>
      </c>
      <c r="DH6" s="176">
        <v>4000</v>
      </c>
      <c r="DI6" s="176">
        <v>4000</v>
      </c>
      <c r="DJ6" s="176">
        <v>4000</v>
      </c>
      <c r="DK6" s="176">
        <v>4000</v>
      </c>
      <c r="DL6" s="176">
        <v>4000</v>
      </c>
      <c r="DM6" s="176">
        <v>4000</v>
      </c>
      <c r="DN6" s="176">
        <v>4000</v>
      </c>
      <c r="DO6" s="176">
        <v>4000</v>
      </c>
      <c r="DP6" s="176">
        <v>4000</v>
      </c>
      <c r="DQ6" s="176">
        <v>4000</v>
      </c>
      <c r="DR6" s="176">
        <v>4000</v>
      </c>
      <c r="DS6" s="176">
        <v>4000</v>
      </c>
      <c r="DT6" s="176">
        <v>4000</v>
      </c>
      <c r="DU6" s="176">
        <v>4000</v>
      </c>
      <c r="DV6" s="176">
        <v>4000</v>
      </c>
      <c r="DW6" s="176">
        <v>4000</v>
      </c>
      <c r="DX6" s="176">
        <v>4000</v>
      </c>
      <c r="DY6" s="176">
        <v>4000</v>
      </c>
      <c r="DZ6" s="176">
        <v>4000</v>
      </c>
      <c r="EA6" s="176">
        <v>4000</v>
      </c>
      <c r="EB6" s="176">
        <v>4000</v>
      </c>
      <c r="EC6" s="176">
        <v>4000</v>
      </c>
      <c r="ED6" s="176">
        <v>4000</v>
      </c>
      <c r="EE6" s="176">
        <v>4000</v>
      </c>
      <c r="EF6" s="176">
        <v>4000</v>
      </c>
      <c r="EG6" s="176">
        <v>4000</v>
      </c>
      <c r="EH6" s="176">
        <v>4000</v>
      </c>
      <c r="EI6" s="176">
        <v>4000</v>
      </c>
      <c r="EJ6" s="176">
        <v>4000</v>
      </c>
      <c r="EK6" s="176">
        <v>4000</v>
      </c>
      <c r="EL6" s="176">
        <v>4000</v>
      </c>
      <c r="EM6" s="176">
        <v>4000</v>
      </c>
      <c r="EN6" s="176">
        <v>4000</v>
      </c>
      <c r="EO6" s="176">
        <v>4000</v>
      </c>
      <c r="EP6" t="str">
        <f t="shared" si="0"/>
        <v>0y 111d</v>
      </c>
      <c r="ES6" s="72"/>
      <c r="ET6" s="73" t="s">
        <v>40</v>
      </c>
      <c r="EU6" s="68" t="s">
        <v>7</v>
      </c>
      <c r="EV6" s="72"/>
      <c r="EW6" s="72"/>
      <c r="EX6" s="72"/>
    </row>
    <row r="7" spans="2:154" ht="15" customHeight="1" x14ac:dyDescent="0.25">
      <c r="B7" s="9">
        <v>4</v>
      </c>
      <c r="D7">
        <v>276106.33791652496</v>
      </c>
      <c r="E7" s="12">
        <v>-13362991399.156162</v>
      </c>
      <c r="F7" s="12">
        <v>-2527076543.12183</v>
      </c>
      <c r="G7" s="12">
        <v>0</v>
      </c>
      <c r="H7" s="12">
        <v>574189.48668806674</v>
      </c>
      <c r="I7" s="12">
        <v>18088233097.935776</v>
      </c>
      <c r="J7" s="12">
        <v>-12101021892.475262</v>
      </c>
      <c r="K7" s="12">
        <v>-4238168.0119404523</v>
      </c>
      <c r="L7" s="12">
        <v>137432.08476858193</v>
      </c>
      <c r="M7" s="12">
        <v>-12456439734.519018</v>
      </c>
      <c r="N7" s="12">
        <v>-5436579226.3220205</v>
      </c>
      <c r="O7" s="12">
        <v>4790162.4421914918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G7" s="208" t="s">
        <v>35</v>
      </c>
      <c r="AH7" s="208"/>
      <c r="AI7" s="208"/>
      <c r="AK7" s="11" t="s">
        <v>58</v>
      </c>
      <c r="AL7" s="19">
        <v>1081.4421102060498</v>
      </c>
      <c r="AM7" s="19">
        <v>0</v>
      </c>
      <c r="AN7" s="19">
        <v>592.79968202545706</v>
      </c>
      <c r="AO7" s="19">
        <v>1674.2417922315069</v>
      </c>
      <c r="AP7" t="s">
        <v>31</v>
      </c>
      <c r="AS7" s="31">
        <v>2579475.8226415981</v>
      </c>
      <c r="AT7" s="176">
        <v>4000</v>
      </c>
      <c r="AU7" s="176">
        <v>4000</v>
      </c>
      <c r="AV7" s="176">
        <v>4000</v>
      </c>
      <c r="AW7" s="176">
        <v>4000</v>
      </c>
      <c r="AX7" s="176">
        <v>4000</v>
      </c>
      <c r="AY7" s="176">
        <v>4000</v>
      </c>
      <c r="AZ7" s="176">
        <v>4000</v>
      </c>
      <c r="BA7" s="176">
        <v>4000</v>
      </c>
      <c r="BB7" s="176">
        <v>4000</v>
      </c>
      <c r="BC7" s="176">
        <v>4000</v>
      </c>
      <c r="BD7" s="176">
        <v>4000</v>
      </c>
      <c r="BE7" s="176">
        <v>4000</v>
      </c>
      <c r="BF7" s="176">
        <v>4000</v>
      </c>
      <c r="BG7" s="176">
        <v>4000</v>
      </c>
      <c r="BH7" s="176">
        <v>4000</v>
      </c>
      <c r="BI7" s="176">
        <v>4000</v>
      </c>
      <c r="BJ7" s="176">
        <v>4000</v>
      </c>
      <c r="BK7" s="176">
        <v>4000</v>
      </c>
      <c r="BL7" s="176">
        <v>4000</v>
      </c>
      <c r="BM7" s="176">
        <v>4000</v>
      </c>
      <c r="BN7" s="176">
        <v>4000</v>
      </c>
      <c r="BO7" s="176">
        <v>4000</v>
      </c>
      <c r="BP7" s="176">
        <v>4000</v>
      </c>
      <c r="BQ7" s="176">
        <v>4000</v>
      </c>
      <c r="BR7" s="176">
        <v>4000</v>
      </c>
      <c r="BS7" s="176">
        <v>4000</v>
      </c>
      <c r="BT7" s="176">
        <v>4000</v>
      </c>
      <c r="BU7" s="176">
        <v>4000</v>
      </c>
      <c r="BV7" s="176">
        <v>4000</v>
      </c>
      <c r="BW7" s="176">
        <v>4000</v>
      </c>
      <c r="BX7" s="176">
        <v>4000</v>
      </c>
      <c r="BY7" s="176">
        <v>4000</v>
      </c>
      <c r="BZ7" s="176">
        <v>4000</v>
      </c>
      <c r="CA7" s="176">
        <v>4000</v>
      </c>
      <c r="CB7" s="176">
        <v>4000</v>
      </c>
      <c r="CC7" s="176">
        <v>4000</v>
      </c>
      <c r="CD7" s="176">
        <v>4000</v>
      </c>
      <c r="CE7" s="176">
        <v>4000</v>
      </c>
      <c r="CF7" s="176">
        <v>4000</v>
      </c>
      <c r="CG7" s="176">
        <v>4000</v>
      </c>
      <c r="CH7" s="176">
        <v>4000</v>
      </c>
      <c r="CI7" s="176">
        <v>4000</v>
      </c>
      <c r="CJ7" s="176">
        <v>4000</v>
      </c>
      <c r="CK7" s="176">
        <v>4000</v>
      </c>
      <c r="CL7" s="176">
        <v>4000</v>
      </c>
      <c r="CM7" s="176">
        <v>4000</v>
      </c>
      <c r="CN7" s="176">
        <v>4000</v>
      </c>
      <c r="CO7" s="176">
        <v>4000</v>
      </c>
      <c r="CP7" s="176">
        <v>4000</v>
      </c>
      <c r="CQ7" s="176">
        <v>4000</v>
      </c>
      <c r="CR7" s="176">
        <v>4000</v>
      </c>
      <c r="CS7" s="176">
        <v>4000</v>
      </c>
      <c r="CT7" s="176">
        <v>4000</v>
      </c>
      <c r="CU7" s="176">
        <v>4000</v>
      </c>
      <c r="CV7" s="176">
        <v>4000</v>
      </c>
      <c r="CW7" s="176">
        <v>4000</v>
      </c>
      <c r="CX7" s="176">
        <v>4000</v>
      </c>
      <c r="CY7" s="176">
        <v>4000</v>
      </c>
      <c r="CZ7" s="176">
        <v>4000</v>
      </c>
      <c r="DA7" s="176">
        <v>4000</v>
      </c>
      <c r="DB7" s="176">
        <v>4000</v>
      </c>
      <c r="DC7" s="176">
        <v>4000</v>
      </c>
      <c r="DD7" s="176">
        <v>4000</v>
      </c>
      <c r="DE7" s="176">
        <v>4000</v>
      </c>
      <c r="DF7" s="176">
        <v>4000</v>
      </c>
      <c r="DG7" s="176">
        <v>4000</v>
      </c>
      <c r="DH7" s="176">
        <v>4000</v>
      </c>
      <c r="DI7" s="176">
        <v>4000</v>
      </c>
      <c r="DJ7" s="176">
        <v>4000</v>
      </c>
      <c r="DK7" s="176">
        <v>4000</v>
      </c>
      <c r="DL7" s="176">
        <v>4000</v>
      </c>
      <c r="DM7" s="176">
        <v>4000</v>
      </c>
      <c r="DN7" s="176">
        <v>4000</v>
      </c>
      <c r="DO7" s="176">
        <v>4000</v>
      </c>
      <c r="DP7" s="176">
        <v>4000</v>
      </c>
      <c r="DQ7" s="176">
        <v>4000</v>
      </c>
      <c r="DR7" s="176">
        <v>4000</v>
      </c>
      <c r="DS7" s="176">
        <v>4000</v>
      </c>
      <c r="DT7" s="176">
        <v>4000</v>
      </c>
      <c r="DU7" s="176">
        <v>4000</v>
      </c>
      <c r="DV7" s="176">
        <v>4000</v>
      </c>
      <c r="DW7" s="176">
        <v>4000</v>
      </c>
      <c r="DX7" s="176">
        <v>4000</v>
      </c>
      <c r="DY7" s="176">
        <v>4000</v>
      </c>
      <c r="DZ7" s="176">
        <v>4000</v>
      </c>
      <c r="EA7" s="176">
        <v>4000</v>
      </c>
      <c r="EB7" s="176">
        <v>4000</v>
      </c>
      <c r="EC7" s="176">
        <v>4000</v>
      </c>
      <c r="ED7" s="176">
        <v>4000</v>
      </c>
      <c r="EE7" s="176">
        <v>4000</v>
      </c>
      <c r="EF7" s="176">
        <v>4000</v>
      </c>
      <c r="EG7" s="176">
        <v>4000</v>
      </c>
      <c r="EH7" s="176">
        <v>4000</v>
      </c>
      <c r="EI7" s="176">
        <v>4000</v>
      </c>
      <c r="EJ7" s="176">
        <v>4000</v>
      </c>
      <c r="EK7" s="176">
        <v>4000</v>
      </c>
      <c r="EL7" s="176">
        <v>4000</v>
      </c>
      <c r="EM7" s="176">
        <v>4000</v>
      </c>
      <c r="EN7" s="176">
        <v>4000</v>
      </c>
      <c r="EO7" s="176">
        <v>4000</v>
      </c>
      <c r="EP7" t="str">
        <f t="shared" si="0"/>
        <v>0y 119d</v>
      </c>
      <c r="ES7" s="72"/>
      <c r="ET7" s="73" t="s">
        <v>113</v>
      </c>
      <c r="EU7" s="68" t="str">
        <f>AT103</f>
        <v>y8 d220</v>
      </c>
      <c r="EV7" s="72"/>
      <c r="EW7" s="72"/>
      <c r="EX7" s="72"/>
    </row>
    <row r="8" spans="2:154" ht="15" customHeight="1" x14ac:dyDescent="0.25">
      <c r="B8" s="9">
        <v>5</v>
      </c>
      <c r="D8">
        <v>368141.78388869757</v>
      </c>
      <c r="E8" s="12">
        <v>-13177946139.081997</v>
      </c>
      <c r="F8" s="12">
        <v>-3361159107.2384634</v>
      </c>
      <c r="G8" s="12">
        <v>0</v>
      </c>
      <c r="H8" s="12">
        <v>765213.17299108801</v>
      </c>
      <c r="I8" s="12">
        <v>18798626426.658154</v>
      </c>
      <c r="J8" s="12">
        <v>-10933381445.980043</v>
      </c>
      <c r="K8" s="12">
        <v>-5631717.5920958845</v>
      </c>
      <c r="L8" s="12">
        <v>183235.74417421434</v>
      </c>
      <c r="M8" s="12">
        <v>-12264133895.098013</v>
      </c>
      <c r="N8" s="12">
        <v>-5864001316.7296753</v>
      </c>
      <c r="O8" s="12">
        <v>6379336.3187834574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G8" s="9" t="s">
        <v>22</v>
      </c>
      <c r="AH8" s="9" t="s">
        <v>23</v>
      </c>
      <c r="AI8" s="9" t="s">
        <v>26</v>
      </c>
      <c r="AS8" s="31">
        <v>2758344.5840656506</v>
      </c>
      <c r="AT8" s="176">
        <v>4000</v>
      </c>
      <c r="AU8" s="176">
        <v>4000</v>
      </c>
      <c r="AV8" s="176">
        <v>4000</v>
      </c>
      <c r="AW8" s="176">
        <v>4000</v>
      </c>
      <c r="AX8" s="176">
        <v>4000</v>
      </c>
      <c r="AY8" s="176">
        <v>4000</v>
      </c>
      <c r="AZ8" s="176">
        <v>4000</v>
      </c>
      <c r="BA8" s="176">
        <v>4000</v>
      </c>
      <c r="BB8" s="176">
        <v>4000</v>
      </c>
      <c r="BC8" s="176">
        <v>4000</v>
      </c>
      <c r="BD8" s="176">
        <v>4000</v>
      </c>
      <c r="BE8" s="176">
        <v>4000</v>
      </c>
      <c r="BF8" s="176">
        <v>4000</v>
      </c>
      <c r="BG8" s="176">
        <v>4000</v>
      </c>
      <c r="BH8" s="176">
        <v>4000</v>
      </c>
      <c r="BI8" s="176">
        <v>4000</v>
      </c>
      <c r="BJ8" s="176">
        <v>4000</v>
      </c>
      <c r="BK8" s="176">
        <v>4000</v>
      </c>
      <c r="BL8" s="176">
        <v>4000</v>
      </c>
      <c r="BM8" s="176">
        <v>4000</v>
      </c>
      <c r="BN8" s="176">
        <v>4000</v>
      </c>
      <c r="BO8" s="176">
        <v>4000</v>
      </c>
      <c r="BP8" s="176">
        <v>4000</v>
      </c>
      <c r="BQ8" s="176">
        <v>4000</v>
      </c>
      <c r="BR8" s="176">
        <v>4000</v>
      </c>
      <c r="BS8" s="176">
        <v>4000</v>
      </c>
      <c r="BT8" s="176">
        <v>4000</v>
      </c>
      <c r="BU8" s="176">
        <v>4000</v>
      </c>
      <c r="BV8" s="176">
        <v>4000</v>
      </c>
      <c r="BW8" s="176">
        <v>4000</v>
      </c>
      <c r="BX8" s="176">
        <v>4000</v>
      </c>
      <c r="BY8" s="176">
        <v>4000</v>
      </c>
      <c r="BZ8" s="176">
        <v>4000</v>
      </c>
      <c r="CA8" s="176">
        <v>4000</v>
      </c>
      <c r="CB8" s="176">
        <v>4000</v>
      </c>
      <c r="CC8" s="176">
        <v>4000</v>
      </c>
      <c r="CD8" s="176">
        <v>4000</v>
      </c>
      <c r="CE8" s="176">
        <v>4000</v>
      </c>
      <c r="CF8" s="176">
        <v>4000</v>
      </c>
      <c r="CG8" s="176">
        <v>4000</v>
      </c>
      <c r="CH8" s="176">
        <v>4000</v>
      </c>
      <c r="CI8" s="176">
        <v>4000</v>
      </c>
      <c r="CJ8" s="176">
        <v>4000</v>
      </c>
      <c r="CK8" s="176">
        <v>4000</v>
      </c>
      <c r="CL8" s="176">
        <v>4000</v>
      </c>
      <c r="CM8" s="176">
        <v>4000</v>
      </c>
      <c r="CN8" s="176">
        <v>4000</v>
      </c>
      <c r="CO8" s="176">
        <v>4000</v>
      </c>
      <c r="CP8" s="176">
        <v>4000</v>
      </c>
      <c r="CQ8" s="176">
        <v>4000</v>
      </c>
      <c r="CR8" s="176">
        <v>4000</v>
      </c>
      <c r="CS8" s="176">
        <v>4000</v>
      </c>
      <c r="CT8" s="176">
        <v>4000</v>
      </c>
      <c r="CU8" s="176">
        <v>4000</v>
      </c>
      <c r="CV8" s="176">
        <v>4000</v>
      </c>
      <c r="CW8" s="176">
        <v>4000</v>
      </c>
      <c r="CX8" s="176">
        <v>4000</v>
      </c>
      <c r="CY8" s="176">
        <v>4000</v>
      </c>
      <c r="CZ8" s="176">
        <v>4000</v>
      </c>
      <c r="DA8" s="176">
        <v>4000</v>
      </c>
      <c r="DB8" s="176">
        <v>4000</v>
      </c>
      <c r="DC8" s="176">
        <v>4000</v>
      </c>
      <c r="DD8" s="176">
        <v>4000</v>
      </c>
      <c r="DE8" s="176">
        <v>4000</v>
      </c>
      <c r="DF8" s="176">
        <v>4000</v>
      </c>
      <c r="DG8" s="176">
        <v>4000</v>
      </c>
      <c r="DH8" s="176">
        <v>4000</v>
      </c>
      <c r="DI8" s="176">
        <v>4000</v>
      </c>
      <c r="DJ8" s="176">
        <v>4000</v>
      </c>
      <c r="DK8" s="176">
        <v>4000</v>
      </c>
      <c r="DL8" s="176">
        <v>4000</v>
      </c>
      <c r="DM8" s="176">
        <v>4000</v>
      </c>
      <c r="DN8" s="176">
        <v>4000</v>
      </c>
      <c r="DO8" s="176">
        <v>4000</v>
      </c>
      <c r="DP8" s="176">
        <v>4000</v>
      </c>
      <c r="DQ8" s="176">
        <v>4000</v>
      </c>
      <c r="DR8" s="176">
        <v>4000</v>
      </c>
      <c r="DS8" s="176">
        <v>4000</v>
      </c>
      <c r="DT8" s="176">
        <v>4000</v>
      </c>
      <c r="DU8" s="176">
        <v>4000</v>
      </c>
      <c r="DV8" s="176">
        <v>4000</v>
      </c>
      <c r="DW8" s="176">
        <v>4000</v>
      </c>
      <c r="DX8" s="176">
        <v>4000</v>
      </c>
      <c r="DY8" s="176">
        <v>4000</v>
      </c>
      <c r="DZ8" s="176">
        <v>4000</v>
      </c>
      <c r="EA8" s="176">
        <v>4000</v>
      </c>
      <c r="EB8" s="176">
        <v>4000</v>
      </c>
      <c r="EC8" s="176">
        <v>4000</v>
      </c>
      <c r="ED8" s="176">
        <v>4000</v>
      </c>
      <c r="EE8" s="176">
        <v>4000</v>
      </c>
      <c r="EF8" s="176">
        <v>4000</v>
      </c>
      <c r="EG8" s="176">
        <v>4000</v>
      </c>
      <c r="EH8" s="176">
        <v>4000</v>
      </c>
      <c r="EI8" s="176">
        <v>4000</v>
      </c>
      <c r="EJ8" s="176">
        <v>4000</v>
      </c>
      <c r="EK8" s="176">
        <v>4000</v>
      </c>
      <c r="EL8" s="176">
        <v>4000</v>
      </c>
      <c r="EM8" s="176">
        <v>4000</v>
      </c>
      <c r="EN8" s="176">
        <v>4000</v>
      </c>
      <c r="EO8" s="176">
        <v>4000</v>
      </c>
      <c r="EP8" t="str">
        <f t="shared" si="0"/>
        <v>0y 128d</v>
      </c>
      <c r="ES8" s="72"/>
      <c r="ET8" s="73" t="s">
        <v>116</v>
      </c>
      <c r="EU8" s="68" t="str">
        <f>EO103</f>
        <v>y10 d220</v>
      </c>
      <c r="EV8" s="72"/>
      <c r="EW8" s="72"/>
      <c r="EX8" s="72"/>
    </row>
    <row r="9" spans="2:154" ht="15" customHeight="1" x14ac:dyDescent="0.25">
      <c r="B9" s="9">
        <v>6</v>
      </c>
      <c r="D9">
        <v>460177.22986087151</v>
      </c>
      <c r="E9" s="12">
        <v>-12940893546.027786</v>
      </c>
      <c r="F9" s="12">
        <v>-4181976711.926374</v>
      </c>
      <c r="G9" s="12">
        <v>0</v>
      </c>
      <c r="H9" s="12">
        <v>955918.76917848317</v>
      </c>
      <c r="I9" s="12">
        <v>19429863860.077866</v>
      </c>
      <c r="J9" s="12">
        <v>-9722334940.2874546</v>
      </c>
      <c r="K9" s="12">
        <v>-6999588.0891197426</v>
      </c>
      <c r="L9" s="12">
        <v>229067.91247136044</v>
      </c>
      <c r="M9" s="12">
        <v>-12059691316.099094</v>
      </c>
      <c r="N9" s="12">
        <v>-6285943556.8193922</v>
      </c>
      <c r="O9" s="12">
        <v>7963248.4250862598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G9" s="8">
        <v>0</v>
      </c>
      <c r="AH9" s="8">
        <v>0</v>
      </c>
      <c r="AI9" s="8">
        <v>0</v>
      </c>
      <c r="AS9" s="31">
        <v>2937213.3454897031</v>
      </c>
      <c r="AT9" s="176">
        <v>4000</v>
      </c>
      <c r="AU9" s="176">
        <v>4000</v>
      </c>
      <c r="AV9" s="176">
        <v>4000</v>
      </c>
      <c r="AW9" s="176">
        <v>4000</v>
      </c>
      <c r="AX9" s="176">
        <v>4000</v>
      </c>
      <c r="AY9" s="176">
        <v>4000</v>
      </c>
      <c r="AZ9" s="176">
        <v>4000</v>
      </c>
      <c r="BA9" s="176">
        <v>4000</v>
      </c>
      <c r="BB9" s="176">
        <v>4000</v>
      </c>
      <c r="BC9" s="176">
        <v>4000</v>
      </c>
      <c r="BD9" s="176">
        <v>4000</v>
      </c>
      <c r="BE9" s="176">
        <v>4000</v>
      </c>
      <c r="BF9" s="176">
        <v>4000</v>
      </c>
      <c r="BG9" s="176">
        <v>4000</v>
      </c>
      <c r="BH9" s="176">
        <v>4000</v>
      </c>
      <c r="BI9" s="176">
        <v>4000</v>
      </c>
      <c r="BJ9" s="176">
        <v>4000</v>
      </c>
      <c r="BK9" s="176">
        <v>4000</v>
      </c>
      <c r="BL9" s="176">
        <v>4000</v>
      </c>
      <c r="BM9" s="176">
        <v>4000</v>
      </c>
      <c r="BN9" s="176">
        <v>4000</v>
      </c>
      <c r="BO9" s="176">
        <v>4000</v>
      </c>
      <c r="BP9" s="176">
        <v>4000</v>
      </c>
      <c r="BQ9" s="176">
        <v>4000</v>
      </c>
      <c r="BR9" s="176">
        <v>4000</v>
      </c>
      <c r="BS9" s="176">
        <v>4000</v>
      </c>
      <c r="BT9" s="176">
        <v>4000</v>
      </c>
      <c r="BU9" s="176">
        <v>4000</v>
      </c>
      <c r="BV9" s="176">
        <v>4000</v>
      </c>
      <c r="BW9" s="176">
        <v>4000</v>
      </c>
      <c r="BX9" s="176">
        <v>4000</v>
      </c>
      <c r="BY9" s="176">
        <v>4000</v>
      </c>
      <c r="BZ9" s="176">
        <v>4000</v>
      </c>
      <c r="CA9" s="176">
        <v>4000</v>
      </c>
      <c r="CB9" s="176">
        <v>4000</v>
      </c>
      <c r="CC9" s="176">
        <v>4000</v>
      </c>
      <c r="CD9" s="176">
        <v>4000</v>
      </c>
      <c r="CE9" s="176">
        <v>4000</v>
      </c>
      <c r="CF9" s="176">
        <v>4000</v>
      </c>
      <c r="CG9" s="176">
        <v>4000</v>
      </c>
      <c r="CH9" s="176">
        <v>4000</v>
      </c>
      <c r="CI9" s="176">
        <v>4000</v>
      </c>
      <c r="CJ9" s="176">
        <v>4000</v>
      </c>
      <c r="CK9" s="176">
        <v>4000</v>
      </c>
      <c r="CL9" s="176">
        <v>4000</v>
      </c>
      <c r="CM9" s="176">
        <v>4000</v>
      </c>
      <c r="CN9" s="176">
        <v>4000</v>
      </c>
      <c r="CO9" s="176">
        <v>4000</v>
      </c>
      <c r="CP9" s="176">
        <v>4000</v>
      </c>
      <c r="CQ9" s="176">
        <v>4000</v>
      </c>
      <c r="CR9" s="176">
        <v>4000</v>
      </c>
      <c r="CS9" s="176">
        <v>4000</v>
      </c>
      <c r="CT9" s="176">
        <v>4000</v>
      </c>
      <c r="CU9" s="176">
        <v>4000</v>
      </c>
      <c r="CV9" s="176">
        <v>4000</v>
      </c>
      <c r="CW9" s="176">
        <v>4000</v>
      </c>
      <c r="CX9" s="176">
        <v>4000</v>
      </c>
      <c r="CY9" s="176">
        <v>4000</v>
      </c>
      <c r="CZ9" s="176">
        <v>4000</v>
      </c>
      <c r="DA9" s="176">
        <v>4000</v>
      </c>
      <c r="DB9" s="176">
        <v>4000</v>
      </c>
      <c r="DC9" s="176">
        <v>4000</v>
      </c>
      <c r="DD9" s="176">
        <v>4000</v>
      </c>
      <c r="DE9" s="176">
        <v>4000</v>
      </c>
      <c r="DF9" s="176">
        <v>4000</v>
      </c>
      <c r="DG9" s="176">
        <v>4000</v>
      </c>
      <c r="DH9" s="176">
        <v>4000</v>
      </c>
      <c r="DI9" s="176">
        <v>4000</v>
      </c>
      <c r="DJ9" s="176">
        <v>4000</v>
      </c>
      <c r="DK9" s="176">
        <v>4000</v>
      </c>
      <c r="DL9" s="176">
        <v>4000</v>
      </c>
      <c r="DM9" s="176">
        <v>4000</v>
      </c>
      <c r="DN9" s="176">
        <v>4000</v>
      </c>
      <c r="DO9" s="176">
        <v>4000</v>
      </c>
      <c r="DP9" s="176">
        <v>4000</v>
      </c>
      <c r="DQ9" s="176">
        <v>4000</v>
      </c>
      <c r="DR9" s="176">
        <v>4000</v>
      </c>
      <c r="DS9" s="176">
        <v>4000</v>
      </c>
      <c r="DT9" s="176">
        <v>4000</v>
      </c>
      <c r="DU9" s="176">
        <v>4000</v>
      </c>
      <c r="DV9" s="176">
        <v>4000</v>
      </c>
      <c r="DW9" s="176">
        <v>4000</v>
      </c>
      <c r="DX9" s="176">
        <v>3985.0366675150544</v>
      </c>
      <c r="DY9" s="176">
        <v>3848.0666714466897</v>
      </c>
      <c r="DZ9" s="176">
        <v>3785.8918440243474</v>
      </c>
      <c r="EA9" s="176">
        <v>3802.3656847179464</v>
      </c>
      <c r="EB9" s="176">
        <v>3901.1170824207911</v>
      </c>
      <c r="EC9" s="176">
        <v>4000</v>
      </c>
      <c r="ED9" s="176">
        <v>4000</v>
      </c>
      <c r="EE9" s="176">
        <v>4000</v>
      </c>
      <c r="EF9" s="176">
        <v>4000</v>
      </c>
      <c r="EG9" s="176">
        <v>4000</v>
      </c>
      <c r="EH9" s="176">
        <v>4000</v>
      </c>
      <c r="EI9" s="176">
        <v>4000</v>
      </c>
      <c r="EJ9" s="176">
        <v>4000</v>
      </c>
      <c r="EK9" s="176">
        <v>4000</v>
      </c>
      <c r="EL9" s="176">
        <v>4000</v>
      </c>
      <c r="EM9" s="176">
        <v>4000</v>
      </c>
      <c r="EN9" s="176">
        <v>4000</v>
      </c>
      <c r="EO9" s="176">
        <v>4000</v>
      </c>
      <c r="EP9" t="str">
        <f t="shared" si="0"/>
        <v>0y 136d</v>
      </c>
      <c r="ET9" s="73" t="s">
        <v>114</v>
      </c>
      <c r="EU9" s="68" t="str">
        <f>EP3</f>
        <v>0y 86d</v>
      </c>
    </row>
    <row r="10" spans="2:154" ht="15" customHeight="1" x14ac:dyDescent="0.25">
      <c r="B10" s="9">
        <v>7</v>
      </c>
      <c r="D10">
        <v>552212.67583304411</v>
      </c>
      <c r="E10" s="12">
        <v>-12652769158.279301</v>
      </c>
      <c r="F10" s="12">
        <v>-4986289965.0957174</v>
      </c>
      <c r="G10" s="12">
        <v>0</v>
      </c>
      <c r="H10" s="12">
        <v>1146229.7528194091</v>
      </c>
      <c r="I10" s="12">
        <v>19979295399.289898</v>
      </c>
      <c r="J10" s="12">
        <v>-8473512736.6720743</v>
      </c>
      <c r="K10" s="12">
        <v>-8335629.0304769883</v>
      </c>
      <c r="L10" s="12">
        <v>274947.82743411732</v>
      </c>
      <c r="M10" s="12">
        <v>-11843211649.661331</v>
      </c>
      <c r="N10" s="12">
        <v>-6702162172.0267305</v>
      </c>
      <c r="O10" s="12">
        <v>9541002.774078792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G10" s="8">
        <v>17042470100.718088</v>
      </c>
      <c r="AH10" s="8">
        <v>12032433380.456007</v>
      </c>
      <c r="AI10" s="8">
        <v>-21496212.849759966</v>
      </c>
      <c r="AS10" s="31">
        <v>3116082.1069137556</v>
      </c>
      <c r="AT10" s="176">
        <v>4000</v>
      </c>
      <c r="AU10" s="176">
        <v>4000</v>
      </c>
      <c r="AV10" s="176">
        <v>4000</v>
      </c>
      <c r="AW10" s="176">
        <v>4000</v>
      </c>
      <c r="AX10" s="176">
        <v>4000</v>
      </c>
      <c r="AY10" s="176">
        <v>4000</v>
      </c>
      <c r="AZ10" s="176">
        <v>4000</v>
      </c>
      <c r="BA10" s="176">
        <v>4000</v>
      </c>
      <c r="BB10" s="176">
        <v>4000</v>
      </c>
      <c r="BC10" s="176">
        <v>4000</v>
      </c>
      <c r="BD10" s="176">
        <v>4000</v>
      </c>
      <c r="BE10" s="176">
        <v>4000</v>
      </c>
      <c r="BF10" s="176">
        <v>4000</v>
      </c>
      <c r="BG10" s="176">
        <v>4000</v>
      </c>
      <c r="BH10" s="176">
        <v>4000</v>
      </c>
      <c r="BI10" s="176">
        <v>4000</v>
      </c>
      <c r="BJ10" s="176">
        <v>4000</v>
      </c>
      <c r="BK10" s="176">
        <v>4000</v>
      </c>
      <c r="BL10" s="176">
        <v>4000</v>
      </c>
      <c r="BM10" s="176">
        <v>4000</v>
      </c>
      <c r="BN10" s="176">
        <v>4000</v>
      </c>
      <c r="BO10" s="176">
        <v>4000</v>
      </c>
      <c r="BP10" s="176">
        <v>4000</v>
      </c>
      <c r="BQ10" s="176">
        <v>4000</v>
      </c>
      <c r="BR10" s="176">
        <v>4000</v>
      </c>
      <c r="BS10" s="176">
        <v>4000</v>
      </c>
      <c r="BT10" s="176">
        <v>4000</v>
      </c>
      <c r="BU10" s="176">
        <v>4000</v>
      </c>
      <c r="BV10" s="176">
        <v>4000</v>
      </c>
      <c r="BW10" s="176">
        <v>4000</v>
      </c>
      <c r="BX10" s="176">
        <v>4000</v>
      </c>
      <c r="BY10" s="176">
        <v>4000</v>
      </c>
      <c r="BZ10" s="176">
        <v>4000</v>
      </c>
      <c r="CA10" s="176">
        <v>4000</v>
      </c>
      <c r="CB10" s="176">
        <v>4000</v>
      </c>
      <c r="CC10" s="176">
        <v>4000</v>
      </c>
      <c r="CD10" s="176">
        <v>4000</v>
      </c>
      <c r="CE10" s="176">
        <v>4000</v>
      </c>
      <c r="CF10" s="176">
        <v>4000</v>
      </c>
      <c r="CG10" s="176">
        <v>4000</v>
      </c>
      <c r="CH10" s="176">
        <v>4000</v>
      </c>
      <c r="CI10" s="176">
        <v>4000</v>
      </c>
      <c r="CJ10" s="176">
        <v>4000</v>
      </c>
      <c r="CK10" s="176">
        <v>4000</v>
      </c>
      <c r="CL10" s="176">
        <v>4000</v>
      </c>
      <c r="CM10" s="176">
        <v>4000</v>
      </c>
      <c r="CN10" s="176">
        <v>4000</v>
      </c>
      <c r="CO10" s="176">
        <v>4000</v>
      </c>
      <c r="CP10" s="176">
        <v>4000</v>
      </c>
      <c r="CQ10" s="176">
        <v>4000</v>
      </c>
      <c r="CR10" s="176">
        <v>4000</v>
      </c>
      <c r="CS10" s="176">
        <v>4000</v>
      </c>
      <c r="CT10" s="176">
        <v>4000</v>
      </c>
      <c r="CU10" s="176">
        <v>4000</v>
      </c>
      <c r="CV10" s="176">
        <v>4000</v>
      </c>
      <c r="CW10" s="176">
        <v>4000</v>
      </c>
      <c r="CX10" s="176">
        <v>4000</v>
      </c>
      <c r="CY10" s="176">
        <v>4000</v>
      </c>
      <c r="CZ10" s="176">
        <v>4000</v>
      </c>
      <c r="DA10" s="176">
        <v>4000</v>
      </c>
      <c r="DB10" s="176">
        <v>4000</v>
      </c>
      <c r="DC10" s="176">
        <v>4000</v>
      </c>
      <c r="DD10" s="176">
        <v>4000</v>
      </c>
      <c r="DE10" s="176">
        <v>4000</v>
      </c>
      <c r="DF10" s="176">
        <v>4000</v>
      </c>
      <c r="DG10" s="176">
        <v>4000</v>
      </c>
      <c r="DH10" s="176">
        <v>4000</v>
      </c>
      <c r="DI10" s="176">
        <v>4000</v>
      </c>
      <c r="DJ10" s="176">
        <v>4000</v>
      </c>
      <c r="DK10" s="176">
        <v>4000</v>
      </c>
      <c r="DL10" s="176">
        <v>4000</v>
      </c>
      <c r="DM10" s="176">
        <v>4000</v>
      </c>
      <c r="DN10" s="176">
        <v>4000</v>
      </c>
      <c r="DO10" s="176">
        <v>4000</v>
      </c>
      <c r="DP10" s="176">
        <v>4000</v>
      </c>
      <c r="DQ10" s="176">
        <v>4000</v>
      </c>
      <c r="DR10" s="176">
        <v>4000</v>
      </c>
      <c r="DS10" s="176">
        <v>4000</v>
      </c>
      <c r="DT10" s="176">
        <v>4000</v>
      </c>
      <c r="DU10" s="176">
        <v>4000</v>
      </c>
      <c r="DV10" s="176">
        <v>4000</v>
      </c>
      <c r="DW10" s="176">
        <v>3833.312424156501</v>
      </c>
      <c r="DX10" s="176">
        <v>3662.9837039656513</v>
      </c>
      <c r="DY10" s="176">
        <v>3557.8461120285474</v>
      </c>
      <c r="DZ10" s="176">
        <v>3522.5197463464015</v>
      </c>
      <c r="EA10" s="176">
        <v>3561.0342657026094</v>
      </c>
      <c r="EB10" s="176">
        <v>3677.3577578990353</v>
      </c>
      <c r="EC10" s="176">
        <v>3875.2625268837082</v>
      </c>
      <c r="ED10" s="176">
        <v>4000</v>
      </c>
      <c r="EE10" s="176">
        <v>4000</v>
      </c>
      <c r="EF10" s="176">
        <v>4000</v>
      </c>
      <c r="EG10" s="176">
        <v>4000</v>
      </c>
      <c r="EH10" s="176">
        <v>4000</v>
      </c>
      <c r="EI10" s="176">
        <v>4000</v>
      </c>
      <c r="EJ10" s="176">
        <v>4000</v>
      </c>
      <c r="EK10" s="176">
        <v>4000</v>
      </c>
      <c r="EL10" s="176">
        <v>4000</v>
      </c>
      <c r="EM10" s="176">
        <v>4000</v>
      </c>
      <c r="EN10" s="176">
        <v>4000</v>
      </c>
      <c r="EO10" s="176">
        <v>4000</v>
      </c>
      <c r="EP10" t="str">
        <f t="shared" si="0"/>
        <v>0y 144d</v>
      </c>
      <c r="ET10" s="73" t="s">
        <v>115</v>
      </c>
      <c r="EU10" s="68" t="str">
        <f>EP102</f>
        <v>2y 54d</v>
      </c>
    </row>
    <row r="11" spans="2:154" ht="15" customHeight="1" x14ac:dyDescent="0.25">
      <c r="B11" s="9">
        <v>8</v>
      </c>
      <c r="D11">
        <v>644248.12180521735</v>
      </c>
      <c r="E11" s="12">
        <v>-12314710071.163467</v>
      </c>
      <c r="F11" s="12">
        <v>-5770924609.7920256</v>
      </c>
      <c r="G11" s="12">
        <v>0</v>
      </c>
      <c r="H11" s="12">
        <v>1336071.8666232915</v>
      </c>
      <c r="I11" s="12">
        <v>20444707294.927418</v>
      </c>
      <c r="J11" s="12">
        <v>-7192706133.0209589</v>
      </c>
      <c r="K11" s="12">
        <v>-9633889.9408782553</v>
      </c>
      <c r="L11" s="12">
        <v>320894.76005947863</v>
      </c>
      <c r="M11" s="12">
        <v>-11614794230.309982</v>
      </c>
      <c r="N11" s="12">
        <v>-7112411986.5108585</v>
      </c>
      <c r="O11" s="12">
        <v>11111699.1499431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G11" s="8"/>
      <c r="AH11" s="8"/>
      <c r="AI11" s="8"/>
      <c r="AS11" s="31">
        <v>3294950.8683378082</v>
      </c>
      <c r="AT11" s="176">
        <v>4000</v>
      </c>
      <c r="AU11" s="176">
        <v>4000</v>
      </c>
      <c r="AV11" s="176">
        <v>4000</v>
      </c>
      <c r="AW11" s="176">
        <v>4000</v>
      </c>
      <c r="AX11" s="176">
        <v>4000</v>
      </c>
      <c r="AY11" s="176">
        <v>4000</v>
      </c>
      <c r="AZ11" s="176">
        <v>4000</v>
      </c>
      <c r="BA11" s="176">
        <v>4000</v>
      </c>
      <c r="BB11" s="176">
        <v>4000</v>
      </c>
      <c r="BC11" s="176">
        <v>4000</v>
      </c>
      <c r="BD11" s="176">
        <v>4000</v>
      </c>
      <c r="BE11" s="176">
        <v>4000</v>
      </c>
      <c r="BF11" s="176">
        <v>4000</v>
      </c>
      <c r="BG11" s="176">
        <v>4000</v>
      </c>
      <c r="BH11" s="176">
        <v>4000</v>
      </c>
      <c r="BI11" s="176">
        <v>4000</v>
      </c>
      <c r="BJ11" s="176">
        <v>4000</v>
      </c>
      <c r="BK11" s="176">
        <v>4000</v>
      </c>
      <c r="BL11" s="176">
        <v>4000</v>
      </c>
      <c r="BM11" s="176">
        <v>4000</v>
      </c>
      <c r="BN11" s="176">
        <v>4000</v>
      </c>
      <c r="BO11" s="176">
        <v>4000</v>
      </c>
      <c r="BP11" s="176">
        <v>4000</v>
      </c>
      <c r="BQ11" s="176">
        <v>4000</v>
      </c>
      <c r="BR11" s="176">
        <v>4000</v>
      </c>
      <c r="BS11" s="176">
        <v>4000</v>
      </c>
      <c r="BT11" s="176">
        <v>4000</v>
      </c>
      <c r="BU11" s="176">
        <v>4000</v>
      </c>
      <c r="BV11" s="176">
        <v>4000</v>
      </c>
      <c r="BW11" s="176">
        <v>4000</v>
      </c>
      <c r="BX11" s="176">
        <v>4000</v>
      </c>
      <c r="BY11" s="176">
        <v>4000</v>
      </c>
      <c r="BZ11" s="176">
        <v>4000</v>
      </c>
      <c r="CA11" s="176">
        <v>4000</v>
      </c>
      <c r="CB11" s="176">
        <v>4000</v>
      </c>
      <c r="CC11" s="176">
        <v>4000</v>
      </c>
      <c r="CD11" s="176">
        <v>4000</v>
      </c>
      <c r="CE11" s="176">
        <v>4000</v>
      </c>
      <c r="CF11" s="176">
        <v>4000</v>
      </c>
      <c r="CG11" s="176">
        <v>4000</v>
      </c>
      <c r="CH11" s="176">
        <v>4000</v>
      </c>
      <c r="CI11" s="176">
        <v>4000</v>
      </c>
      <c r="CJ11" s="176">
        <v>4000</v>
      </c>
      <c r="CK11" s="176">
        <v>4000</v>
      </c>
      <c r="CL11" s="176">
        <v>4000</v>
      </c>
      <c r="CM11" s="176">
        <v>4000</v>
      </c>
      <c r="CN11" s="176">
        <v>4000</v>
      </c>
      <c r="CO11" s="176">
        <v>4000</v>
      </c>
      <c r="CP11" s="176">
        <v>4000</v>
      </c>
      <c r="CQ11" s="176">
        <v>4000</v>
      </c>
      <c r="CR11" s="176">
        <v>4000</v>
      </c>
      <c r="CS11" s="176">
        <v>4000</v>
      </c>
      <c r="CT11" s="176">
        <v>4000</v>
      </c>
      <c r="CU11" s="176">
        <v>4000</v>
      </c>
      <c r="CV11" s="176">
        <v>4000</v>
      </c>
      <c r="CW11" s="176">
        <v>4000</v>
      </c>
      <c r="CX11" s="176">
        <v>4000</v>
      </c>
      <c r="CY11" s="176">
        <v>4000</v>
      </c>
      <c r="CZ11" s="176">
        <v>4000</v>
      </c>
      <c r="DA11" s="176">
        <v>4000</v>
      </c>
      <c r="DB11" s="176">
        <v>4000</v>
      </c>
      <c r="DC11" s="176">
        <v>4000</v>
      </c>
      <c r="DD11" s="176">
        <v>4000</v>
      </c>
      <c r="DE11" s="176">
        <v>4000</v>
      </c>
      <c r="DF11" s="176">
        <v>4000</v>
      </c>
      <c r="DG11" s="176">
        <v>4000</v>
      </c>
      <c r="DH11" s="176">
        <v>4000</v>
      </c>
      <c r="DI11" s="176">
        <v>4000</v>
      </c>
      <c r="DJ11" s="176">
        <v>4000</v>
      </c>
      <c r="DK11" s="176">
        <v>4000</v>
      </c>
      <c r="DL11" s="176">
        <v>4000</v>
      </c>
      <c r="DM11" s="176">
        <v>4000</v>
      </c>
      <c r="DN11" s="176">
        <v>4000</v>
      </c>
      <c r="DO11" s="176">
        <v>4000</v>
      </c>
      <c r="DP11" s="176">
        <v>4000</v>
      </c>
      <c r="DQ11" s="176">
        <v>4000</v>
      </c>
      <c r="DR11" s="176">
        <v>4000</v>
      </c>
      <c r="DS11" s="176">
        <v>4000</v>
      </c>
      <c r="DT11" s="176">
        <v>4000</v>
      </c>
      <c r="DU11" s="176">
        <v>3964.5395871394726</v>
      </c>
      <c r="DV11" s="176">
        <v>3720.9159121315615</v>
      </c>
      <c r="DW11" s="176">
        <v>3526.5349956586306</v>
      </c>
      <c r="DX11" s="176">
        <v>3387.8776970315475</v>
      </c>
      <c r="DY11" s="176">
        <v>3310.2979081042904</v>
      </c>
      <c r="DZ11" s="176">
        <v>3298.3382041934938</v>
      </c>
      <c r="EA11" s="176">
        <v>3356.2320876267131</v>
      </c>
      <c r="EB11" s="176">
        <v>3488.1668530928982</v>
      </c>
      <c r="EC11" s="176">
        <v>3697.8373051938506</v>
      </c>
      <c r="ED11" s="176">
        <v>3987.210165003049</v>
      </c>
      <c r="EE11" s="176">
        <v>4000</v>
      </c>
      <c r="EF11" s="176">
        <v>4000</v>
      </c>
      <c r="EG11" s="176">
        <v>4000</v>
      </c>
      <c r="EH11" s="176">
        <v>4000</v>
      </c>
      <c r="EI11" s="176">
        <v>4000</v>
      </c>
      <c r="EJ11" s="176">
        <v>4000</v>
      </c>
      <c r="EK11" s="176">
        <v>4000</v>
      </c>
      <c r="EL11" s="176">
        <v>4000</v>
      </c>
      <c r="EM11" s="176">
        <v>4000</v>
      </c>
      <c r="EN11" s="176">
        <v>4000</v>
      </c>
      <c r="EO11" s="176">
        <v>4000</v>
      </c>
      <c r="EP11" t="str">
        <f t="shared" si="0"/>
        <v>0y 153d</v>
      </c>
      <c r="EU11" s="68"/>
    </row>
    <row r="12" spans="2:154" x14ac:dyDescent="0.25">
      <c r="B12" s="9">
        <v>9</v>
      </c>
      <c r="D12">
        <v>736283.56777739059</v>
      </c>
      <c r="E12" s="12">
        <v>-11928050449.452618</v>
      </c>
      <c r="F12" s="12">
        <v>-6532784051.5381632</v>
      </c>
      <c r="G12" s="12">
        <v>0</v>
      </c>
      <c r="H12" s="12">
        <v>1525373.5223848289</v>
      </c>
      <c r="I12" s="12">
        <v>20824330948.100452</v>
      </c>
      <c r="J12" s="12">
        <v>-5885829173.11901</v>
      </c>
      <c r="K12" s="12">
        <v>-10888655.400680959</v>
      </c>
      <c r="L12" s="12">
        <v>366928.02781692985</v>
      </c>
      <c r="M12" s="12">
        <v>-11374538333.552723</v>
      </c>
      <c r="N12" s="12">
        <v>-7516446021.5380173</v>
      </c>
      <c r="O12" s="12">
        <v>12674431.534213383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G12" s="208" t="s">
        <v>36</v>
      </c>
      <c r="AH12" s="208"/>
      <c r="AI12" s="208"/>
      <c r="AS12" s="31">
        <v>3473819.6297618607</v>
      </c>
      <c r="AT12" s="176">
        <v>4000</v>
      </c>
      <c r="AU12" s="176">
        <v>4000</v>
      </c>
      <c r="AV12" s="176">
        <v>4000</v>
      </c>
      <c r="AW12" s="176">
        <v>4000</v>
      </c>
      <c r="AX12" s="176">
        <v>4000</v>
      </c>
      <c r="AY12" s="176">
        <v>4000</v>
      </c>
      <c r="AZ12" s="176">
        <v>4000</v>
      </c>
      <c r="BA12" s="176">
        <v>4000</v>
      </c>
      <c r="BB12" s="176">
        <v>4000</v>
      </c>
      <c r="BC12" s="176">
        <v>4000</v>
      </c>
      <c r="BD12" s="176">
        <v>4000</v>
      </c>
      <c r="BE12" s="176">
        <v>4000</v>
      </c>
      <c r="BF12" s="176">
        <v>4000</v>
      </c>
      <c r="BG12" s="176">
        <v>4000</v>
      </c>
      <c r="BH12" s="176">
        <v>4000</v>
      </c>
      <c r="BI12" s="176">
        <v>4000</v>
      </c>
      <c r="BJ12" s="176">
        <v>4000</v>
      </c>
      <c r="BK12" s="176">
        <v>4000</v>
      </c>
      <c r="BL12" s="176">
        <v>4000</v>
      </c>
      <c r="BM12" s="176">
        <v>4000</v>
      </c>
      <c r="BN12" s="176">
        <v>4000</v>
      </c>
      <c r="BO12" s="176">
        <v>4000</v>
      </c>
      <c r="BP12" s="176">
        <v>4000</v>
      </c>
      <c r="BQ12" s="176">
        <v>4000</v>
      </c>
      <c r="BR12" s="176">
        <v>4000</v>
      </c>
      <c r="BS12" s="176">
        <v>4000</v>
      </c>
      <c r="BT12" s="176">
        <v>4000</v>
      </c>
      <c r="BU12" s="176">
        <v>4000</v>
      </c>
      <c r="BV12" s="176">
        <v>4000</v>
      </c>
      <c r="BW12" s="176">
        <v>4000</v>
      </c>
      <c r="BX12" s="176">
        <v>4000</v>
      </c>
      <c r="BY12" s="176">
        <v>4000</v>
      </c>
      <c r="BZ12" s="176">
        <v>4000</v>
      </c>
      <c r="CA12" s="176">
        <v>4000</v>
      </c>
      <c r="CB12" s="176">
        <v>4000</v>
      </c>
      <c r="CC12" s="176">
        <v>4000</v>
      </c>
      <c r="CD12" s="176">
        <v>4000</v>
      </c>
      <c r="CE12" s="176">
        <v>4000</v>
      </c>
      <c r="CF12" s="176">
        <v>4000</v>
      </c>
      <c r="CG12" s="176">
        <v>4000</v>
      </c>
      <c r="CH12" s="176">
        <v>4000</v>
      </c>
      <c r="CI12" s="176">
        <v>4000</v>
      </c>
      <c r="CJ12" s="176">
        <v>4000</v>
      </c>
      <c r="CK12" s="176">
        <v>4000</v>
      </c>
      <c r="CL12" s="176">
        <v>4000</v>
      </c>
      <c r="CM12" s="176">
        <v>4000</v>
      </c>
      <c r="CN12" s="176">
        <v>4000</v>
      </c>
      <c r="CO12" s="176">
        <v>4000</v>
      </c>
      <c r="CP12" s="176">
        <v>4000</v>
      </c>
      <c r="CQ12" s="176">
        <v>4000</v>
      </c>
      <c r="CR12" s="176">
        <v>4000</v>
      </c>
      <c r="CS12" s="176">
        <v>4000</v>
      </c>
      <c r="CT12" s="176">
        <v>4000</v>
      </c>
      <c r="CU12" s="176">
        <v>4000</v>
      </c>
      <c r="CV12" s="176">
        <v>4000</v>
      </c>
      <c r="CW12" s="176">
        <v>4000</v>
      </c>
      <c r="CX12" s="176">
        <v>4000</v>
      </c>
      <c r="CY12" s="176">
        <v>4000</v>
      </c>
      <c r="CZ12" s="176">
        <v>4000</v>
      </c>
      <c r="DA12" s="176">
        <v>4000</v>
      </c>
      <c r="DB12" s="176">
        <v>4000</v>
      </c>
      <c r="DC12" s="176">
        <v>4000</v>
      </c>
      <c r="DD12" s="176">
        <v>4000</v>
      </c>
      <c r="DE12" s="176">
        <v>4000</v>
      </c>
      <c r="DF12" s="176">
        <v>4000</v>
      </c>
      <c r="DG12" s="176">
        <v>4000</v>
      </c>
      <c r="DH12" s="176">
        <v>4000</v>
      </c>
      <c r="DI12" s="176">
        <v>4000</v>
      </c>
      <c r="DJ12" s="176">
        <v>4000</v>
      </c>
      <c r="DK12" s="176">
        <v>4000</v>
      </c>
      <c r="DL12" s="176">
        <v>4000</v>
      </c>
      <c r="DM12" s="176">
        <v>4000</v>
      </c>
      <c r="DN12" s="176">
        <v>4000</v>
      </c>
      <c r="DO12" s="176">
        <v>4000</v>
      </c>
      <c r="DP12" s="176">
        <v>4000</v>
      </c>
      <c r="DQ12" s="176">
        <v>4000</v>
      </c>
      <c r="DR12" s="176">
        <v>4000</v>
      </c>
      <c r="DS12" s="176">
        <v>4000</v>
      </c>
      <c r="DT12" s="176">
        <v>3886.4958563625505</v>
      </c>
      <c r="DU12" s="176">
        <v>3636.4594165611452</v>
      </c>
      <c r="DV12" s="176">
        <v>3426.3311696542814</v>
      </c>
      <c r="DW12" s="176">
        <v>3262.8275206310345</v>
      </c>
      <c r="DX12" s="176">
        <v>3151.8200563173264</v>
      </c>
      <c r="DY12" s="176">
        <v>3098.3687198857633</v>
      </c>
      <c r="DZ12" s="176">
        <v>3107.0285619815377</v>
      </c>
      <c r="EA12" s="176">
        <v>3182.1998972985061</v>
      </c>
      <c r="EB12" s="176">
        <v>3328.1233362447501</v>
      </c>
      <c r="EC12" s="176">
        <v>3548.2040529680935</v>
      </c>
      <c r="ED12" s="176">
        <v>3843.715158223521</v>
      </c>
      <c r="EE12" s="176">
        <v>4000</v>
      </c>
      <c r="EF12" s="176">
        <v>4000</v>
      </c>
      <c r="EG12" s="176">
        <v>4000</v>
      </c>
      <c r="EH12" s="176">
        <v>4000</v>
      </c>
      <c r="EI12" s="176">
        <v>4000</v>
      </c>
      <c r="EJ12" s="176">
        <v>4000</v>
      </c>
      <c r="EK12" s="176">
        <v>4000</v>
      </c>
      <c r="EL12" s="176">
        <v>4000</v>
      </c>
      <c r="EM12" s="176">
        <v>4000</v>
      </c>
      <c r="EN12" s="176">
        <v>4000</v>
      </c>
      <c r="EO12" s="176">
        <v>4000</v>
      </c>
      <c r="EP12" t="str">
        <f t="shared" si="0"/>
        <v>0y 161d</v>
      </c>
    </row>
    <row r="13" spans="2:154" x14ac:dyDescent="0.25">
      <c r="B13" s="9">
        <v>10</v>
      </c>
      <c r="D13">
        <v>828319.01374956453</v>
      </c>
      <c r="E13" s="12">
        <v>-11494316262.025671</v>
      </c>
      <c r="F13" s="12">
        <v>-7268861579.1780176</v>
      </c>
      <c r="G13" s="12">
        <v>0</v>
      </c>
      <c r="H13" s="12">
        <v>1714066.1785085893</v>
      </c>
      <c r="I13" s="12">
        <v>21116847938.329491</v>
      </c>
      <c r="J13" s="12">
        <v>-4558880173.7092543</v>
      </c>
      <c r="K13" s="12">
        <v>-12094477.472338537</v>
      </c>
      <c r="L13" s="12">
        <v>413067.00776858308</v>
      </c>
      <c r="M13" s="12">
        <v>-11122543460.359238</v>
      </c>
      <c r="N13" s="12">
        <v>-7914015106.2346449</v>
      </c>
      <c r="O13" s="12">
        <v>14228286.545368133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G13" s="9" t="s">
        <v>22</v>
      </c>
      <c r="AH13" s="9" t="s">
        <v>23</v>
      </c>
      <c r="AI13" s="9" t="s">
        <v>26</v>
      </c>
      <c r="AS13" s="6">
        <v>3652688.3911859132</v>
      </c>
      <c r="AT13" s="176">
        <v>4000</v>
      </c>
      <c r="AU13" s="176">
        <v>4000</v>
      </c>
      <c r="AV13" s="176">
        <v>4000</v>
      </c>
      <c r="AW13" s="176">
        <v>4000</v>
      </c>
      <c r="AX13" s="176">
        <v>4000</v>
      </c>
      <c r="AY13" s="176">
        <v>4000</v>
      </c>
      <c r="AZ13" s="176">
        <v>4000</v>
      </c>
      <c r="BA13" s="176">
        <v>4000</v>
      </c>
      <c r="BB13" s="176">
        <v>4000</v>
      </c>
      <c r="BC13" s="176">
        <v>4000</v>
      </c>
      <c r="BD13" s="176">
        <v>4000</v>
      </c>
      <c r="BE13" s="176">
        <v>4000</v>
      </c>
      <c r="BF13" s="176">
        <v>4000</v>
      </c>
      <c r="BG13" s="176">
        <v>4000</v>
      </c>
      <c r="BH13" s="176">
        <v>4000</v>
      </c>
      <c r="BI13" s="176">
        <v>4000</v>
      </c>
      <c r="BJ13" s="176">
        <v>4000</v>
      </c>
      <c r="BK13" s="176">
        <v>4000</v>
      </c>
      <c r="BL13" s="176">
        <v>4000</v>
      </c>
      <c r="BM13" s="176">
        <v>4000</v>
      </c>
      <c r="BN13" s="176">
        <v>4000</v>
      </c>
      <c r="BO13" s="176">
        <v>4000</v>
      </c>
      <c r="BP13" s="176">
        <v>4000</v>
      </c>
      <c r="BQ13" s="176">
        <v>4000</v>
      </c>
      <c r="BR13" s="176">
        <v>4000</v>
      </c>
      <c r="BS13" s="176">
        <v>4000</v>
      </c>
      <c r="BT13" s="176">
        <v>4000</v>
      </c>
      <c r="BU13" s="176">
        <v>4000</v>
      </c>
      <c r="BV13" s="176">
        <v>4000</v>
      </c>
      <c r="BW13" s="176">
        <v>4000</v>
      </c>
      <c r="BX13" s="176">
        <v>4000</v>
      </c>
      <c r="BY13" s="176">
        <v>4000</v>
      </c>
      <c r="BZ13" s="176">
        <v>4000</v>
      </c>
      <c r="CA13" s="176">
        <v>4000</v>
      </c>
      <c r="CB13" s="176">
        <v>4000</v>
      </c>
      <c r="CC13" s="176">
        <v>4000</v>
      </c>
      <c r="CD13" s="176">
        <v>4000</v>
      </c>
      <c r="CE13" s="176">
        <v>4000</v>
      </c>
      <c r="CF13" s="176">
        <v>4000</v>
      </c>
      <c r="CG13" s="176">
        <v>4000</v>
      </c>
      <c r="CH13" s="176">
        <v>4000</v>
      </c>
      <c r="CI13" s="176">
        <v>4000</v>
      </c>
      <c r="CJ13" s="176">
        <v>4000</v>
      </c>
      <c r="CK13" s="176">
        <v>4000</v>
      </c>
      <c r="CL13" s="176">
        <v>4000</v>
      </c>
      <c r="CM13" s="176">
        <v>4000</v>
      </c>
      <c r="CN13" s="176">
        <v>4000</v>
      </c>
      <c r="CO13" s="176">
        <v>4000</v>
      </c>
      <c r="CP13" s="176">
        <v>4000</v>
      </c>
      <c r="CQ13" s="176">
        <v>4000</v>
      </c>
      <c r="CR13" s="176">
        <v>4000</v>
      </c>
      <c r="CS13" s="176">
        <v>4000</v>
      </c>
      <c r="CT13" s="176">
        <v>4000</v>
      </c>
      <c r="CU13" s="176">
        <v>4000</v>
      </c>
      <c r="CV13" s="176">
        <v>4000</v>
      </c>
      <c r="CW13" s="176">
        <v>4000</v>
      </c>
      <c r="CX13" s="176">
        <v>4000</v>
      </c>
      <c r="CY13" s="176">
        <v>4000</v>
      </c>
      <c r="CZ13" s="176">
        <v>4000</v>
      </c>
      <c r="DA13" s="176">
        <v>4000</v>
      </c>
      <c r="DB13" s="176">
        <v>4000</v>
      </c>
      <c r="DC13" s="176">
        <v>4000</v>
      </c>
      <c r="DD13" s="176">
        <v>4000</v>
      </c>
      <c r="DE13" s="176">
        <v>4000</v>
      </c>
      <c r="DF13" s="176">
        <v>4000</v>
      </c>
      <c r="DG13" s="176">
        <v>4000</v>
      </c>
      <c r="DH13" s="176">
        <v>4000</v>
      </c>
      <c r="DI13" s="176">
        <v>4000</v>
      </c>
      <c r="DJ13" s="176">
        <v>4000</v>
      </c>
      <c r="DK13" s="176">
        <v>4000</v>
      </c>
      <c r="DL13" s="176">
        <v>4000</v>
      </c>
      <c r="DM13" s="176">
        <v>4000</v>
      </c>
      <c r="DN13" s="176">
        <v>4000</v>
      </c>
      <c r="DO13" s="176">
        <v>4000</v>
      </c>
      <c r="DP13" s="176">
        <v>4000</v>
      </c>
      <c r="DQ13" s="176">
        <v>4000</v>
      </c>
      <c r="DR13" s="176">
        <v>4000</v>
      </c>
      <c r="DS13" s="176">
        <v>3821.2852678364434</v>
      </c>
      <c r="DT13" s="176">
        <v>3570.9561443364637</v>
      </c>
      <c r="DU13" s="176">
        <v>3352.217693674183</v>
      </c>
      <c r="DV13" s="176">
        <v>3171.6431264896446</v>
      </c>
      <c r="DW13" s="176">
        <v>3035.3101077800311</v>
      </c>
      <c r="DX13" s="176">
        <v>2948.6567448401074</v>
      </c>
      <c r="DY13" s="176">
        <v>2916.5721541033872</v>
      </c>
      <c r="DZ13" s="176">
        <v>2943.6511805779628</v>
      </c>
      <c r="EA13" s="176">
        <v>3034.36873377337</v>
      </c>
      <c r="EB13" s="176">
        <v>3192.8487020157436</v>
      </c>
      <c r="EC13" s="176">
        <v>3422.0119762063305</v>
      </c>
      <c r="ED13" s="176">
        <v>3722.3440935612111</v>
      </c>
      <c r="EE13" s="176">
        <v>4000</v>
      </c>
      <c r="EF13" s="176">
        <v>4000</v>
      </c>
      <c r="EG13" s="176">
        <v>4000</v>
      </c>
      <c r="EH13" s="176">
        <v>4000</v>
      </c>
      <c r="EI13" s="176">
        <v>4000</v>
      </c>
      <c r="EJ13" s="176">
        <v>4000</v>
      </c>
      <c r="EK13" s="176">
        <v>4000</v>
      </c>
      <c r="EL13" s="176">
        <v>4000</v>
      </c>
      <c r="EM13" s="176">
        <v>4000</v>
      </c>
      <c r="EN13" s="176">
        <v>4000</v>
      </c>
      <c r="EO13" s="176">
        <v>4000</v>
      </c>
      <c r="EP13" t="str">
        <f t="shared" si="0"/>
        <v>0y 169d</v>
      </c>
    </row>
    <row r="14" spans="2:154" x14ac:dyDescent="0.25">
      <c r="B14" s="9">
        <v>11</v>
      </c>
      <c r="D14">
        <v>920354.45972173719</v>
      </c>
      <c r="E14" s="12">
        <v>-11015219259.566111</v>
      </c>
      <c r="F14" s="12">
        <v>-7976252230.9918194</v>
      </c>
      <c r="G14" s="12">
        <v>0</v>
      </c>
      <c r="H14" s="12">
        <v>1902084.6879687808</v>
      </c>
      <c r="I14" s="12">
        <v>21321391226.824043</v>
      </c>
      <c r="J14" s="12">
        <v>-3217903420.5475593</v>
      </c>
      <c r="K14" s="12">
        <v>-13246205.193363931</v>
      </c>
      <c r="L14" s="12">
        <v>459331.14952051616</v>
      </c>
      <c r="M14" s="12">
        <v>-10858909647.671347</v>
      </c>
      <c r="N14" s="12">
        <v>-8304867501.3021488</v>
      </c>
      <c r="O14" s="12">
        <v>15772341.893638512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G14" s="8">
        <v>0</v>
      </c>
      <c r="AH14" s="8">
        <v>0</v>
      </c>
      <c r="AI14" s="8">
        <v>0</v>
      </c>
      <c r="AS14" s="6">
        <v>3831557.1526099658</v>
      </c>
      <c r="AT14" s="176">
        <v>4000</v>
      </c>
      <c r="AU14" s="176">
        <v>4000</v>
      </c>
      <c r="AV14" s="176">
        <v>4000</v>
      </c>
      <c r="AW14" s="176">
        <v>4000</v>
      </c>
      <c r="AX14" s="176">
        <v>4000</v>
      </c>
      <c r="AY14" s="176">
        <v>4000</v>
      </c>
      <c r="AZ14" s="176">
        <v>4000</v>
      </c>
      <c r="BA14" s="176">
        <v>4000</v>
      </c>
      <c r="BB14" s="176">
        <v>4000</v>
      </c>
      <c r="BC14" s="176">
        <v>4000</v>
      </c>
      <c r="BD14" s="176">
        <v>4000</v>
      </c>
      <c r="BE14" s="176">
        <v>4000</v>
      </c>
      <c r="BF14" s="176">
        <v>4000</v>
      </c>
      <c r="BG14" s="176">
        <v>4000</v>
      </c>
      <c r="BH14" s="176">
        <v>4000</v>
      </c>
      <c r="BI14" s="176">
        <v>4000</v>
      </c>
      <c r="BJ14" s="176">
        <v>4000</v>
      </c>
      <c r="BK14" s="176">
        <v>4000</v>
      </c>
      <c r="BL14" s="176">
        <v>4000</v>
      </c>
      <c r="BM14" s="176">
        <v>4000</v>
      </c>
      <c r="BN14" s="176">
        <v>4000</v>
      </c>
      <c r="BO14" s="176">
        <v>4000</v>
      </c>
      <c r="BP14" s="176">
        <v>4000</v>
      </c>
      <c r="BQ14" s="176">
        <v>4000</v>
      </c>
      <c r="BR14" s="176">
        <v>4000</v>
      </c>
      <c r="BS14" s="176">
        <v>4000</v>
      </c>
      <c r="BT14" s="176">
        <v>4000</v>
      </c>
      <c r="BU14" s="176">
        <v>4000</v>
      </c>
      <c r="BV14" s="176">
        <v>4000</v>
      </c>
      <c r="BW14" s="176">
        <v>4000</v>
      </c>
      <c r="BX14" s="176">
        <v>4000</v>
      </c>
      <c r="BY14" s="176">
        <v>4000</v>
      </c>
      <c r="BZ14" s="176">
        <v>4000</v>
      </c>
      <c r="CA14" s="176">
        <v>4000</v>
      </c>
      <c r="CB14" s="176">
        <v>4000</v>
      </c>
      <c r="CC14" s="176">
        <v>4000</v>
      </c>
      <c r="CD14" s="176">
        <v>4000</v>
      </c>
      <c r="CE14" s="176">
        <v>4000</v>
      </c>
      <c r="CF14" s="176">
        <v>4000</v>
      </c>
      <c r="CG14" s="176">
        <v>4000</v>
      </c>
      <c r="CH14" s="176">
        <v>4000</v>
      </c>
      <c r="CI14" s="176">
        <v>4000</v>
      </c>
      <c r="CJ14" s="176">
        <v>4000</v>
      </c>
      <c r="CK14" s="176">
        <v>4000</v>
      </c>
      <c r="CL14" s="176">
        <v>4000</v>
      </c>
      <c r="CM14" s="176">
        <v>4000</v>
      </c>
      <c r="CN14" s="176">
        <v>4000</v>
      </c>
      <c r="CO14" s="176">
        <v>4000</v>
      </c>
      <c r="CP14" s="176">
        <v>4000</v>
      </c>
      <c r="CQ14" s="176">
        <v>4000</v>
      </c>
      <c r="CR14" s="176">
        <v>4000</v>
      </c>
      <c r="CS14" s="176">
        <v>4000</v>
      </c>
      <c r="CT14" s="176">
        <v>4000</v>
      </c>
      <c r="CU14" s="176">
        <v>4000</v>
      </c>
      <c r="CV14" s="176">
        <v>4000</v>
      </c>
      <c r="CW14" s="176">
        <v>4000</v>
      </c>
      <c r="CX14" s="176">
        <v>4000</v>
      </c>
      <c r="CY14" s="176">
        <v>4000</v>
      </c>
      <c r="CZ14" s="176">
        <v>4000</v>
      </c>
      <c r="DA14" s="176">
        <v>4000</v>
      </c>
      <c r="DB14" s="176">
        <v>4000</v>
      </c>
      <c r="DC14" s="176">
        <v>4000</v>
      </c>
      <c r="DD14" s="176">
        <v>4000</v>
      </c>
      <c r="DE14" s="176">
        <v>4000</v>
      </c>
      <c r="DF14" s="176">
        <v>4000</v>
      </c>
      <c r="DG14" s="176">
        <v>4000</v>
      </c>
      <c r="DH14" s="176">
        <v>4000</v>
      </c>
      <c r="DI14" s="176">
        <v>4000</v>
      </c>
      <c r="DJ14" s="176">
        <v>4000</v>
      </c>
      <c r="DK14" s="176">
        <v>4000</v>
      </c>
      <c r="DL14" s="176">
        <v>4000</v>
      </c>
      <c r="DM14" s="176">
        <v>4000</v>
      </c>
      <c r="DN14" s="176">
        <v>4000</v>
      </c>
      <c r="DO14" s="176">
        <v>4000</v>
      </c>
      <c r="DP14" s="176">
        <v>4000</v>
      </c>
      <c r="DQ14" s="176">
        <v>4000</v>
      </c>
      <c r="DR14" s="176">
        <v>3763.4146333063654</v>
      </c>
      <c r="DS14" s="176">
        <v>3517.5454297870028</v>
      </c>
      <c r="DT14" s="176">
        <v>3296.0824778340034</v>
      </c>
      <c r="DU14" s="176">
        <v>3105.1758374272522</v>
      </c>
      <c r="DV14" s="176">
        <v>2950.8010862536739</v>
      </c>
      <c r="DW14" s="176">
        <v>2838.5446921298071</v>
      </c>
      <c r="DX14" s="176">
        <v>2773.5412333566433</v>
      </c>
      <c r="DY14" s="176">
        <v>2760.5778270429978</v>
      </c>
      <c r="DZ14" s="176">
        <v>2804.2625807702207</v>
      </c>
      <c r="EA14" s="176">
        <v>2909.0308739187981</v>
      </c>
      <c r="EB14" s="176">
        <v>3078.7139611988437</v>
      </c>
      <c r="EC14" s="176">
        <v>3315.6054512419291</v>
      </c>
      <c r="ED14" s="176">
        <v>3619.3848121451365</v>
      </c>
      <c r="EE14" s="176">
        <v>3986.5779636757288</v>
      </c>
      <c r="EF14" s="176">
        <v>4000</v>
      </c>
      <c r="EG14" s="176">
        <v>4000</v>
      </c>
      <c r="EH14" s="176">
        <v>4000</v>
      </c>
      <c r="EI14" s="176">
        <v>4000</v>
      </c>
      <c r="EJ14" s="176">
        <v>4000</v>
      </c>
      <c r="EK14" s="176">
        <v>4000</v>
      </c>
      <c r="EL14" s="176">
        <v>4000</v>
      </c>
      <c r="EM14" s="176">
        <v>4000</v>
      </c>
      <c r="EN14" s="176">
        <v>4000</v>
      </c>
      <c r="EO14" s="176">
        <v>4000</v>
      </c>
      <c r="EP14" t="str">
        <f t="shared" si="0"/>
        <v>0y 177d</v>
      </c>
    </row>
    <row r="15" spans="2:154" x14ac:dyDescent="0.25">
      <c r="B15" s="9">
        <v>12</v>
      </c>
      <c r="D15">
        <v>1012389.9056939104</v>
      </c>
      <c r="E15" s="12">
        <v>-10492650219.064034</v>
      </c>
      <c r="F15" s="12">
        <v>-8652164259.2529182</v>
      </c>
      <c r="G15" s="12">
        <v>0</v>
      </c>
      <c r="H15" s="12">
        <v>2089367.6140806715</v>
      </c>
      <c r="I15" s="12">
        <v>21437542642.006588</v>
      </c>
      <c r="J15" s="12">
        <v>-1868951466.8995538</v>
      </c>
      <c r="K15" s="12">
        <v>-14339010.890522907</v>
      </c>
      <c r="L15" s="12">
        <v>505739.98796419922</v>
      </c>
      <c r="M15" s="12">
        <v>-10583737805.157703</v>
      </c>
      <c r="N15" s="12">
        <v>-8688748536.3559723</v>
      </c>
      <c r="O15" s="12">
        <v>17305664.852966588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G15" s="8"/>
      <c r="AH15" s="8"/>
      <c r="AI15" s="8"/>
      <c r="AS15" s="6">
        <v>4010425.9140340183</v>
      </c>
      <c r="AT15" s="176">
        <v>4000</v>
      </c>
      <c r="AU15" s="176">
        <v>4000</v>
      </c>
      <c r="AV15" s="176">
        <v>4000</v>
      </c>
      <c r="AW15" s="176">
        <v>4000</v>
      </c>
      <c r="AX15" s="176">
        <v>4000</v>
      </c>
      <c r="AY15" s="176">
        <v>4000</v>
      </c>
      <c r="AZ15" s="176">
        <v>4000</v>
      </c>
      <c r="BA15" s="176">
        <v>4000</v>
      </c>
      <c r="BB15" s="176">
        <v>4000</v>
      </c>
      <c r="BC15" s="176">
        <v>4000</v>
      </c>
      <c r="BD15" s="176">
        <v>4000</v>
      </c>
      <c r="BE15" s="176">
        <v>4000</v>
      </c>
      <c r="BF15" s="176">
        <v>4000</v>
      </c>
      <c r="BG15" s="176">
        <v>4000</v>
      </c>
      <c r="BH15" s="176">
        <v>4000</v>
      </c>
      <c r="BI15" s="176">
        <v>4000</v>
      </c>
      <c r="BJ15" s="176">
        <v>4000</v>
      </c>
      <c r="BK15" s="176">
        <v>4000</v>
      </c>
      <c r="BL15" s="176">
        <v>4000</v>
      </c>
      <c r="BM15" s="176">
        <v>4000</v>
      </c>
      <c r="BN15" s="176">
        <v>4000</v>
      </c>
      <c r="BO15" s="176">
        <v>4000</v>
      </c>
      <c r="BP15" s="176">
        <v>4000</v>
      </c>
      <c r="BQ15" s="176">
        <v>4000</v>
      </c>
      <c r="BR15" s="176">
        <v>4000</v>
      </c>
      <c r="BS15" s="176">
        <v>4000</v>
      </c>
      <c r="BT15" s="176">
        <v>4000</v>
      </c>
      <c r="BU15" s="176">
        <v>4000</v>
      </c>
      <c r="BV15" s="176">
        <v>4000</v>
      </c>
      <c r="BW15" s="176">
        <v>4000</v>
      </c>
      <c r="BX15" s="176">
        <v>4000</v>
      </c>
      <c r="BY15" s="176">
        <v>4000</v>
      </c>
      <c r="BZ15" s="176">
        <v>4000</v>
      </c>
      <c r="CA15" s="176">
        <v>4000</v>
      </c>
      <c r="CB15" s="176">
        <v>4000</v>
      </c>
      <c r="CC15" s="176">
        <v>4000</v>
      </c>
      <c r="CD15" s="176">
        <v>4000</v>
      </c>
      <c r="CE15" s="176">
        <v>4000</v>
      </c>
      <c r="CF15" s="176">
        <v>4000</v>
      </c>
      <c r="CG15" s="176">
        <v>4000</v>
      </c>
      <c r="CH15" s="176">
        <v>4000</v>
      </c>
      <c r="CI15" s="176">
        <v>4000</v>
      </c>
      <c r="CJ15" s="176">
        <v>4000</v>
      </c>
      <c r="CK15" s="176">
        <v>4000</v>
      </c>
      <c r="CL15" s="176">
        <v>4000</v>
      </c>
      <c r="CM15" s="176">
        <v>4000</v>
      </c>
      <c r="CN15" s="176">
        <v>4000</v>
      </c>
      <c r="CO15" s="176">
        <v>4000</v>
      </c>
      <c r="CP15" s="176">
        <v>4000</v>
      </c>
      <c r="CQ15" s="176">
        <v>4000</v>
      </c>
      <c r="CR15" s="176">
        <v>4000</v>
      </c>
      <c r="CS15" s="176">
        <v>4000</v>
      </c>
      <c r="CT15" s="176">
        <v>4000</v>
      </c>
      <c r="CU15" s="176">
        <v>4000</v>
      </c>
      <c r="CV15" s="176">
        <v>4000</v>
      </c>
      <c r="CW15" s="176">
        <v>4000</v>
      </c>
      <c r="CX15" s="176">
        <v>4000</v>
      </c>
      <c r="CY15" s="176">
        <v>4000</v>
      </c>
      <c r="CZ15" s="176">
        <v>4000</v>
      </c>
      <c r="DA15" s="176">
        <v>4000</v>
      </c>
      <c r="DB15" s="176">
        <v>4000</v>
      </c>
      <c r="DC15" s="176">
        <v>4000</v>
      </c>
      <c r="DD15" s="176">
        <v>4000</v>
      </c>
      <c r="DE15" s="176">
        <v>4000</v>
      </c>
      <c r="DF15" s="176">
        <v>4000</v>
      </c>
      <c r="DG15" s="176">
        <v>4000</v>
      </c>
      <c r="DH15" s="176">
        <v>4000</v>
      </c>
      <c r="DI15" s="176">
        <v>4000</v>
      </c>
      <c r="DJ15" s="176">
        <v>4000</v>
      </c>
      <c r="DK15" s="176">
        <v>4000</v>
      </c>
      <c r="DL15" s="176">
        <v>4000</v>
      </c>
      <c r="DM15" s="176">
        <v>4000</v>
      </c>
      <c r="DN15" s="176">
        <v>4000</v>
      </c>
      <c r="DO15" s="176">
        <v>4000</v>
      </c>
      <c r="DP15" s="176">
        <v>3960.0588673511083</v>
      </c>
      <c r="DQ15" s="176">
        <v>3709.0818285371765</v>
      </c>
      <c r="DR15" s="176">
        <v>3471.1876991850327</v>
      </c>
      <c r="DS15" s="176">
        <v>3251.6523713866868</v>
      </c>
      <c r="DT15" s="176">
        <v>3056.0376783378078</v>
      </c>
      <c r="DU15" s="176">
        <v>2889.975370436885</v>
      </c>
      <c r="DV15" s="176">
        <v>2758.9567231207998</v>
      </c>
      <c r="DW15" s="176">
        <v>2668.1954215935129</v>
      </c>
      <c r="DX15" s="176">
        <v>2622.6090863853269</v>
      </c>
      <c r="DY15" s="176">
        <v>2626.9058122495485</v>
      </c>
      <c r="DZ15" s="176">
        <v>2685.6470803356806</v>
      </c>
      <c r="EA15" s="176">
        <v>2803.0961786295011</v>
      </c>
      <c r="EB15" s="176">
        <v>2982.6404726298692</v>
      </c>
      <c r="EC15" s="176">
        <v>3225.8624403302088</v>
      </c>
      <c r="ED15" s="176">
        <v>3531.6890709779609</v>
      </c>
      <c r="EE15" s="176">
        <v>3896.1774697813926</v>
      </c>
      <c r="EF15" s="176">
        <v>4000</v>
      </c>
      <c r="EG15" s="176">
        <v>4000</v>
      </c>
      <c r="EH15" s="176">
        <v>4000</v>
      </c>
      <c r="EI15" s="176">
        <v>4000</v>
      </c>
      <c r="EJ15" s="176">
        <v>4000</v>
      </c>
      <c r="EK15" s="176">
        <v>4000</v>
      </c>
      <c r="EL15" s="176">
        <v>4000</v>
      </c>
      <c r="EM15" s="176">
        <v>4000</v>
      </c>
      <c r="EN15" s="176">
        <v>4000</v>
      </c>
      <c r="EO15" s="176">
        <v>4000</v>
      </c>
      <c r="EP15" t="str">
        <f t="shared" si="0"/>
        <v>0y 186d</v>
      </c>
    </row>
    <row r="16" spans="2:154" x14ac:dyDescent="0.25">
      <c r="B16" s="9">
        <v>13</v>
      </c>
      <c r="D16">
        <v>1104425.3516660836</v>
      </c>
      <c r="E16" s="12">
        <v>-9928671481.7832127</v>
      </c>
      <c r="F16" s="12">
        <v>-9293930147.9806099</v>
      </c>
      <c r="G16" s="12">
        <v>0</v>
      </c>
      <c r="H16" s="12">
        <v>2275857.5120101976</v>
      </c>
      <c r="I16" s="12">
        <v>21465326808.313007</v>
      </c>
      <c r="J16" s="12">
        <v>-518048441.99144024</v>
      </c>
      <c r="K16" s="12">
        <v>-15368413.129076147</v>
      </c>
      <c r="L16" s="12">
        <v>552313.15576496301</v>
      </c>
      <c r="M16" s="12">
        <v>-10297130078.479305</v>
      </c>
      <c r="N16" s="12">
        <v>-9065400261.6455269</v>
      </c>
      <c r="O16" s="12">
        <v>18827310.752298582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G16" s="8"/>
      <c r="AH16" s="8"/>
      <c r="AI16" s="8"/>
      <c r="AS16" s="6">
        <v>4189294.6754580708</v>
      </c>
      <c r="AT16" s="176">
        <v>4000</v>
      </c>
      <c r="AU16" s="176">
        <v>4000</v>
      </c>
      <c r="AV16" s="176">
        <v>4000</v>
      </c>
      <c r="AW16" s="176">
        <v>4000</v>
      </c>
      <c r="AX16" s="176">
        <v>4000</v>
      </c>
      <c r="AY16" s="176">
        <v>4000</v>
      </c>
      <c r="AZ16" s="176">
        <v>4000</v>
      </c>
      <c r="BA16" s="176">
        <v>4000</v>
      </c>
      <c r="BB16" s="176">
        <v>4000</v>
      </c>
      <c r="BC16" s="176">
        <v>4000</v>
      </c>
      <c r="BD16" s="176">
        <v>4000</v>
      </c>
      <c r="BE16" s="176">
        <v>4000</v>
      </c>
      <c r="BF16" s="176">
        <v>4000</v>
      </c>
      <c r="BG16" s="176">
        <v>4000</v>
      </c>
      <c r="BH16" s="176">
        <v>4000</v>
      </c>
      <c r="BI16" s="176">
        <v>4000</v>
      </c>
      <c r="BJ16" s="176">
        <v>4000</v>
      </c>
      <c r="BK16" s="176">
        <v>4000</v>
      </c>
      <c r="BL16" s="176">
        <v>4000</v>
      </c>
      <c r="BM16" s="176">
        <v>4000</v>
      </c>
      <c r="BN16" s="176">
        <v>4000</v>
      </c>
      <c r="BO16" s="176">
        <v>4000</v>
      </c>
      <c r="BP16" s="176">
        <v>4000</v>
      </c>
      <c r="BQ16" s="176">
        <v>4000</v>
      </c>
      <c r="BR16" s="176">
        <v>4000</v>
      </c>
      <c r="BS16" s="176">
        <v>4000</v>
      </c>
      <c r="BT16" s="176">
        <v>4000</v>
      </c>
      <c r="BU16" s="176">
        <v>4000</v>
      </c>
      <c r="BV16" s="176">
        <v>4000</v>
      </c>
      <c r="BW16" s="176">
        <v>4000</v>
      </c>
      <c r="BX16" s="176">
        <v>4000</v>
      </c>
      <c r="BY16" s="176">
        <v>4000</v>
      </c>
      <c r="BZ16" s="176">
        <v>4000</v>
      </c>
      <c r="CA16" s="176">
        <v>4000</v>
      </c>
      <c r="CB16" s="176">
        <v>4000</v>
      </c>
      <c r="CC16" s="176">
        <v>4000</v>
      </c>
      <c r="CD16" s="176">
        <v>4000</v>
      </c>
      <c r="CE16" s="176">
        <v>4000</v>
      </c>
      <c r="CF16" s="176">
        <v>4000</v>
      </c>
      <c r="CG16" s="176">
        <v>4000</v>
      </c>
      <c r="CH16" s="176">
        <v>4000</v>
      </c>
      <c r="CI16" s="176">
        <v>4000</v>
      </c>
      <c r="CJ16" s="176">
        <v>4000</v>
      </c>
      <c r="CK16" s="176">
        <v>4000</v>
      </c>
      <c r="CL16" s="176">
        <v>4000</v>
      </c>
      <c r="CM16" s="176">
        <v>4000</v>
      </c>
      <c r="CN16" s="176">
        <v>4000</v>
      </c>
      <c r="CO16" s="176">
        <v>4000</v>
      </c>
      <c r="CP16" s="176">
        <v>4000</v>
      </c>
      <c r="CQ16" s="176">
        <v>4000</v>
      </c>
      <c r="CR16" s="176">
        <v>4000</v>
      </c>
      <c r="CS16" s="176">
        <v>4000</v>
      </c>
      <c r="CT16" s="176">
        <v>4000</v>
      </c>
      <c r="CU16" s="176">
        <v>4000</v>
      </c>
      <c r="CV16" s="176">
        <v>4000</v>
      </c>
      <c r="CW16" s="176">
        <v>4000</v>
      </c>
      <c r="CX16" s="176">
        <v>4000</v>
      </c>
      <c r="CY16" s="176">
        <v>4000</v>
      </c>
      <c r="CZ16" s="176">
        <v>4000</v>
      </c>
      <c r="DA16" s="176">
        <v>4000</v>
      </c>
      <c r="DB16" s="176">
        <v>4000</v>
      </c>
      <c r="DC16" s="176">
        <v>4000</v>
      </c>
      <c r="DD16" s="176">
        <v>4000</v>
      </c>
      <c r="DE16" s="176">
        <v>4000</v>
      </c>
      <c r="DF16" s="176">
        <v>4000</v>
      </c>
      <c r="DG16" s="176">
        <v>4000</v>
      </c>
      <c r="DH16" s="176">
        <v>4000</v>
      </c>
      <c r="DI16" s="176">
        <v>4000</v>
      </c>
      <c r="DJ16" s="176">
        <v>4000</v>
      </c>
      <c r="DK16" s="176">
        <v>4000</v>
      </c>
      <c r="DL16" s="176">
        <v>4000</v>
      </c>
      <c r="DM16" s="176">
        <v>4000</v>
      </c>
      <c r="DN16" s="176">
        <v>4000</v>
      </c>
      <c r="DO16" s="176">
        <v>3892.1322860109649</v>
      </c>
      <c r="DP16" s="176">
        <v>3655.8092360565652</v>
      </c>
      <c r="DQ16" s="176">
        <v>3428.343759098896</v>
      </c>
      <c r="DR16" s="176">
        <v>3214.2559534699453</v>
      </c>
      <c r="DS16" s="176">
        <v>3018.4475087098604</v>
      </c>
      <c r="DT16" s="176">
        <v>2846.0532898468018</v>
      </c>
      <c r="DU16" s="176">
        <v>2702.2687823240221</v>
      </c>
      <c r="DV16" s="176">
        <v>2592.1982092585758</v>
      </c>
      <c r="DW16" s="176">
        <v>2520.7699821203018</v>
      </c>
      <c r="DX16" s="176">
        <v>2492.7356352288007</v>
      </c>
      <c r="DY16" s="176">
        <v>2512.7057590896184</v>
      </c>
      <c r="DZ16" s="176">
        <v>2585.1162554620587</v>
      </c>
      <c r="EA16" s="176">
        <v>2713.9273102023244</v>
      </c>
      <c r="EB16" s="176">
        <v>2901.9684145018796</v>
      </c>
      <c r="EC16" s="176">
        <v>3150.0908494072901</v>
      </c>
      <c r="ED16" s="176">
        <v>3456.5747228246223</v>
      </c>
      <c r="EE16" s="176">
        <v>3817.1872541490361</v>
      </c>
      <c r="EF16" s="176">
        <v>4000</v>
      </c>
      <c r="EG16" s="176">
        <v>4000</v>
      </c>
      <c r="EH16" s="176">
        <v>4000</v>
      </c>
      <c r="EI16" s="176">
        <v>4000</v>
      </c>
      <c r="EJ16" s="176">
        <v>4000</v>
      </c>
      <c r="EK16" s="176">
        <v>4000</v>
      </c>
      <c r="EL16" s="176">
        <v>4000</v>
      </c>
      <c r="EM16" s="176">
        <v>4000</v>
      </c>
      <c r="EN16" s="176">
        <v>4000</v>
      </c>
      <c r="EO16" s="176">
        <v>4000</v>
      </c>
      <c r="EP16" t="str">
        <f t="shared" si="0"/>
        <v>0y 194d</v>
      </c>
    </row>
    <row r="17" spans="2:154" x14ac:dyDescent="0.25">
      <c r="B17" s="9">
        <v>14</v>
      </c>
      <c r="D17">
        <v>1196460.7976382575</v>
      </c>
      <c r="E17" s="12">
        <v>-9325508814.1423225</v>
      </c>
      <c r="F17" s="12">
        <v>-9899017140.4070206</v>
      </c>
      <c r="G17" s="12">
        <v>0</v>
      </c>
      <c r="H17" s="12">
        <v>2461501.1745131034</v>
      </c>
      <c r="I17" s="12">
        <v>21405201727.836693</v>
      </c>
      <c r="J17" s="12">
        <v>828845256.15559649</v>
      </c>
      <c r="K17" s="12">
        <v>-16330296.171223613</v>
      </c>
      <c r="L17" s="12">
        <v>599070.39555191528</v>
      </c>
      <c r="M17" s="12">
        <v>-9999190239.3821335</v>
      </c>
      <c r="N17" s="12">
        <v>-9434561115.0060463</v>
      </c>
      <c r="O17" s="12">
        <v>20336321.48865379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G17" s="208" t="s">
        <v>37</v>
      </c>
      <c r="AH17" s="208"/>
      <c r="AI17" s="208"/>
      <c r="AS17" s="6">
        <v>4368163.4368821234</v>
      </c>
      <c r="AT17" s="176">
        <v>4000</v>
      </c>
      <c r="AU17" s="176">
        <v>4000</v>
      </c>
      <c r="AV17" s="176">
        <v>4000</v>
      </c>
      <c r="AW17" s="176">
        <v>4000</v>
      </c>
      <c r="AX17" s="176">
        <v>4000</v>
      </c>
      <c r="AY17" s="176">
        <v>4000</v>
      </c>
      <c r="AZ17" s="176">
        <v>4000</v>
      </c>
      <c r="BA17" s="176">
        <v>4000</v>
      </c>
      <c r="BB17" s="176">
        <v>4000</v>
      </c>
      <c r="BC17" s="176">
        <v>4000</v>
      </c>
      <c r="BD17" s="176">
        <v>4000</v>
      </c>
      <c r="BE17" s="176">
        <v>4000</v>
      </c>
      <c r="BF17" s="176">
        <v>4000</v>
      </c>
      <c r="BG17" s="176">
        <v>4000</v>
      </c>
      <c r="BH17" s="176">
        <v>4000</v>
      </c>
      <c r="BI17" s="176">
        <v>4000</v>
      </c>
      <c r="BJ17" s="176">
        <v>4000</v>
      </c>
      <c r="BK17" s="176">
        <v>4000</v>
      </c>
      <c r="BL17" s="176">
        <v>4000</v>
      </c>
      <c r="BM17" s="176">
        <v>4000</v>
      </c>
      <c r="BN17" s="176">
        <v>4000</v>
      </c>
      <c r="BO17" s="176">
        <v>4000</v>
      </c>
      <c r="BP17" s="176">
        <v>4000</v>
      </c>
      <c r="BQ17" s="176">
        <v>4000</v>
      </c>
      <c r="BR17" s="176">
        <v>4000</v>
      </c>
      <c r="BS17" s="176">
        <v>4000</v>
      </c>
      <c r="BT17" s="176">
        <v>4000</v>
      </c>
      <c r="BU17" s="176">
        <v>4000</v>
      </c>
      <c r="BV17" s="176">
        <v>4000</v>
      </c>
      <c r="BW17" s="176">
        <v>4000</v>
      </c>
      <c r="BX17" s="176">
        <v>4000</v>
      </c>
      <c r="BY17" s="176">
        <v>4000</v>
      </c>
      <c r="BZ17" s="176">
        <v>4000</v>
      </c>
      <c r="CA17" s="176">
        <v>4000</v>
      </c>
      <c r="CB17" s="176">
        <v>4000</v>
      </c>
      <c r="CC17" s="176">
        <v>4000</v>
      </c>
      <c r="CD17" s="176">
        <v>4000</v>
      </c>
      <c r="CE17" s="176">
        <v>4000</v>
      </c>
      <c r="CF17" s="176">
        <v>4000</v>
      </c>
      <c r="CG17" s="176">
        <v>4000</v>
      </c>
      <c r="CH17" s="176">
        <v>4000</v>
      </c>
      <c r="CI17" s="176">
        <v>4000</v>
      </c>
      <c r="CJ17" s="176">
        <v>4000</v>
      </c>
      <c r="CK17" s="176">
        <v>4000</v>
      </c>
      <c r="CL17" s="176">
        <v>4000</v>
      </c>
      <c r="CM17" s="176">
        <v>4000</v>
      </c>
      <c r="CN17" s="176">
        <v>4000</v>
      </c>
      <c r="CO17" s="176">
        <v>4000</v>
      </c>
      <c r="CP17" s="176">
        <v>4000</v>
      </c>
      <c r="CQ17" s="176">
        <v>4000</v>
      </c>
      <c r="CR17" s="176">
        <v>4000</v>
      </c>
      <c r="CS17" s="176">
        <v>4000</v>
      </c>
      <c r="CT17" s="176">
        <v>4000</v>
      </c>
      <c r="CU17" s="176">
        <v>4000</v>
      </c>
      <c r="CV17" s="176">
        <v>4000</v>
      </c>
      <c r="CW17" s="176">
        <v>4000</v>
      </c>
      <c r="CX17" s="176">
        <v>4000</v>
      </c>
      <c r="CY17" s="176">
        <v>4000</v>
      </c>
      <c r="CZ17" s="176">
        <v>4000</v>
      </c>
      <c r="DA17" s="176">
        <v>4000</v>
      </c>
      <c r="DB17" s="176">
        <v>4000</v>
      </c>
      <c r="DC17" s="176">
        <v>4000</v>
      </c>
      <c r="DD17" s="176">
        <v>4000</v>
      </c>
      <c r="DE17" s="176">
        <v>4000</v>
      </c>
      <c r="DF17" s="176">
        <v>4000</v>
      </c>
      <c r="DG17" s="176">
        <v>4000</v>
      </c>
      <c r="DH17" s="176">
        <v>4000</v>
      </c>
      <c r="DI17" s="176">
        <v>4000</v>
      </c>
      <c r="DJ17" s="176">
        <v>4000</v>
      </c>
      <c r="DK17" s="176">
        <v>4000</v>
      </c>
      <c r="DL17" s="176">
        <v>4000</v>
      </c>
      <c r="DM17" s="176">
        <v>4000</v>
      </c>
      <c r="DN17" s="176">
        <v>3823.1067101125345</v>
      </c>
      <c r="DO17" s="176">
        <v>3602.1280774628312</v>
      </c>
      <c r="DP17" s="176">
        <v>3386.6740362175842</v>
      </c>
      <c r="DQ17" s="176">
        <v>3180.5667017938645</v>
      </c>
      <c r="DR17" s="176">
        <v>2988.0451849977771</v>
      </c>
      <c r="DS17" s="176">
        <v>2813.6737715783111</v>
      </c>
      <c r="DT17" s="176">
        <v>2662.2177993172054</v>
      </c>
      <c r="DU17" s="176">
        <v>2538.5095780728666</v>
      </c>
      <c r="DV17" s="176">
        <v>2447.3433264880523</v>
      </c>
      <c r="DW17" s="176">
        <v>2393.4225145546875</v>
      </c>
      <c r="DX17" s="176">
        <v>2381.3451533096677</v>
      </c>
      <c r="DY17" s="176">
        <v>2415.589409982701</v>
      </c>
      <c r="DZ17" s="176">
        <v>2500.3684718930344</v>
      </c>
      <c r="EA17" s="176">
        <v>2639.2278571656316</v>
      </c>
      <c r="EB17" s="176">
        <v>2834.3729368825725</v>
      </c>
      <c r="EC17" s="176">
        <v>3085.9640378866029</v>
      </c>
      <c r="ED17" s="176">
        <v>3391.7684345991847</v>
      </c>
      <c r="EE17" s="176">
        <v>3747.4346327415478</v>
      </c>
      <c r="EF17" s="176">
        <v>4000</v>
      </c>
      <c r="EG17" s="176">
        <v>4000</v>
      </c>
      <c r="EH17" s="176">
        <v>4000</v>
      </c>
      <c r="EI17" s="176">
        <v>4000</v>
      </c>
      <c r="EJ17" s="176">
        <v>4000</v>
      </c>
      <c r="EK17" s="176">
        <v>4000</v>
      </c>
      <c r="EL17" s="176">
        <v>4000</v>
      </c>
      <c r="EM17" s="176">
        <v>4000</v>
      </c>
      <c r="EN17" s="176">
        <v>4000</v>
      </c>
      <c r="EO17" s="176">
        <v>4000</v>
      </c>
      <c r="EP17" t="str">
        <f t="shared" si="0"/>
        <v>0y 202d</v>
      </c>
    </row>
    <row r="18" spans="2:154" x14ac:dyDescent="0.25">
      <c r="B18" s="9">
        <v>15</v>
      </c>
      <c r="D18">
        <v>1288496.2436104303</v>
      </c>
      <c r="E18" s="12">
        <v>-8685542623.6317406</v>
      </c>
      <c r="F18" s="12">
        <v>-10465037234.610989</v>
      </c>
      <c r="G18" s="12">
        <v>0</v>
      </c>
      <c r="H18" s="12">
        <v>2646249.8409605776</v>
      </c>
      <c r="I18" s="12">
        <v>21258046266.381985</v>
      </c>
      <c r="J18" s="12">
        <v>2165866548.1285849</v>
      </c>
      <c r="K18" s="12">
        <v>-17220925.877898701</v>
      </c>
      <c r="L18" s="12">
        <v>646031.57176098495</v>
      </c>
      <c r="M18" s="12">
        <v>-9690024102.9718418</v>
      </c>
      <c r="N18" s="12">
        <v>-9795965605.0024567</v>
      </c>
      <c r="O18" s="12">
        <v>21831724.064724308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G18" s="9" t="s">
        <v>22</v>
      </c>
      <c r="AH18" s="9" t="s">
        <v>23</v>
      </c>
      <c r="AI18" s="9" t="s">
        <v>26</v>
      </c>
      <c r="AS18" s="6">
        <v>4547032.1983061759</v>
      </c>
      <c r="AT18" s="176">
        <v>4000</v>
      </c>
      <c r="AU18" s="176">
        <v>4000</v>
      </c>
      <c r="AV18" s="176">
        <v>4000</v>
      </c>
      <c r="AW18" s="176">
        <v>4000</v>
      </c>
      <c r="AX18" s="176">
        <v>4000</v>
      </c>
      <c r="AY18" s="176">
        <v>4000</v>
      </c>
      <c r="AZ18" s="176">
        <v>4000</v>
      </c>
      <c r="BA18" s="176">
        <v>4000</v>
      </c>
      <c r="BB18" s="176">
        <v>4000</v>
      </c>
      <c r="BC18" s="176">
        <v>4000</v>
      </c>
      <c r="BD18" s="176">
        <v>4000</v>
      </c>
      <c r="BE18" s="176">
        <v>4000</v>
      </c>
      <c r="BF18" s="176">
        <v>4000</v>
      </c>
      <c r="BG18" s="176">
        <v>4000</v>
      </c>
      <c r="BH18" s="176">
        <v>4000</v>
      </c>
      <c r="BI18" s="176">
        <v>4000</v>
      </c>
      <c r="BJ18" s="176">
        <v>4000</v>
      </c>
      <c r="BK18" s="176">
        <v>4000</v>
      </c>
      <c r="BL18" s="176">
        <v>4000</v>
      </c>
      <c r="BM18" s="176">
        <v>4000</v>
      </c>
      <c r="BN18" s="176">
        <v>4000</v>
      </c>
      <c r="BO18" s="176">
        <v>4000</v>
      </c>
      <c r="BP18" s="176">
        <v>4000</v>
      </c>
      <c r="BQ18" s="176">
        <v>4000</v>
      </c>
      <c r="BR18" s="176">
        <v>4000</v>
      </c>
      <c r="BS18" s="176">
        <v>4000</v>
      </c>
      <c r="BT18" s="176">
        <v>4000</v>
      </c>
      <c r="BU18" s="176">
        <v>4000</v>
      </c>
      <c r="BV18" s="176">
        <v>4000</v>
      </c>
      <c r="BW18" s="176">
        <v>4000</v>
      </c>
      <c r="BX18" s="176">
        <v>4000</v>
      </c>
      <c r="BY18" s="176">
        <v>4000</v>
      </c>
      <c r="BZ18" s="176">
        <v>4000</v>
      </c>
      <c r="CA18" s="176">
        <v>4000</v>
      </c>
      <c r="CB18" s="176">
        <v>4000</v>
      </c>
      <c r="CC18" s="176">
        <v>4000</v>
      </c>
      <c r="CD18" s="176">
        <v>4000</v>
      </c>
      <c r="CE18" s="176">
        <v>4000</v>
      </c>
      <c r="CF18" s="176">
        <v>4000</v>
      </c>
      <c r="CG18" s="176">
        <v>4000</v>
      </c>
      <c r="CH18" s="176">
        <v>4000</v>
      </c>
      <c r="CI18" s="176">
        <v>4000</v>
      </c>
      <c r="CJ18" s="176">
        <v>4000</v>
      </c>
      <c r="CK18" s="176">
        <v>4000</v>
      </c>
      <c r="CL18" s="176">
        <v>4000</v>
      </c>
      <c r="CM18" s="176">
        <v>4000</v>
      </c>
      <c r="CN18" s="176">
        <v>4000</v>
      </c>
      <c r="CO18" s="176">
        <v>4000</v>
      </c>
      <c r="CP18" s="176">
        <v>4000</v>
      </c>
      <c r="CQ18" s="176">
        <v>4000</v>
      </c>
      <c r="CR18" s="176">
        <v>4000</v>
      </c>
      <c r="CS18" s="176">
        <v>4000</v>
      </c>
      <c r="CT18" s="176">
        <v>4000</v>
      </c>
      <c r="CU18" s="176">
        <v>4000</v>
      </c>
      <c r="CV18" s="176">
        <v>4000</v>
      </c>
      <c r="CW18" s="176">
        <v>4000</v>
      </c>
      <c r="CX18" s="176">
        <v>4000</v>
      </c>
      <c r="CY18" s="176">
        <v>4000</v>
      </c>
      <c r="CZ18" s="176">
        <v>4000</v>
      </c>
      <c r="DA18" s="176">
        <v>4000</v>
      </c>
      <c r="DB18" s="176">
        <v>4000</v>
      </c>
      <c r="DC18" s="176">
        <v>4000</v>
      </c>
      <c r="DD18" s="176">
        <v>4000</v>
      </c>
      <c r="DE18" s="176">
        <v>4000</v>
      </c>
      <c r="DF18" s="176">
        <v>4000</v>
      </c>
      <c r="DG18" s="176">
        <v>4000</v>
      </c>
      <c r="DH18" s="176">
        <v>4000</v>
      </c>
      <c r="DI18" s="176">
        <v>4000</v>
      </c>
      <c r="DJ18" s="176">
        <v>4000</v>
      </c>
      <c r="DK18" s="176">
        <v>4000</v>
      </c>
      <c r="DL18" s="176">
        <v>3958.4561090428115</v>
      </c>
      <c r="DM18" s="176">
        <v>3752.8099072664522</v>
      </c>
      <c r="DN18" s="176">
        <v>3547.3233409139461</v>
      </c>
      <c r="DO18" s="176">
        <v>3344.7694153706498</v>
      </c>
      <c r="DP18" s="176">
        <v>3148.3512526873446</v>
      </c>
      <c r="DQ18" s="176">
        <v>2961.6838504345114</v>
      </c>
      <c r="DR18" s="176">
        <v>2788.7472067339381</v>
      </c>
      <c r="DS18" s="176">
        <v>2633.8064695836383</v>
      </c>
      <c r="DT18" s="176">
        <v>2501.3092283526066</v>
      </c>
      <c r="DU18" s="176">
        <v>2395.7856853847834</v>
      </c>
      <c r="DV18" s="176">
        <v>2321.7784877443964</v>
      </c>
      <c r="DW18" s="176">
        <v>2283.7959741308714</v>
      </c>
      <c r="DX18" s="176">
        <v>2286.2776643869529</v>
      </c>
      <c r="DY18" s="176">
        <v>2333.5095224573961</v>
      </c>
      <c r="DZ18" s="176">
        <v>2429.3910483624813</v>
      </c>
      <c r="EA18" s="176">
        <v>2576.9701557019589</v>
      </c>
      <c r="EB18" s="176">
        <v>2777.8123482474894</v>
      </c>
      <c r="EC18" s="176">
        <v>3031.4698424036387</v>
      </c>
      <c r="ED18" s="176">
        <v>3335.3506742797272</v>
      </c>
      <c r="EE18" s="176">
        <v>3685.1229337829709</v>
      </c>
      <c r="EF18" s="176">
        <v>4000</v>
      </c>
      <c r="EG18" s="176">
        <v>4000</v>
      </c>
      <c r="EH18" s="176">
        <v>4000</v>
      </c>
      <c r="EI18" s="176">
        <v>4000</v>
      </c>
      <c r="EJ18" s="176">
        <v>4000</v>
      </c>
      <c r="EK18" s="176">
        <v>4000</v>
      </c>
      <c r="EL18" s="176">
        <v>4000</v>
      </c>
      <c r="EM18" s="176">
        <v>4000</v>
      </c>
      <c r="EN18" s="176">
        <v>4000</v>
      </c>
      <c r="EO18" s="176">
        <v>4000</v>
      </c>
      <c r="EP18" t="str">
        <f t="shared" si="0"/>
        <v>0y 211d</v>
      </c>
    </row>
    <row r="19" spans="2:154" x14ac:dyDescent="0.25">
      <c r="B19" s="9">
        <v>16</v>
      </c>
      <c r="D19">
        <v>1380531.6895826028</v>
      </c>
      <c r="E19" s="12">
        <v>-8011298564.4326744</v>
      </c>
      <c r="F19" s="12">
        <v>-10989756607.870674</v>
      </c>
      <c r="G19" s="12">
        <v>0</v>
      </c>
      <c r="H19" s="12">
        <v>2830059.3692614222</v>
      </c>
      <c r="I19" s="12">
        <v>21025144830.261505</v>
      </c>
      <c r="J19" s="12">
        <v>3487281249.1075225</v>
      </c>
      <c r="K19" s="12">
        <v>-18036962.046237104</v>
      </c>
      <c r="L19" s="12">
        <v>693216.68207946979</v>
      </c>
      <c r="M19" s="12">
        <v>-9369739972.5579567</v>
      </c>
      <c r="N19" s="12">
        <v>-10149344011.339611</v>
      </c>
      <c r="O19" s="12">
        <v>23312529.154098935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G19" s="8">
        <v>0</v>
      </c>
      <c r="AH19" s="8">
        <v>0</v>
      </c>
      <c r="AI19" s="8">
        <v>0</v>
      </c>
      <c r="AS19" s="6">
        <v>4725900.9597302284</v>
      </c>
      <c r="AT19" s="176">
        <v>4000</v>
      </c>
      <c r="AU19" s="176">
        <v>4000</v>
      </c>
      <c r="AV19" s="176">
        <v>4000</v>
      </c>
      <c r="AW19" s="176">
        <v>4000</v>
      </c>
      <c r="AX19" s="176">
        <v>4000</v>
      </c>
      <c r="AY19" s="176">
        <v>4000</v>
      </c>
      <c r="AZ19" s="176">
        <v>4000</v>
      </c>
      <c r="BA19" s="176">
        <v>4000</v>
      </c>
      <c r="BB19" s="176">
        <v>4000</v>
      </c>
      <c r="BC19" s="176">
        <v>4000</v>
      </c>
      <c r="BD19" s="176">
        <v>4000</v>
      </c>
      <c r="BE19" s="176">
        <v>4000</v>
      </c>
      <c r="BF19" s="176">
        <v>4000</v>
      </c>
      <c r="BG19" s="176">
        <v>4000</v>
      </c>
      <c r="BH19" s="176">
        <v>4000</v>
      </c>
      <c r="BI19" s="176">
        <v>4000</v>
      </c>
      <c r="BJ19" s="176">
        <v>4000</v>
      </c>
      <c r="BK19" s="176">
        <v>4000</v>
      </c>
      <c r="BL19" s="176">
        <v>4000</v>
      </c>
      <c r="BM19" s="176">
        <v>4000</v>
      </c>
      <c r="BN19" s="176">
        <v>4000</v>
      </c>
      <c r="BO19" s="176">
        <v>4000</v>
      </c>
      <c r="BP19" s="176">
        <v>4000</v>
      </c>
      <c r="BQ19" s="176">
        <v>4000</v>
      </c>
      <c r="BR19" s="176">
        <v>4000</v>
      </c>
      <c r="BS19" s="176">
        <v>4000</v>
      </c>
      <c r="BT19" s="176">
        <v>4000</v>
      </c>
      <c r="BU19" s="176">
        <v>4000</v>
      </c>
      <c r="BV19" s="176">
        <v>4000</v>
      </c>
      <c r="BW19" s="176">
        <v>4000</v>
      </c>
      <c r="BX19" s="176">
        <v>4000</v>
      </c>
      <c r="BY19" s="176">
        <v>4000</v>
      </c>
      <c r="BZ19" s="176">
        <v>4000</v>
      </c>
      <c r="CA19" s="176">
        <v>4000</v>
      </c>
      <c r="CB19" s="176">
        <v>4000</v>
      </c>
      <c r="CC19" s="176">
        <v>4000</v>
      </c>
      <c r="CD19" s="176">
        <v>4000</v>
      </c>
      <c r="CE19" s="176">
        <v>4000</v>
      </c>
      <c r="CF19" s="176">
        <v>4000</v>
      </c>
      <c r="CG19" s="176">
        <v>4000</v>
      </c>
      <c r="CH19" s="176">
        <v>4000</v>
      </c>
      <c r="CI19" s="176">
        <v>4000</v>
      </c>
      <c r="CJ19" s="176">
        <v>4000</v>
      </c>
      <c r="CK19" s="176">
        <v>4000</v>
      </c>
      <c r="CL19" s="176">
        <v>4000</v>
      </c>
      <c r="CM19" s="176">
        <v>4000</v>
      </c>
      <c r="CN19" s="176">
        <v>4000</v>
      </c>
      <c r="CO19" s="176">
        <v>4000</v>
      </c>
      <c r="CP19" s="176">
        <v>4000</v>
      </c>
      <c r="CQ19" s="176">
        <v>4000</v>
      </c>
      <c r="CR19" s="176">
        <v>4000</v>
      </c>
      <c r="CS19" s="176">
        <v>4000</v>
      </c>
      <c r="CT19" s="176">
        <v>4000</v>
      </c>
      <c r="CU19" s="176">
        <v>4000</v>
      </c>
      <c r="CV19" s="176">
        <v>4000</v>
      </c>
      <c r="CW19" s="176">
        <v>4000</v>
      </c>
      <c r="CX19" s="176">
        <v>4000</v>
      </c>
      <c r="CY19" s="176">
        <v>4000</v>
      </c>
      <c r="CZ19" s="176">
        <v>4000</v>
      </c>
      <c r="DA19" s="176">
        <v>4000</v>
      </c>
      <c r="DB19" s="176">
        <v>4000</v>
      </c>
      <c r="DC19" s="176">
        <v>4000</v>
      </c>
      <c r="DD19" s="176">
        <v>4000</v>
      </c>
      <c r="DE19" s="176">
        <v>4000</v>
      </c>
      <c r="DF19" s="176">
        <v>4000</v>
      </c>
      <c r="DG19" s="176">
        <v>4000</v>
      </c>
      <c r="DH19" s="176">
        <v>4000</v>
      </c>
      <c r="DI19" s="176">
        <v>4000</v>
      </c>
      <c r="DJ19" s="176">
        <v>4000</v>
      </c>
      <c r="DK19" s="176">
        <v>3870.4186704729027</v>
      </c>
      <c r="DL19" s="176">
        <v>3681.491820127444</v>
      </c>
      <c r="DM19" s="176">
        <v>3491.2370035981121</v>
      </c>
      <c r="DN19" s="176">
        <v>3301.9331564658942</v>
      </c>
      <c r="DO19" s="176">
        <v>3116.2442263702287</v>
      </c>
      <c r="DP19" s="176">
        <v>2937.2219419130915</v>
      </c>
      <c r="DQ19" s="176">
        <v>2768.287233797203</v>
      </c>
      <c r="DR19" s="176">
        <v>2613.1857969366824</v>
      </c>
      <c r="DS19" s="176">
        <v>2475.9186405891714</v>
      </c>
      <c r="DT19" s="176">
        <v>2360.6600398941187</v>
      </c>
      <c r="DU19" s="176">
        <v>2271.6874286845491</v>
      </c>
      <c r="DV19" s="176">
        <v>2213.3277917828464</v>
      </c>
      <c r="DW19" s="176">
        <v>2189.9082399847971</v>
      </c>
      <c r="DX19" s="176">
        <v>2205.6800627748203</v>
      </c>
      <c r="DY19" s="176">
        <v>2264.6731090143185</v>
      </c>
      <c r="DZ19" s="176">
        <v>2370.3954523725556</v>
      </c>
      <c r="EA19" s="176">
        <v>2525.3512081693307</v>
      </c>
      <c r="EB19" s="176">
        <v>2730.4979544435732</v>
      </c>
      <c r="EC19" s="176">
        <v>2984.8861934006668</v>
      </c>
      <c r="ED19" s="176">
        <v>3285.713892845286</v>
      </c>
      <c r="EE19" s="176">
        <v>3628.7769787140387</v>
      </c>
      <c r="EF19" s="176">
        <v>4000</v>
      </c>
      <c r="EG19" s="176">
        <v>4000</v>
      </c>
      <c r="EH19" s="176">
        <v>4000</v>
      </c>
      <c r="EI19" s="176">
        <v>4000</v>
      </c>
      <c r="EJ19" s="176">
        <v>4000</v>
      </c>
      <c r="EK19" s="176">
        <v>4000</v>
      </c>
      <c r="EL19" s="176">
        <v>4000</v>
      </c>
      <c r="EM19" s="176">
        <v>4000</v>
      </c>
      <c r="EN19" s="176">
        <v>4000</v>
      </c>
      <c r="EO19" s="176">
        <v>4000</v>
      </c>
      <c r="EP19" t="str">
        <f t="shared" si="0"/>
        <v>0y 219d</v>
      </c>
    </row>
    <row r="20" spans="2:154" x14ac:dyDescent="0.25">
      <c r="B20" s="9">
        <v>17</v>
      </c>
      <c r="D20">
        <v>1472567.1355547754</v>
      </c>
      <c r="E20" s="12">
        <v>-7305437569.8139505</v>
      </c>
      <c r="F20" s="12">
        <v>-11471104432.541315</v>
      </c>
      <c r="G20" s="12">
        <v>0</v>
      </c>
      <c r="H20" s="12">
        <v>3012890.3708193293</v>
      </c>
      <c r="I20" s="12">
        <v>20708169547.279129</v>
      </c>
      <c r="J20" s="12">
        <v>4787513388.8200598</v>
      </c>
      <c r="K20" s="12">
        <v>-18775467.230079688</v>
      </c>
      <c r="L20" s="12">
        <v>740645.86843695841</v>
      </c>
      <c r="M20" s="12">
        <v>-9038449112.476799</v>
      </c>
      <c r="N20" s="12">
        <v>-10494422103.738581</v>
      </c>
      <c r="O20" s="12">
        <v>24777729.697589565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G20" s="8"/>
      <c r="AH20" s="8"/>
      <c r="AI20" s="8"/>
      <c r="AS20" s="6">
        <v>4904769.7211542809</v>
      </c>
      <c r="AT20" s="176">
        <v>4000</v>
      </c>
      <c r="AU20" s="176">
        <v>4000</v>
      </c>
      <c r="AV20" s="176">
        <v>4000</v>
      </c>
      <c r="AW20" s="176">
        <v>4000</v>
      </c>
      <c r="AX20" s="176">
        <v>4000</v>
      </c>
      <c r="AY20" s="176">
        <v>4000</v>
      </c>
      <c r="AZ20" s="176">
        <v>4000</v>
      </c>
      <c r="BA20" s="176">
        <v>4000</v>
      </c>
      <c r="BB20" s="176">
        <v>4000</v>
      </c>
      <c r="BC20" s="176">
        <v>4000</v>
      </c>
      <c r="BD20" s="176">
        <v>4000</v>
      </c>
      <c r="BE20" s="176">
        <v>4000</v>
      </c>
      <c r="BF20" s="176">
        <v>4000</v>
      </c>
      <c r="BG20" s="176">
        <v>4000</v>
      </c>
      <c r="BH20" s="176">
        <v>4000</v>
      </c>
      <c r="BI20" s="176">
        <v>4000</v>
      </c>
      <c r="BJ20" s="176">
        <v>4000</v>
      </c>
      <c r="BK20" s="176">
        <v>4000</v>
      </c>
      <c r="BL20" s="176">
        <v>4000</v>
      </c>
      <c r="BM20" s="176">
        <v>4000</v>
      </c>
      <c r="BN20" s="176">
        <v>4000</v>
      </c>
      <c r="BO20" s="176">
        <v>4000</v>
      </c>
      <c r="BP20" s="176">
        <v>4000</v>
      </c>
      <c r="BQ20" s="176">
        <v>4000</v>
      </c>
      <c r="BR20" s="176">
        <v>4000</v>
      </c>
      <c r="BS20" s="176">
        <v>4000</v>
      </c>
      <c r="BT20" s="176">
        <v>4000</v>
      </c>
      <c r="BU20" s="176">
        <v>4000</v>
      </c>
      <c r="BV20" s="176">
        <v>4000</v>
      </c>
      <c r="BW20" s="176">
        <v>4000</v>
      </c>
      <c r="BX20" s="176">
        <v>4000</v>
      </c>
      <c r="BY20" s="176">
        <v>4000</v>
      </c>
      <c r="BZ20" s="176">
        <v>4000</v>
      </c>
      <c r="CA20" s="176">
        <v>4000</v>
      </c>
      <c r="CB20" s="176">
        <v>4000</v>
      </c>
      <c r="CC20" s="176">
        <v>4000</v>
      </c>
      <c r="CD20" s="176">
        <v>4000</v>
      </c>
      <c r="CE20" s="176">
        <v>4000</v>
      </c>
      <c r="CF20" s="176">
        <v>4000</v>
      </c>
      <c r="CG20" s="176">
        <v>4000</v>
      </c>
      <c r="CH20" s="176">
        <v>4000</v>
      </c>
      <c r="CI20" s="176">
        <v>4000</v>
      </c>
      <c r="CJ20" s="176">
        <v>4000</v>
      </c>
      <c r="CK20" s="176">
        <v>4000</v>
      </c>
      <c r="CL20" s="176">
        <v>4000</v>
      </c>
      <c r="CM20" s="176">
        <v>4000</v>
      </c>
      <c r="CN20" s="176">
        <v>4000</v>
      </c>
      <c r="CO20" s="176">
        <v>4000</v>
      </c>
      <c r="CP20" s="176">
        <v>4000</v>
      </c>
      <c r="CQ20" s="176">
        <v>4000</v>
      </c>
      <c r="CR20" s="176">
        <v>4000</v>
      </c>
      <c r="CS20" s="176">
        <v>4000</v>
      </c>
      <c r="CT20" s="176">
        <v>4000</v>
      </c>
      <c r="CU20" s="176">
        <v>4000</v>
      </c>
      <c r="CV20" s="176">
        <v>4000</v>
      </c>
      <c r="CW20" s="176">
        <v>4000</v>
      </c>
      <c r="CX20" s="176">
        <v>4000</v>
      </c>
      <c r="CY20" s="176">
        <v>4000</v>
      </c>
      <c r="CZ20" s="176">
        <v>4000</v>
      </c>
      <c r="DA20" s="176">
        <v>4000</v>
      </c>
      <c r="DB20" s="176">
        <v>4000</v>
      </c>
      <c r="DC20" s="176">
        <v>4000</v>
      </c>
      <c r="DD20" s="176">
        <v>4000</v>
      </c>
      <c r="DE20" s="176">
        <v>4000</v>
      </c>
      <c r="DF20" s="176">
        <v>4000</v>
      </c>
      <c r="DG20" s="176">
        <v>4000</v>
      </c>
      <c r="DH20" s="176">
        <v>4000</v>
      </c>
      <c r="DI20" s="176">
        <v>3952.1767352087063</v>
      </c>
      <c r="DJ20" s="176">
        <v>3782.8671429430133</v>
      </c>
      <c r="DK20" s="176">
        <v>3609.7573563343553</v>
      </c>
      <c r="DL20" s="176">
        <v>3434.1539171240756</v>
      </c>
      <c r="DM20" s="176">
        <v>3258.0249643354759</v>
      </c>
      <c r="DN20" s="176">
        <v>3083.5682725240777</v>
      </c>
      <c r="DO20" s="176">
        <v>2913.3378974526049</v>
      </c>
      <c r="DP20" s="176">
        <v>2750.241406077831</v>
      </c>
      <c r="DQ20" s="176">
        <v>2597.5200278138864</v>
      </c>
      <c r="DR20" s="176">
        <v>2458.7075952499426</v>
      </c>
      <c r="DS20" s="176">
        <v>2337.5711221379379</v>
      </c>
      <c r="DT20" s="176">
        <v>2238.0485775136522</v>
      </c>
      <c r="DU20" s="176">
        <v>2164.1984017765681</v>
      </c>
      <c r="DV20" s="176">
        <v>2120.1558867311596</v>
      </c>
      <c r="DW20" s="176">
        <v>2110.0582732505991</v>
      </c>
      <c r="DX20" s="176">
        <v>2137.929609409216</v>
      </c>
      <c r="DY20" s="176">
        <v>2207.4820470571094</v>
      </c>
      <c r="DZ20" s="176">
        <v>2321.777079730422</v>
      </c>
      <c r="EA20" s="176">
        <v>2482.7670406915818</v>
      </c>
      <c r="EB20" s="176">
        <v>2690.8661442930961</v>
      </c>
      <c r="EC20" s="176">
        <v>2944.7484266844958</v>
      </c>
      <c r="ED20" s="176">
        <v>3241.5238622526335</v>
      </c>
      <c r="EE20" s="176">
        <v>3577.1949387993923</v>
      </c>
      <c r="EF20" s="176">
        <v>3947.2174456587163</v>
      </c>
      <c r="EG20" s="176">
        <v>4000</v>
      </c>
      <c r="EH20" s="176">
        <v>4000</v>
      </c>
      <c r="EI20" s="176">
        <v>4000</v>
      </c>
      <c r="EJ20" s="176">
        <v>4000</v>
      </c>
      <c r="EK20" s="176">
        <v>4000</v>
      </c>
      <c r="EL20" s="176">
        <v>4000</v>
      </c>
      <c r="EM20" s="176">
        <v>4000</v>
      </c>
      <c r="EN20" s="176">
        <v>4000</v>
      </c>
      <c r="EO20" s="176">
        <v>4000</v>
      </c>
      <c r="EP20" t="str">
        <f t="shared" si="0"/>
        <v>0y 227d</v>
      </c>
    </row>
    <row r="21" spans="2:154" x14ac:dyDescent="0.25">
      <c r="B21" s="9">
        <v>18</v>
      </c>
      <c r="D21">
        <v>1564602.5815269479</v>
      </c>
      <c r="E21" s="12">
        <v>-6570745350.6441259</v>
      </c>
      <c r="F21" s="12">
        <v>-11907181048.665833</v>
      </c>
      <c r="G21" s="12">
        <v>0</v>
      </c>
      <c r="H21" s="12">
        <v>3194708.3091572872</v>
      </c>
      <c r="I21" s="12">
        <v>20309160284.610287</v>
      </c>
      <c r="J21" s="12">
        <v>6061172079.8567152</v>
      </c>
      <c r="K21" s="12">
        <v>-19433912.141613241</v>
      </c>
      <c r="L21" s="12">
        <v>788339.42748340382</v>
      </c>
      <c r="M21" s="12">
        <v>-8696266249.3095398</v>
      </c>
      <c r="N21" s="12">
        <v>-10830920880.616833</v>
      </c>
      <c r="O21" s="12">
        <v>26226299.534580175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G21" s="8"/>
      <c r="AH21" s="8"/>
      <c r="AI21" s="8"/>
      <c r="AS21" s="6">
        <v>5083638.4825783335</v>
      </c>
      <c r="AT21" s="176">
        <v>4000</v>
      </c>
      <c r="AU21" s="176">
        <v>4000</v>
      </c>
      <c r="AV21" s="176">
        <v>4000</v>
      </c>
      <c r="AW21" s="176">
        <v>4000</v>
      </c>
      <c r="AX21" s="176">
        <v>4000</v>
      </c>
      <c r="AY21" s="176">
        <v>4000</v>
      </c>
      <c r="AZ21" s="176">
        <v>4000</v>
      </c>
      <c r="BA21" s="176">
        <v>4000</v>
      </c>
      <c r="BB21" s="176">
        <v>4000</v>
      </c>
      <c r="BC21" s="176">
        <v>4000</v>
      </c>
      <c r="BD21" s="176">
        <v>4000</v>
      </c>
      <c r="BE21" s="176">
        <v>4000</v>
      </c>
      <c r="BF21" s="176">
        <v>4000</v>
      </c>
      <c r="BG21" s="176">
        <v>4000</v>
      </c>
      <c r="BH21" s="176">
        <v>4000</v>
      </c>
      <c r="BI21" s="176">
        <v>4000</v>
      </c>
      <c r="BJ21" s="176">
        <v>4000</v>
      </c>
      <c r="BK21" s="176">
        <v>4000</v>
      </c>
      <c r="BL21" s="176">
        <v>4000</v>
      </c>
      <c r="BM21" s="176">
        <v>4000</v>
      </c>
      <c r="BN21" s="176">
        <v>4000</v>
      </c>
      <c r="BO21" s="176">
        <v>4000</v>
      </c>
      <c r="BP21" s="176">
        <v>4000</v>
      </c>
      <c r="BQ21" s="176">
        <v>4000</v>
      </c>
      <c r="BR21" s="176">
        <v>4000</v>
      </c>
      <c r="BS21" s="176">
        <v>4000</v>
      </c>
      <c r="BT21" s="176">
        <v>4000</v>
      </c>
      <c r="BU21" s="176">
        <v>4000</v>
      </c>
      <c r="BV21" s="176">
        <v>4000</v>
      </c>
      <c r="BW21" s="176">
        <v>4000</v>
      </c>
      <c r="BX21" s="176">
        <v>4000</v>
      </c>
      <c r="BY21" s="176">
        <v>4000</v>
      </c>
      <c r="BZ21" s="176">
        <v>4000</v>
      </c>
      <c r="CA21" s="176">
        <v>4000</v>
      </c>
      <c r="CB21" s="176">
        <v>4000</v>
      </c>
      <c r="CC21" s="176">
        <v>4000</v>
      </c>
      <c r="CD21" s="176">
        <v>4000</v>
      </c>
      <c r="CE21" s="176">
        <v>4000</v>
      </c>
      <c r="CF21" s="176">
        <v>4000</v>
      </c>
      <c r="CG21" s="176">
        <v>4000</v>
      </c>
      <c r="CH21" s="176">
        <v>4000</v>
      </c>
      <c r="CI21" s="176">
        <v>4000</v>
      </c>
      <c r="CJ21" s="176">
        <v>4000</v>
      </c>
      <c r="CK21" s="176">
        <v>4000</v>
      </c>
      <c r="CL21" s="176">
        <v>4000</v>
      </c>
      <c r="CM21" s="176">
        <v>4000</v>
      </c>
      <c r="CN21" s="176">
        <v>4000</v>
      </c>
      <c r="CO21" s="176">
        <v>4000</v>
      </c>
      <c r="CP21" s="176">
        <v>4000</v>
      </c>
      <c r="CQ21" s="176">
        <v>4000</v>
      </c>
      <c r="CR21" s="176">
        <v>4000</v>
      </c>
      <c r="CS21" s="176">
        <v>4000</v>
      </c>
      <c r="CT21" s="176">
        <v>4000</v>
      </c>
      <c r="CU21" s="176">
        <v>4000</v>
      </c>
      <c r="CV21" s="176">
        <v>4000</v>
      </c>
      <c r="CW21" s="176">
        <v>4000</v>
      </c>
      <c r="CX21" s="176">
        <v>4000</v>
      </c>
      <c r="CY21" s="176">
        <v>4000</v>
      </c>
      <c r="CZ21" s="176">
        <v>4000</v>
      </c>
      <c r="DA21" s="176">
        <v>4000</v>
      </c>
      <c r="DB21" s="176">
        <v>4000</v>
      </c>
      <c r="DC21" s="176">
        <v>4000</v>
      </c>
      <c r="DD21" s="176">
        <v>4000</v>
      </c>
      <c r="DE21" s="176">
        <v>4000</v>
      </c>
      <c r="DF21" s="176">
        <v>4000</v>
      </c>
      <c r="DG21" s="176">
        <v>3999.9561522348795</v>
      </c>
      <c r="DH21" s="176">
        <v>3851.0200176943163</v>
      </c>
      <c r="DI21" s="176">
        <v>3696.7577397393852</v>
      </c>
      <c r="DJ21" s="176">
        <v>3538.9076815311491</v>
      </c>
      <c r="DK21" s="176">
        <v>3376.4099991902503</v>
      </c>
      <c r="DL21" s="176">
        <v>3213.5535254301003</v>
      </c>
      <c r="DM21" s="176">
        <v>3050.2691608230621</v>
      </c>
      <c r="DN21" s="176">
        <v>2889.4095844863768</v>
      </c>
      <c r="DO21" s="176">
        <v>2733.3534620571563</v>
      </c>
      <c r="DP21" s="176">
        <v>2584.8570856828364</v>
      </c>
      <c r="DQ21" s="176">
        <v>2446.990788938389</v>
      </c>
      <c r="DR21" s="176">
        <v>2323.0939610745572</v>
      </c>
      <c r="DS21" s="176">
        <v>2216.7239850057585</v>
      </c>
      <c r="DT21" s="176">
        <v>2131.6083407678766</v>
      </c>
      <c r="DU21" s="176">
        <v>2071.6131016214822</v>
      </c>
      <c r="DV21" s="176">
        <v>2040.6870396046081</v>
      </c>
      <c r="DW21" s="176">
        <v>2042.7579161329288</v>
      </c>
      <c r="DX21" s="176">
        <v>2081.5792452330679</v>
      </c>
      <c r="DY21" s="176">
        <v>2160.4949767209428</v>
      </c>
      <c r="DZ21" s="176">
        <v>2282.0922495586174</v>
      </c>
      <c r="EA21" s="176">
        <v>2447.7994626479094</v>
      </c>
      <c r="EB21" s="176">
        <v>2657.5699356059058</v>
      </c>
      <c r="EC21" s="176">
        <v>2909.8244878675437</v>
      </c>
      <c r="ED21" s="176">
        <v>3201.6838796638258</v>
      </c>
      <c r="EE21" s="176">
        <v>3529.4057715944427</v>
      </c>
      <c r="EF21" s="176">
        <v>3888.8562669199027</v>
      </c>
      <c r="EG21" s="176">
        <v>4000</v>
      </c>
      <c r="EH21" s="176">
        <v>4000</v>
      </c>
      <c r="EI21" s="176">
        <v>4000</v>
      </c>
      <c r="EJ21" s="176">
        <v>4000</v>
      </c>
      <c r="EK21" s="176">
        <v>4000</v>
      </c>
      <c r="EL21" s="176">
        <v>4000</v>
      </c>
      <c r="EM21" s="176">
        <v>4000</v>
      </c>
      <c r="EN21" s="176">
        <v>4000</v>
      </c>
      <c r="EO21" s="176">
        <v>4000</v>
      </c>
      <c r="EP21" t="str">
        <f t="shared" si="0"/>
        <v>0y 235d</v>
      </c>
    </row>
    <row r="22" spans="2:154" x14ac:dyDescent="0.25">
      <c r="B22" s="9">
        <v>19</v>
      </c>
      <c r="D22">
        <v>1656638.0274991207</v>
      </c>
      <c r="E22" s="12">
        <v>-5810121401.463315</v>
      </c>
      <c r="F22" s="12">
        <v>-12296265461.06484</v>
      </c>
      <c r="G22" s="12">
        <v>0</v>
      </c>
      <c r="H22" s="12">
        <v>3375483.5632904228</v>
      </c>
      <c r="I22" s="12">
        <v>19830502847.792122</v>
      </c>
      <c r="J22" s="12">
        <v>7303075788.3796959</v>
      </c>
      <c r="K22" s="12">
        <v>-20010177.777773138</v>
      </c>
      <c r="L22" s="12">
        <v>836317.82049083919</v>
      </c>
      <c r="M22" s="12">
        <v>-8343310101.9156055</v>
      </c>
      <c r="N22" s="12">
        <v>-11158556329.047562</v>
      </c>
      <c r="O22" s="12">
        <v>27657192.073761806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S22" s="6">
        <v>5262507.244002386</v>
      </c>
      <c r="AT22" s="176">
        <v>4000</v>
      </c>
      <c r="AU22" s="176">
        <v>4000</v>
      </c>
      <c r="AV22" s="176">
        <v>4000</v>
      </c>
      <c r="AW22" s="176">
        <v>4000</v>
      </c>
      <c r="AX22" s="176">
        <v>4000</v>
      </c>
      <c r="AY22" s="176">
        <v>4000</v>
      </c>
      <c r="AZ22" s="176">
        <v>4000</v>
      </c>
      <c r="BA22" s="176">
        <v>4000</v>
      </c>
      <c r="BB22" s="176">
        <v>4000</v>
      </c>
      <c r="BC22" s="176">
        <v>4000</v>
      </c>
      <c r="BD22" s="176">
        <v>4000</v>
      </c>
      <c r="BE22" s="176">
        <v>4000</v>
      </c>
      <c r="BF22" s="176">
        <v>4000</v>
      </c>
      <c r="BG22" s="176">
        <v>4000</v>
      </c>
      <c r="BH22" s="176">
        <v>4000</v>
      </c>
      <c r="BI22" s="176">
        <v>4000</v>
      </c>
      <c r="BJ22" s="176">
        <v>4000</v>
      </c>
      <c r="BK22" s="176">
        <v>4000</v>
      </c>
      <c r="BL22" s="176">
        <v>4000</v>
      </c>
      <c r="BM22" s="176">
        <v>4000</v>
      </c>
      <c r="BN22" s="176">
        <v>4000</v>
      </c>
      <c r="BO22" s="176">
        <v>4000</v>
      </c>
      <c r="BP22" s="176">
        <v>4000</v>
      </c>
      <c r="BQ22" s="176">
        <v>4000</v>
      </c>
      <c r="BR22" s="176">
        <v>4000</v>
      </c>
      <c r="BS22" s="176">
        <v>4000</v>
      </c>
      <c r="BT22" s="176">
        <v>4000</v>
      </c>
      <c r="BU22" s="176">
        <v>4000</v>
      </c>
      <c r="BV22" s="176">
        <v>4000</v>
      </c>
      <c r="BW22" s="176">
        <v>4000</v>
      </c>
      <c r="BX22" s="176">
        <v>4000</v>
      </c>
      <c r="BY22" s="176">
        <v>4000</v>
      </c>
      <c r="BZ22" s="176">
        <v>4000</v>
      </c>
      <c r="CA22" s="176">
        <v>4000</v>
      </c>
      <c r="CB22" s="176">
        <v>4000</v>
      </c>
      <c r="CC22" s="176">
        <v>4000</v>
      </c>
      <c r="CD22" s="176">
        <v>4000</v>
      </c>
      <c r="CE22" s="176">
        <v>4000</v>
      </c>
      <c r="CF22" s="176">
        <v>4000</v>
      </c>
      <c r="CG22" s="176">
        <v>4000</v>
      </c>
      <c r="CH22" s="176">
        <v>4000</v>
      </c>
      <c r="CI22" s="176">
        <v>4000</v>
      </c>
      <c r="CJ22" s="176">
        <v>4000</v>
      </c>
      <c r="CK22" s="176">
        <v>4000</v>
      </c>
      <c r="CL22" s="176">
        <v>4000</v>
      </c>
      <c r="CM22" s="176">
        <v>4000</v>
      </c>
      <c r="CN22" s="176">
        <v>4000</v>
      </c>
      <c r="CO22" s="176">
        <v>4000</v>
      </c>
      <c r="CP22" s="176">
        <v>4000</v>
      </c>
      <c r="CQ22" s="176">
        <v>4000</v>
      </c>
      <c r="CR22" s="176">
        <v>4000</v>
      </c>
      <c r="CS22" s="176">
        <v>4000</v>
      </c>
      <c r="CT22" s="176">
        <v>4000</v>
      </c>
      <c r="CU22" s="176">
        <v>4000</v>
      </c>
      <c r="CV22" s="176">
        <v>4000</v>
      </c>
      <c r="CW22" s="176">
        <v>4000</v>
      </c>
      <c r="CX22" s="176">
        <v>4000</v>
      </c>
      <c r="CY22" s="176">
        <v>4000</v>
      </c>
      <c r="CZ22" s="176">
        <v>4000</v>
      </c>
      <c r="DA22" s="176">
        <v>4000</v>
      </c>
      <c r="DB22" s="176">
        <v>4000</v>
      </c>
      <c r="DC22" s="176">
        <v>4000</v>
      </c>
      <c r="DD22" s="176">
        <v>4000</v>
      </c>
      <c r="DE22" s="176">
        <v>4000</v>
      </c>
      <c r="DF22" s="176">
        <v>3889.316361026883</v>
      </c>
      <c r="DG22" s="176">
        <v>3753.8910454750494</v>
      </c>
      <c r="DH22" s="176">
        <v>3613.1708385755119</v>
      </c>
      <c r="DI22" s="176">
        <v>3467.9309186890509</v>
      </c>
      <c r="DJ22" s="176">
        <v>3319.308434364706</v>
      </c>
      <c r="DK22" s="176">
        <v>3176.51042051689</v>
      </c>
      <c r="DL22" s="176">
        <v>3015.8532525201244</v>
      </c>
      <c r="DM22" s="176">
        <v>2865.9226212273443</v>
      </c>
      <c r="DN22" s="176">
        <v>2717.2141167345435</v>
      </c>
      <c r="DO22" s="176">
        <v>2574.0815753418565</v>
      </c>
      <c r="DP22" s="176">
        <v>2438.9564582636726</v>
      </c>
      <c r="DQ22" s="176">
        <v>2314.7108515926166</v>
      </c>
      <c r="DR22" s="176">
        <v>2204.493211719624</v>
      </c>
      <c r="DS22" s="176">
        <v>2111.6634012683789</v>
      </c>
      <c r="DT22" s="176">
        <v>2039.7596296185691</v>
      </c>
      <c r="DU22" s="176">
        <v>1992.4677868395443</v>
      </c>
      <c r="DV22" s="176">
        <v>1973.5449174510154</v>
      </c>
      <c r="DW22" s="176">
        <v>1986.6818492530731</v>
      </c>
      <c r="DX22" s="176">
        <v>2035.3211739608896</v>
      </c>
      <c r="DY22" s="176">
        <v>2122.4050166705047</v>
      </c>
      <c r="DZ22" s="176">
        <v>2250.0470863335859</v>
      </c>
      <c r="EA22" s="176">
        <v>2419.1998645814529</v>
      </c>
      <c r="EB22" s="176">
        <v>2629.4579491737441</v>
      </c>
      <c r="EC22" s="176">
        <v>2879.0895891244591</v>
      </c>
      <c r="ED22" s="176">
        <v>3165.3016474840133</v>
      </c>
      <c r="EE22" s="176">
        <v>3484.6319003803205</v>
      </c>
      <c r="EF22" s="176">
        <v>3833.3386426236057</v>
      </c>
      <c r="EG22" s="176">
        <v>4000</v>
      </c>
      <c r="EH22" s="176">
        <v>4000</v>
      </c>
      <c r="EI22" s="176">
        <v>4000</v>
      </c>
      <c r="EJ22" s="176">
        <v>4000</v>
      </c>
      <c r="EK22" s="176">
        <v>4000</v>
      </c>
      <c r="EL22" s="176">
        <v>4000</v>
      </c>
      <c r="EM22" s="176">
        <v>4000</v>
      </c>
      <c r="EN22" s="176">
        <v>4000</v>
      </c>
      <c r="EO22" s="176">
        <v>4000</v>
      </c>
      <c r="EP22" t="str">
        <f t="shared" si="0"/>
        <v>0y 244d</v>
      </c>
    </row>
    <row r="23" spans="2:154" x14ac:dyDescent="0.25">
      <c r="B23" s="9">
        <v>20</v>
      </c>
      <c r="D23">
        <v>1748673.4734712932</v>
      </c>
      <c r="E23" s="12">
        <v>-5026567557.5028963</v>
      </c>
      <c r="F23" s="12">
        <v>-12636822131.318359</v>
      </c>
      <c r="G23" s="12">
        <v>0</v>
      </c>
      <c r="H23" s="12">
        <v>3555191.4573271992</v>
      </c>
      <c r="I23" s="12">
        <v>19274905709.055374</v>
      </c>
      <c r="J23" s="12">
        <v>8508273910.3070478</v>
      </c>
      <c r="K23" s="12">
        <v>-20502554.454617117</v>
      </c>
      <c r="L23" s="12">
        <v>884601.68261034042</v>
      </c>
      <c r="M23" s="12">
        <v>-7979703940.6839933</v>
      </c>
      <c r="N23" s="12">
        <v>-11477039207.629869</v>
      </c>
      <c r="O23" s="12">
        <v>29069339.008143749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S23" s="6">
        <v>5441376.0054264385</v>
      </c>
      <c r="AT23" s="176">
        <v>4000</v>
      </c>
      <c r="AU23" s="176">
        <v>4000</v>
      </c>
      <c r="AV23" s="176">
        <v>4000</v>
      </c>
      <c r="AW23" s="176">
        <v>4000</v>
      </c>
      <c r="AX23" s="176">
        <v>4000</v>
      </c>
      <c r="AY23" s="176">
        <v>4000</v>
      </c>
      <c r="AZ23" s="176">
        <v>4000</v>
      </c>
      <c r="BA23" s="176">
        <v>4000</v>
      </c>
      <c r="BB23" s="176">
        <v>4000</v>
      </c>
      <c r="BC23" s="176">
        <v>4000</v>
      </c>
      <c r="BD23" s="176">
        <v>4000</v>
      </c>
      <c r="BE23" s="176">
        <v>4000</v>
      </c>
      <c r="BF23" s="176">
        <v>4000</v>
      </c>
      <c r="BG23" s="176">
        <v>4000</v>
      </c>
      <c r="BH23" s="176">
        <v>4000</v>
      </c>
      <c r="BI23" s="176">
        <v>4000</v>
      </c>
      <c r="BJ23" s="176">
        <v>4000</v>
      </c>
      <c r="BK23" s="176">
        <v>4000</v>
      </c>
      <c r="BL23" s="176">
        <v>4000</v>
      </c>
      <c r="BM23" s="176">
        <v>4000</v>
      </c>
      <c r="BN23" s="176">
        <v>4000</v>
      </c>
      <c r="BO23" s="176">
        <v>4000</v>
      </c>
      <c r="BP23" s="176">
        <v>4000</v>
      </c>
      <c r="BQ23" s="176">
        <v>4000</v>
      </c>
      <c r="BR23" s="176">
        <v>4000</v>
      </c>
      <c r="BS23" s="176">
        <v>4000</v>
      </c>
      <c r="BT23" s="176">
        <v>4000</v>
      </c>
      <c r="BU23" s="176">
        <v>4000</v>
      </c>
      <c r="BV23" s="176">
        <v>4000</v>
      </c>
      <c r="BW23" s="176">
        <v>4000</v>
      </c>
      <c r="BX23" s="176">
        <v>4000</v>
      </c>
      <c r="BY23" s="176">
        <v>4000</v>
      </c>
      <c r="BZ23" s="176">
        <v>4000</v>
      </c>
      <c r="CA23" s="176">
        <v>4000</v>
      </c>
      <c r="CB23" s="176">
        <v>4000</v>
      </c>
      <c r="CC23" s="176">
        <v>4000</v>
      </c>
      <c r="CD23" s="176">
        <v>4000</v>
      </c>
      <c r="CE23" s="176">
        <v>4000</v>
      </c>
      <c r="CF23" s="176">
        <v>4000</v>
      </c>
      <c r="CG23" s="176">
        <v>4000</v>
      </c>
      <c r="CH23" s="176">
        <v>4000</v>
      </c>
      <c r="CI23" s="176">
        <v>4000</v>
      </c>
      <c r="CJ23" s="176">
        <v>4000</v>
      </c>
      <c r="CK23" s="176">
        <v>4000</v>
      </c>
      <c r="CL23" s="176">
        <v>4000</v>
      </c>
      <c r="CM23" s="176">
        <v>4000</v>
      </c>
      <c r="CN23" s="176">
        <v>4000</v>
      </c>
      <c r="CO23" s="176">
        <v>4000</v>
      </c>
      <c r="CP23" s="176">
        <v>4000</v>
      </c>
      <c r="CQ23" s="176">
        <v>4000</v>
      </c>
      <c r="CR23" s="176">
        <v>4000</v>
      </c>
      <c r="CS23" s="176">
        <v>4000</v>
      </c>
      <c r="CT23" s="176">
        <v>4000</v>
      </c>
      <c r="CU23" s="176">
        <v>4000</v>
      </c>
      <c r="CV23" s="176">
        <v>4000</v>
      </c>
      <c r="CW23" s="176">
        <v>4000</v>
      </c>
      <c r="CX23" s="176">
        <v>4000</v>
      </c>
      <c r="CY23" s="176">
        <v>4000</v>
      </c>
      <c r="CZ23" s="176">
        <v>4000</v>
      </c>
      <c r="DA23" s="176">
        <v>4000</v>
      </c>
      <c r="DB23" s="176">
        <v>4000</v>
      </c>
      <c r="DC23" s="176">
        <v>4000</v>
      </c>
      <c r="DD23" s="176">
        <v>3903.9047004784725</v>
      </c>
      <c r="DE23" s="176">
        <v>3785.7548929843715</v>
      </c>
      <c r="DF23" s="176">
        <v>3662.1225670798531</v>
      </c>
      <c r="DG23" s="176">
        <v>3533.4010125371251</v>
      </c>
      <c r="DH23" s="176">
        <v>3400.1562318305259</v>
      </c>
      <c r="DI23" s="176">
        <v>3263.1550630134006</v>
      </c>
      <c r="DJ23" s="176">
        <v>3123.4377138003538</v>
      </c>
      <c r="DK23" s="176">
        <v>2982.8684446797197</v>
      </c>
      <c r="DL23" s="176">
        <v>2893.5879910332519</v>
      </c>
      <c r="DM23" s="176">
        <v>2699.9444193108975</v>
      </c>
      <c r="DN23" s="176">
        <v>2565.8470190577691</v>
      </c>
      <c r="DO23" s="176">
        <v>2433.9138281399323</v>
      </c>
      <c r="DP23" s="176">
        <v>2310.8771961725106</v>
      </c>
      <c r="DQ23" s="176">
        <v>2199.0672336875</v>
      </c>
      <c r="DR23" s="176">
        <v>2101.3737410568597</v>
      </c>
      <c r="DS23" s="176">
        <v>2020.9511505226249</v>
      </c>
      <c r="DT23" s="176">
        <v>1961.1534924613984</v>
      </c>
      <c r="DU23" s="176">
        <v>1925.488996581385</v>
      </c>
      <c r="DV23" s="176">
        <v>1917.5077713538819</v>
      </c>
      <c r="DW23" s="176">
        <v>1940.6332523553876</v>
      </c>
      <c r="DX23" s="176">
        <v>1997.9647561116583</v>
      </c>
      <c r="DY23" s="176">
        <v>2092.02830966176</v>
      </c>
      <c r="DZ23" s="176">
        <v>2224.4874842827298</v>
      </c>
      <c r="EA23" s="176">
        <v>2395.8884053727279</v>
      </c>
      <c r="EB23" s="176">
        <v>2605.5589250911898</v>
      </c>
      <c r="EC23" s="176">
        <v>2851.7013890838434</v>
      </c>
      <c r="ED23" s="176">
        <v>3131.6590583471825</v>
      </c>
      <c r="EE23" s="176">
        <v>3442.2568905133321</v>
      </c>
      <c r="EF23" s="176">
        <v>3780.1194483699146</v>
      </c>
      <c r="EG23" s="176">
        <v>4000</v>
      </c>
      <c r="EH23" s="176">
        <v>4000</v>
      </c>
      <c r="EI23" s="176">
        <v>4000</v>
      </c>
      <c r="EJ23" s="176">
        <v>4000</v>
      </c>
      <c r="EK23" s="176">
        <v>4000</v>
      </c>
      <c r="EL23" s="176">
        <v>4000</v>
      </c>
      <c r="EM23" s="176">
        <v>4000</v>
      </c>
      <c r="EN23" s="176">
        <v>4000</v>
      </c>
      <c r="EO23" s="176">
        <v>4000</v>
      </c>
      <c r="EP23" t="str">
        <f t="shared" si="0"/>
        <v>0y 252d</v>
      </c>
    </row>
    <row r="24" spans="2:154" x14ac:dyDescent="0.25">
      <c r="B24" s="9">
        <v>21</v>
      </c>
      <c r="D24">
        <v>1840708.9194434658</v>
      </c>
      <c r="E24" s="12">
        <v>-4223176147.8133025</v>
      </c>
      <c r="F24" s="12">
        <v>-12927507037.834438</v>
      </c>
      <c r="G24" s="12">
        <v>0</v>
      </c>
      <c r="H24" s="12">
        <v>3733812.258121457</v>
      </c>
      <c r="I24" s="12">
        <v>18645375610.247646</v>
      </c>
      <c r="J24" s="12">
        <v>9672065603.3908138</v>
      </c>
      <c r="K24" s="12">
        <v>-20909737.966047361</v>
      </c>
      <c r="L24" s="12">
        <v>933211.83141079347</v>
      </c>
      <c r="M24" s="12">
        <v>-7605576176.3775778</v>
      </c>
      <c r="N24" s="12">
        <v>-11786074854.060192</v>
      </c>
      <c r="O24" s="12">
        <v>30461649.079775814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S24" s="6">
        <v>5620244.7668504911</v>
      </c>
      <c r="AT24" s="176">
        <v>4000</v>
      </c>
      <c r="AU24" s="176">
        <v>4000</v>
      </c>
      <c r="AV24" s="176">
        <v>4000</v>
      </c>
      <c r="AW24" s="176">
        <v>4000</v>
      </c>
      <c r="AX24" s="176">
        <v>4000</v>
      </c>
      <c r="AY24" s="176">
        <v>4000</v>
      </c>
      <c r="AZ24" s="176">
        <v>4000</v>
      </c>
      <c r="BA24" s="176">
        <v>4000</v>
      </c>
      <c r="BB24" s="176">
        <v>4000</v>
      </c>
      <c r="BC24" s="176">
        <v>4000</v>
      </c>
      <c r="BD24" s="176">
        <v>4000</v>
      </c>
      <c r="BE24" s="176">
        <v>4000</v>
      </c>
      <c r="BF24" s="176">
        <v>4000</v>
      </c>
      <c r="BG24" s="176">
        <v>4000</v>
      </c>
      <c r="BH24" s="176">
        <v>4000</v>
      </c>
      <c r="BI24" s="176">
        <v>4000</v>
      </c>
      <c r="BJ24" s="176">
        <v>4000</v>
      </c>
      <c r="BK24" s="176">
        <v>4000</v>
      </c>
      <c r="BL24" s="176">
        <v>4000</v>
      </c>
      <c r="BM24" s="176">
        <v>4000</v>
      </c>
      <c r="BN24" s="176">
        <v>4000</v>
      </c>
      <c r="BO24" s="176">
        <v>4000</v>
      </c>
      <c r="BP24" s="176">
        <v>4000</v>
      </c>
      <c r="BQ24" s="176">
        <v>4000</v>
      </c>
      <c r="BR24" s="176">
        <v>4000</v>
      </c>
      <c r="BS24" s="176">
        <v>4000</v>
      </c>
      <c r="BT24" s="176">
        <v>4000</v>
      </c>
      <c r="BU24" s="176">
        <v>4000</v>
      </c>
      <c r="BV24" s="176">
        <v>4000</v>
      </c>
      <c r="BW24" s="176">
        <v>4000</v>
      </c>
      <c r="BX24" s="176">
        <v>4000</v>
      </c>
      <c r="BY24" s="176">
        <v>4000</v>
      </c>
      <c r="BZ24" s="176">
        <v>4000</v>
      </c>
      <c r="CA24" s="176">
        <v>4000</v>
      </c>
      <c r="CB24" s="176">
        <v>4000</v>
      </c>
      <c r="CC24" s="176">
        <v>4000</v>
      </c>
      <c r="CD24" s="176">
        <v>4000</v>
      </c>
      <c r="CE24" s="176">
        <v>4000</v>
      </c>
      <c r="CF24" s="176">
        <v>4000</v>
      </c>
      <c r="CG24" s="176">
        <v>4000</v>
      </c>
      <c r="CH24" s="176">
        <v>4000</v>
      </c>
      <c r="CI24" s="176">
        <v>4000</v>
      </c>
      <c r="CJ24" s="176">
        <v>4000</v>
      </c>
      <c r="CK24" s="176">
        <v>4000</v>
      </c>
      <c r="CL24" s="176">
        <v>4000</v>
      </c>
      <c r="CM24" s="176">
        <v>4000</v>
      </c>
      <c r="CN24" s="176">
        <v>4000</v>
      </c>
      <c r="CO24" s="176">
        <v>4000</v>
      </c>
      <c r="CP24" s="176">
        <v>4000</v>
      </c>
      <c r="CQ24" s="176">
        <v>4000</v>
      </c>
      <c r="CR24" s="176">
        <v>4000</v>
      </c>
      <c r="CS24" s="176">
        <v>4000</v>
      </c>
      <c r="CT24" s="176">
        <v>4000</v>
      </c>
      <c r="CU24" s="176">
        <v>4000</v>
      </c>
      <c r="CV24" s="176">
        <v>4000</v>
      </c>
      <c r="CW24" s="176">
        <v>4000</v>
      </c>
      <c r="CX24" s="176">
        <v>4000</v>
      </c>
      <c r="CY24" s="176">
        <v>4000</v>
      </c>
      <c r="CZ24" s="176">
        <v>4000</v>
      </c>
      <c r="DA24" s="176">
        <v>4000</v>
      </c>
      <c r="DB24" s="176">
        <v>3903.2783141708278</v>
      </c>
      <c r="DC24" s="176">
        <v>3799.6479662618131</v>
      </c>
      <c r="DD24" s="176">
        <v>3690.9621397713727</v>
      </c>
      <c r="DE24" s="176">
        <v>3577.3190290534703</v>
      </c>
      <c r="DF24" s="176">
        <v>3458.9547499903492</v>
      </c>
      <c r="DG24" s="176">
        <v>3336.2579821301606</v>
      </c>
      <c r="DH24" s="176">
        <v>3209.7874060082822</v>
      </c>
      <c r="DI24" s="176">
        <v>3080.2950237933787</v>
      </c>
      <c r="DJ24" s="176">
        <v>2948.7704031880471</v>
      </c>
      <c r="DK24" s="176">
        <v>2816.6108245130072</v>
      </c>
      <c r="DL24" s="176">
        <v>2687.2449849174582</v>
      </c>
      <c r="DM24" s="176">
        <v>2869.5715640282369</v>
      </c>
      <c r="DN24" s="176">
        <v>2427.8468763695701</v>
      </c>
      <c r="DO24" s="176">
        <v>2312.7512543324729</v>
      </c>
      <c r="DP24" s="176">
        <v>2199.6318770273028</v>
      </c>
      <c r="DQ24" s="176">
        <v>2098.876078537076</v>
      </c>
      <c r="DR24" s="176">
        <v>2012.5217174120671</v>
      </c>
      <c r="DS24" s="176">
        <v>1943.3945046599679</v>
      </c>
      <c r="DT24" s="176">
        <v>1894.6347442985787</v>
      </c>
      <c r="DU24" s="176">
        <v>1869.5567354862544</v>
      </c>
      <c r="DV24" s="176">
        <v>1871.4777338461849</v>
      </c>
      <c r="DW24" s="176">
        <v>1903.522486874421</v>
      </c>
      <c r="DX24" s="176">
        <v>1968.4249765738716</v>
      </c>
      <c r="DY24" s="176">
        <v>2068.2999895288995</v>
      </c>
      <c r="DZ24" s="176">
        <v>2204.3994214525583</v>
      </c>
      <c r="EA24" s="176">
        <v>2376.9394402857556</v>
      </c>
      <c r="EB24" s="176">
        <v>2585.0642544168813</v>
      </c>
      <c r="EC24" s="176">
        <v>2826.9761767748714</v>
      </c>
      <c r="ED24" s="176">
        <v>3100.1851492924943</v>
      </c>
      <c r="EE24" s="176">
        <v>3401.7978198481514</v>
      </c>
      <c r="EF24" s="176">
        <v>3728.7751645519756</v>
      </c>
      <c r="EG24" s="176">
        <v>4000</v>
      </c>
      <c r="EH24" s="176">
        <v>4000</v>
      </c>
      <c r="EI24" s="176">
        <v>4000</v>
      </c>
      <c r="EJ24" s="176">
        <v>4000</v>
      </c>
      <c r="EK24" s="176">
        <v>4000</v>
      </c>
      <c r="EL24" s="176">
        <v>4000</v>
      </c>
      <c r="EM24" s="176">
        <v>4000</v>
      </c>
      <c r="EN24" s="176">
        <v>4000</v>
      </c>
      <c r="EO24" s="176">
        <v>4000</v>
      </c>
      <c r="EP24" t="str">
        <f t="shared" si="0"/>
        <v>0y 260d</v>
      </c>
    </row>
    <row r="25" spans="2:154" x14ac:dyDescent="0.25">
      <c r="B25" s="9">
        <v>22</v>
      </c>
      <c r="D25">
        <v>1932744.3654156385</v>
      </c>
      <c r="E25" s="12">
        <v>-3403117791.2539582</v>
      </c>
      <c r="F25" s="12">
        <v>-13167172980.088358</v>
      </c>
      <c r="G25" s="12">
        <v>0</v>
      </c>
      <c r="H25" s="12">
        <v>3911331.1430813093</v>
      </c>
      <c r="I25" s="12">
        <v>17945192376.250698</v>
      </c>
      <c r="J25" s="12">
        <v>10790015870.264505</v>
      </c>
      <c r="K25" s="12">
        <v>-21230823.109751876</v>
      </c>
      <c r="L25" s="12">
        <v>982169.27462034533</v>
      </c>
      <c r="M25" s="12">
        <v>-7221060978.9019661</v>
      </c>
      <c r="N25" s="12">
        <v>-12085363019.363598</v>
      </c>
      <c r="O25" s="12">
        <v>31833006.900208868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S25" s="6">
        <v>5799113.5282745436</v>
      </c>
      <c r="AT25" s="176">
        <v>4000</v>
      </c>
      <c r="AU25" s="176">
        <v>4000</v>
      </c>
      <c r="AV25" s="176">
        <v>4000</v>
      </c>
      <c r="AW25" s="176">
        <v>4000</v>
      </c>
      <c r="AX25" s="176">
        <v>4000</v>
      </c>
      <c r="AY25" s="176">
        <v>4000</v>
      </c>
      <c r="AZ25" s="176">
        <v>4000</v>
      </c>
      <c r="BA25" s="176">
        <v>4000</v>
      </c>
      <c r="BB25" s="176">
        <v>4000</v>
      </c>
      <c r="BC25" s="176">
        <v>4000</v>
      </c>
      <c r="BD25" s="176">
        <v>4000</v>
      </c>
      <c r="BE25" s="176">
        <v>4000</v>
      </c>
      <c r="BF25" s="176">
        <v>4000</v>
      </c>
      <c r="BG25" s="176">
        <v>4000</v>
      </c>
      <c r="BH25" s="176">
        <v>4000</v>
      </c>
      <c r="BI25" s="176">
        <v>4000</v>
      </c>
      <c r="BJ25" s="176">
        <v>4000</v>
      </c>
      <c r="BK25" s="176">
        <v>4000</v>
      </c>
      <c r="BL25" s="176">
        <v>4000</v>
      </c>
      <c r="BM25" s="176">
        <v>4000</v>
      </c>
      <c r="BN25" s="176">
        <v>4000</v>
      </c>
      <c r="BO25" s="176">
        <v>4000</v>
      </c>
      <c r="BP25" s="176">
        <v>4000</v>
      </c>
      <c r="BQ25" s="176">
        <v>4000</v>
      </c>
      <c r="BR25" s="176">
        <v>4000</v>
      </c>
      <c r="BS25" s="176">
        <v>4000</v>
      </c>
      <c r="BT25" s="176">
        <v>4000</v>
      </c>
      <c r="BU25" s="176">
        <v>4000</v>
      </c>
      <c r="BV25" s="176">
        <v>4000</v>
      </c>
      <c r="BW25" s="176">
        <v>4000</v>
      </c>
      <c r="BX25" s="176">
        <v>4000</v>
      </c>
      <c r="BY25" s="176">
        <v>4000</v>
      </c>
      <c r="BZ25" s="176">
        <v>4000</v>
      </c>
      <c r="CA25" s="176">
        <v>4000</v>
      </c>
      <c r="CB25" s="176">
        <v>4000</v>
      </c>
      <c r="CC25" s="176">
        <v>4000</v>
      </c>
      <c r="CD25" s="176">
        <v>4000</v>
      </c>
      <c r="CE25" s="176">
        <v>4000</v>
      </c>
      <c r="CF25" s="176">
        <v>4000</v>
      </c>
      <c r="CG25" s="176">
        <v>4000</v>
      </c>
      <c r="CH25" s="176">
        <v>4000</v>
      </c>
      <c r="CI25" s="176">
        <v>4000</v>
      </c>
      <c r="CJ25" s="176">
        <v>4000</v>
      </c>
      <c r="CK25" s="176">
        <v>4000</v>
      </c>
      <c r="CL25" s="176">
        <v>4000</v>
      </c>
      <c r="CM25" s="176">
        <v>4000</v>
      </c>
      <c r="CN25" s="176">
        <v>4000</v>
      </c>
      <c r="CO25" s="176">
        <v>4000</v>
      </c>
      <c r="CP25" s="176">
        <v>4000</v>
      </c>
      <c r="CQ25" s="176">
        <v>4000</v>
      </c>
      <c r="CR25" s="176">
        <v>4000</v>
      </c>
      <c r="CS25" s="176">
        <v>4000</v>
      </c>
      <c r="CT25" s="176">
        <v>4000</v>
      </c>
      <c r="CU25" s="176">
        <v>4000</v>
      </c>
      <c r="CV25" s="176">
        <v>4000</v>
      </c>
      <c r="CW25" s="176">
        <v>4000</v>
      </c>
      <c r="CX25" s="176">
        <v>4000</v>
      </c>
      <c r="CY25" s="176">
        <v>3987.7634903203671</v>
      </c>
      <c r="CZ25" s="176">
        <v>3898.5047364256907</v>
      </c>
      <c r="DA25" s="176">
        <v>3805.4590996386241</v>
      </c>
      <c r="DB25" s="176">
        <v>3708.3522691291073</v>
      </c>
      <c r="DC25" s="176">
        <v>3607.0210712744465</v>
      </c>
      <c r="DD25" s="176">
        <v>3501.4214129291258</v>
      </c>
      <c r="DE25" s="176">
        <v>3391.6377366067518</v>
      </c>
      <c r="DF25" s="176">
        <v>3277.8941162471015</v>
      </c>
      <c r="DG25" s="176">
        <v>3160.5671893805238</v>
      </c>
      <c r="DH25" s="176">
        <v>3040.2012126011246</v>
      </c>
      <c r="DI25" s="176">
        <v>2917.5282607929121</v>
      </c>
      <c r="DJ25" s="176">
        <v>2793.4982626921201</v>
      </c>
      <c r="DK25" s="176">
        <v>2669.3589653692652</v>
      </c>
      <c r="DL25" s="176">
        <v>2547.0365076592579</v>
      </c>
      <c r="DM25" s="176">
        <v>2433.2924139583592</v>
      </c>
      <c r="DN25" s="176">
        <v>4000</v>
      </c>
      <c r="DO25" s="176">
        <v>2199.0328213345692</v>
      </c>
      <c r="DP25" s="176">
        <v>2106.3070209399903</v>
      </c>
      <c r="DQ25" s="176">
        <v>2013.7390680317212</v>
      </c>
      <c r="DR25" s="176">
        <v>1937.1395834662985</v>
      </c>
      <c r="DS25" s="176">
        <v>1878.0623631926242</v>
      </c>
      <c r="DT25" s="176">
        <v>1839.2286112515919</v>
      </c>
      <c r="DU25" s="176">
        <v>1823.6840319180546</v>
      </c>
      <c r="DV25" s="176">
        <v>1834.4632807341734</v>
      </c>
      <c r="DW25" s="176">
        <v>1874.3563802257902</v>
      </c>
      <c r="DX25" s="176">
        <v>1945.7181041056817</v>
      </c>
      <c r="DY25" s="176">
        <v>2050.268952033703</v>
      </c>
      <c r="DZ25" s="176">
        <v>2188.9014211549093</v>
      </c>
      <c r="EA25" s="176">
        <v>2361.5714416360934</v>
      </c>
      <c r="EB25" s="176">
        <v>2567.3101009601437</v>
      </c>
      <c r="EC25" s="176">
        <v>2804.3666373161891</v>
      </c>
      <c r="ED25" s="176">
        <v>3070.4323591950542</v>
      </c>
      <c r="EE25" s="176">
        <v>3362.8819551515353</v>
      </c>
      <c r="EF25" s="176">
        <v>3678.9817355974928</v>
      </c>
      <c r="EG25" s="176">
        <v>4000</v>
      </c>
      <c r="EH25" s="176">
        <v>4000</v>
      </c>
      <c r="EI25" s="176">
        <v>4000</v>
      </c>
      <c r="EJ25" s="176">
        <v>4000</v>
      </c>
      <c r="EK25" s="176">
        <v>4000</v>
      </c>
      <c r="EL25" s="176">
        <v>4000</v>
      </c>
      <c r="EM25" s="176">
        <v>4000</v>
      </c>
      <c r="EN25" s="176">
        <v>4000</v>
      </c>
      <c r="EO25" s="176">
        <v>4000</v>
      </c>
      <c r="EP25" t="str">
        <f t="shared" si="0"/>
        <v>0y 268d</v>
      </c>
    </row>
    <row r="26" spans="2:154" x14ac:dyDescent="0.25">
      <c r="B26" s="9">
        <v>23</v>
      </c>
      <c r="D26">
        <v>2024779.8113878111</v>
      </c>
      <c r="E26" s="12">
        <v>-2569628883.509141</v>
      </c>
      <c r="F26" s="12">
        <v>-13354874106.099005</v>
      </c>
      <c r="G26" s="12">
        <v>0</v>
      </c>
      <c r="H26" s="12">
        <v>4087738.1404646374</v>
      </c>
      <c r="I26" s="12">
        <v>17177883259.836905</v>
      </c>
      <c r="J26" s="12">
        <v>11857968928.709629</v>
      </c>
      <c r="K26" s="12">
        <v>-21465294.843011424</v>
      </c>
      <c r="L26" s="12">
        <v>1031495.2169855804</v>
      </c>
      <c r="M26" s="12">
        <v>-6826298926.266696</v>
      </c>
      <c r="N26" s="12">
        <v>-12374597730.921143</v>
      </c>
      <c r="O26" s="12">
        <v>33182271.833364081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G26" s="208" t="s">
        <v>61</v>
      </c>
      <c r="AH26" s="208"/>
      <c r="AI26" s="208"/>
      <c r="AJ26" s="208"/>
      <c r="AK26" s="208"/>
      <c r="AL26" s="208"/>
      <c r="AS26" s="6">
        <v>5977982.2896985961</v>
      </c>
      <c r="AT26" s="176">
        <v>4000</v>
      </c>
      <c r="AU26" s="176">
        <v>4000</v>
      </c>
      <c r="AV26" s="176">
        <v>4000</v>
      </c>
      <c r="AW26" s="176">
        <v>4000</v>
      </c>
      <c r="AX26" s="176">
        <v>4000</v>
      </c>
      <c r="AY26" s="176">
        <v>4000</v>
      </c>
      <c r="AZ26" s="176">
        <v>4000</v>
      </c>
      <c r="BA26" s="176">
        <v>4000</v>
      </c>
      <c r="BB26" s="176">
        <v>4000</v>
      </c>
      <c r="BC26" s="176">
        <v>4000</v>
      </c>
      <c r="BD26" s="176">
        <v>4000</v>
      </c>
      <c r="BE26" s="176">
        <v>4000</v>
      </c>
      <c r="BF26" s="176">
        <v>4000</v>
      </c>
      <c r="BG26" s="176">
        <v>4000</v>
      </c>
      <c r="BH26" s="176">
        <v>4000</v>
      </c>
      <c r="BI26" s="176">
        <v>4000</v>
      </c>
      <c r="BJ26" s="176">
        <v>4000</v>
      </c>
      <c r="BK26" s="176">
        <v>4000</v>
      </c>
      <c r="BL26" s="176">
        <v>4000</v>
      </c>
      <c r="BM26" s="176">
        <v>4000</v>
      </c>
      <c r="BN26" s="176">
        <v>4000</v>
      </c>
      <c r="BO26" s="176">
        <v>4000</v>
      </c>
      <c r="BP26" s="176">
        <v>4000</v>
      </c>
      <c r="BQ26" s="176">
        <v>4000</v>
      </c>
      <c r="BR26" s="176">
        <v>4000</v>
      </c>
      <c r="BS26" s="176">
        <v>4000</v>
      </c>
      <c r="BT26" s="176">
        <v>4000</v>
      </c>
      <c r="BU26" s="176">
        <v>4000</v>
      </c>
      <c r="BV26" s="176">
        <v>4000</v>
      </c>
      <c r="BW26" s="176">
        <v>4000</v>
      </c>
      <c r="BX26" s="176">
        <v>4000</v>
      </c>
      <c r="BY26" s="176">
        <v>4000</v>
      </c>
      <c r="BZ26" s="176">
        <v>4000</v>
      </c>
      <c r="CA26" s="176">
        <v>4000</v>
      </c>
      <c r="CB26" s="176">
        <v>4000</v>
      </c>
      <c r="CC26" s="176">
        <v>4000</v>
      </c>
      <c r="CD26" s="176">
        <v>4000</v>
      </c>
      <c r="CE26" s="176">
        <v>4000</v>
      </c>
      <c r="CF26" s="176">
        <v>4000</v>
      </c>
      <c r="CG26" s="176">
        <v>4000</v>
      </c>
      <c r="CH26" s="176">
        <v>4000</v>
      </c>
      <c r="CI26" s="176">
        <v>4000</v>
      </c>
      <c r="CJ26" s="176">
        <v>4000</v>
      </c>
      <c r="CK26" s="176">
        <v>4000</v>
      </c>
      <c r="CL26" s="176">
        <v>4000</v>
      </c>
      <c r="CM26" s="176">
        <v>4000</v>
      </c>
      <c r="CN26" s="176">
        <v>4000</v>
      </c>
      <c r="CO26" s="176">
        <v>4000</v>
      </c>
      <c r="CP26" s="176">
        <v>4000</v>
      </c>
      <c r="CQ26" s="176">
        <v>4000</v>
      </c>
      <c r="CR26" s="176">
        <v>4000</v>
      </c>
      <c r="CS26" s="176">
        <v>4000</v>
      </c>
      <c r="CT26" s="176">
        <v>4000</v>
      </c>
      <c r="CU26" s="176">
        <v>4000</v>
      </c>
      <c r="CV26" s="176">
        <v>4000</v>
      </c>
      <c r="CW26" s="176">
        <v>3990.0412786316328</v>
      </c>
      <c r="CX26" s="176">
        <v>3904.1244362478819</v>
      </c>
      <c r="CY26" s="176">
        <v>3816.2976862122305</v>
      </c>
      <c r="CZ26" s="176">
        <v>3726.0246564768104</v>
      </c>
      <c r="DA26" s="176">
        <v>3632.8778584786078</v>
      </c>
      <c r="DB26" s="176">
        <v>3536.5428002118133</v>
      </c>
      <c r="DC26" s="176">
        <v>3436.8232378310504</v>
      </c>
      <c r="DD26" s="176">
        <v>3333.6477156922374</v>
      </c>
      <c r="DE26" s="176">
        <v>3227.0775213988272</v>
      </c>
      <c r="DF26" s="176">
        <v>3117.3159675958709</v>
      </c>
      <c r="DG26" s="176">
        <v>3004.7202166582351</v>
      </c>
      <c r="DH26" s="176">
        <v>2889.8135180715108</v>
      </c>
      <c r="DI26" s="176">
        <v>2773.3019353569489</v>
      </c>
      <c r="DJ26" s="176">
        <v>2656.0973698239695</v>
      </c>
      <c r="DK26" s="176">
        <v>2539.3635261120253</v>
      </c>
      <c r="DL26" s="176">
        <v>2424.6629215257631</v>
      </c>
      <c r="DM26" s="176">
        <v>2314.7524267616054</v>
      </c>
      <c r="DN26" s="176">
        <v>2223.0308226755624</v>
      </c>
      <c r="DO26" s="176">
        <v>2104.2716069575199</v>
      </c>
      <c r="DP26" s="176">
        <v>2013.1690658103521</v>
      </c>
      <c r="DQ26" s="176">
        <v>1946.0180179418667</v>
      </c>
      <c r="DR26" s="176">
        <v>1875.3276664728392</v>
      </c>
      <c r="DS26" s="176">
        <v>1824.4203353733378</v>
      </c>
      <c r="DT26" s="176">
        <v>1794.1733282589569</v>
      </c>
      <c r="DU26" s="176">
        <v>1787.0190445371084</v>
      </c>
      <c r="DV26" s="176">
        <v>1805.5754305214557</v>
      </c>
      <c r="DW26" s="176">
        <v>1852.2362941677811</v>
      </c>
      <c r="DX26" s="176">
        <v>1928.9626344123469</v>
      </c>
      <c r="DY26" s="176">
        <v>2037.1012528426072</v>
      </c>
      <c r="DZ26" s="176">
        <v>2177.2391785218697</v>
      </c>
      <c r="EA26" s="176">
        <v>2349.1345807970406</v>
      </c>
      <c r="EB26" s="176">
        <v>2551.7598011238497</v>
      </c>
      <c r="EC26" s="176">
        <v>2783.4416594725303</v>
      </c>
      <c r="ED26" s="176">
        <v>3042.0560583118031</v>
      </c>
      <c r="EE26" s="176">
        <v>3325.2272845850425</v>
      </c>
      <c r="EF26" s="176">
        <v>3630.49644381488</v>
      </c>
      <c r="EG26" s="176">
        <v>3955.4440304697773</v>
      </c>
      <c r="EH26" s="176">
        <v>4000</v>
      </c>
      <c r="EI26" s="176">
        <v>4000</v>
      </c>
      <c r="EJ26" s="176">
        <v>4000</v>
      </c>
      <c r="EK26" s="176">
        <v>4000</v>
      </c>
      <c r="EL26" s="176">
        <v>4000</v>
      </c>
      <c r="EM26" s="176">
        <v>4000</v>
      </c>
      <c r="EN26" s="176">
        <v>4000</v>
      </c>
      <c r="EO26" s="176">
        <v>4000</v>
      </c>
      <c r="EP26" t="str">
        <f t="shared" si="0"/>
        <v>0y 277d</v>
      </c>
    </row>
    <row r="27" spans="2:154" ht="15.75" thickBot="1" x14ac:dyDescent="0.3">
      <c r="B27" s="9">
        <v>24</v>
      </c>
      <c r="D27">
        <v>2116815.2573599839</v>
      </c>
      <c r="E27" s="12">
        <v>-1725998824.5129058</v>
      </c>
      <c r="F27" s="12">
        <v>-13489869645.274494</v>
      </c>
      <c r="G27" s="12">
        <v>0</v>
      </c>
      <c r="H27" s="12">
        <v>4263028.0446545258</v>
      </c>
      <c r="I27" s="12">
        <v>16347197119.183153</v>
      </c>
      <c r="J27" s="12">
        <v>12872058942.446911</v>
      </c>
      <c r="K27" s="12">
        <v>-21613017.344216447</v>
      </c>
      <c r="L27" s="12">
        <v>1081211.0661571226</v>
      </c>
      <c r="M27" s="12">
        <v>-6421437683.9315042</v>
      </c>
      <c r="N27" s="12">
        <v>-12653467186.608164</v>
      </c>
      <c r="O27" s="12">
        <v>34508276.948140472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S27" s="6">
        <v>6156851.0511226486</v>
      </c>
      <c r="AT27" s="176">
        <v>4000</v>
      </c>
      <c r="AU27" s="176">
        <v>4000</v>
      </c>
      <c r="AV27" s="176">
        <v>4000</v>
      </c>
      <c r="AW27" s="176">
        <v>4000</v>
      </c>
      <c r="AX27" s="176">
        <v>4000</v>
      </c>
      <c r="AY27" s="176">
        <v>4000</v>
      </c>
      <c r="AZ27" s="176">
        <v>4000</v>
      </c>
      <c r="BA27" s="176">
        <v>4000</v>
      </c>
      <c r="BB27" s="176">
        <v>4000</v>
      </c>
      <c r="BC27" s="176">
        <v>4000</v>
      </c>
      <c r="BD27" s="176">
        <v>4000</v>
      </c>
      <c r="BE27" s="176">
        <v>4000</v>
      </c>
      <c r="BF27" s="176">
        <v>4000</v>
      </c>
      <c r="BG27" s="176">
        <v>4000</v>
      </c>
      <c r="BH27" s="176">
        <v>4000</v>
      </c>
      <c r="BI27" s="176">
        <v>4000</v>
      </c>
      <c r="BJ27" s="176">
        <v>4000</v>
      </c>
      <c r="BK27" s="176">
        <v>4000</v>
      </c>
      <c r="BL27" s="176">
        <v>4000</v>
      </c>
      <c r="BM27" s="176">
        <v>4000</v>
      </c>
      <c r="BN27" s="176">
        <v>4000</v>
      </c>
      <c r="BO27" s="176">
        <v>4000</v>
      </c>
      <c r="BP27" s="176">
        <v>4000</v>
      </c>
      <c r="BQ27" s="176">
        <v>4000</v>
      </c>
      <c r="BR27" s="176">
        <v>4000</v>
      </c>
      <c r="BS27" s="176">
        <v>4000</v>
      </c>
      <c r="BT27" s="176">
        <v>4000</v>
      </c>
      <c r="BU27" s="176">
        <v>4000</v>
      </c>
      <c r="BV27" s="176">
        <v>4000</v>
      </c>
      <c r="BW27" s="176">
        <v>4000</v>
      </c>
      <c r="BX27" s="176">
        <v>4000</v>
      </c>
      <c r="BY27" s="176">
        <v>4000</v>
      </c>
      <c r="BZ27" s="176">
        <v>4000</v>
      </c>
      <c r="CA27" s="176">
        <v>4000</v>
      </c>
      <c r="CB27" s="176">
        <v>4000</v>
      </c>
      <c r="CC27" s="176">
        <v>4000</v>
      </c>
      <c r="CD27" s="176">
        <v>4000</v>
      </c>
      <c r="CE27" s="176">
        <v>4000</v>
      </c>
      <c r="CF27" s="176">
        <v>4000</v>
      </c>
      <c r="CG27" s="176">
        <v>4000</v>
      </c>
      <c r="CH27" s="176">
        <v>4000</v>
      </c>
      <c r="CI27" s="176">
        <v>4000</v>
      </c>
      <c r="CJ27" s="176">
        <v>4000</v>
      </c>
      <c r="CK27" s="176">
        <v>4000</v>
      </c>
      <c r="CL27" s="176">
        <v>4000</v>
      </c>
      <c r="CM27" s="176">
        <v>4000</v>
      </c>
      <c r="CN27" s="176">
        <v>4000</v>
      </c>
      <c r="CO27" s="176">
        <v>4000</v>
      </c>
      <c r="CP27" s="176">
        <v>4000</v>
      </c>
      <c r="CQ27" s="176">
        <v>4000</v>
      </c>
      <c r="CR27" s="176">
        <v>4000</v>
      </c>
      <c r="CS27" s="176">
        <v>4000</v>
      </c>
      <c r="CT27" s="176">
        <v>4000</v>
      </c>
      <c r="CU27" s="176">
        <v>4000</v>
      </c>
      <c r="CV27" s="176">
        <v>3939.7394390473801</v>
      </c>
      <c r="CW27" s="176">
        <v>3849.8210597145917</v>
      </c>
      <c r="CX27" s="176">
        <v>3759.8401932835941</v>
      </c>
      <c r="CY27" s="176">
        <v>3669.0695508965346</v>
      </c>
      <c r="CZ27" s="176">
        <v>3576.8991776000157</v>
      </c>
      <c r="DA27" s="176">
        <v>3482.8386598995785</v>
      </c>
      <c r="DB27" s="176">
        <v>3386.5201059972569</v>
      </c>
      <c r="DC27" s="176">
        <v>3287.7021006942778</v>
      </c>
      <c r="DD27" s="176">
        <v>3186.2746567245777</v>
      </c>
      <c r="DE27" s="176">
        <v>3082.2661417545141</v>
      </c>
      <c r="DF27" s="176">
        <v>2975.8503919367431</v>
      </c>
      <c r="DG27" s="176">
        <v>2867.3564272402846</v>
      </c>
      <c r="DH27" s="176">
        <v>2757.2793726036562</v>
      </c>
      <c r="DI27" s="176">
        <v>2646.2937927009662</v>
      </c>
      <c r="DJ27" s="176">
        <v>2535.2714776947978</v>
      </c>
      <c r="DK27" s="176">
        <v>2425.3113433925528</v>
      </c>
      <c r="DL27" s="176">
        <v>2317.8121059801188</v>
      </c>
      <c r="DM27" s="176">
        <v>2214.7380896202467</v>
      </c>
      <c r="DN27" s="176">
        <v>2120.141348063466</v>
      </c>
      <c r="DO27" s="176">
        <v>2059.172703585722</v>
      </c>
      <c r="DP27" s="176">
        <v>1940.4293667415443</v>
      </c>
      <c r="DQ27" s="176">
        <v>1869.9677881949726</v>
      </c>
      <c r="DR27" s="176">
        <v>1830.6132897121051</v>
      </c>
      <c r="DS27" s="176">
        <v>1782.905601888039</v>
      </c>
      <c r="DT27" s="176">
        <v>1759.0769459315857</v>
      </c>
      <c r="DU27" s="176">
        <v>1758.8907039634259</v>
      </c>
      <c r="DV27" s="176">
        <v>1784.0425907058409</v>
      </c>
      <c r="DW27" s="176">
        <v>1836.3652826736011</v>
      </c>
      <c r="DX27" s="176">
        <v>1917.379514579337</v>
      </c>
      <c r="DY27" s="176">
        <v>2028.076024068685</v>
      </c>
      <c r="DZ27" s="176">
        <v>2168.7781927462365</v>
      </c>
      <c r="EA27" s="176">
        <v>2339.0977049301882</v>
      </c>
      <c r="EB27" s="176">
        <v>2537.987206946179</v>
      </c>
      <c r="EC27" s="176">
        <v>2763.8684579580322</v>
      </c>
      <c r="ED27" s="176">
        <v>3014.7971814723878</v>
      </c>
      <c r="EE27" s="176">
        <v>3288.6264319025631</v>
      </c>
      <c r="EF27" s="176">
        <v>3583.1431612354245</v>
      </c>
      <c r="EG27" s="176">
        <v>3896.1681133020675</v>
      </c>
      <c r="EH27" s="176">
        <v>4000</v>
      </c>
      <c r="EI27" s="176">
        <v>4000</v>
      </c>
      <c r="EJ27" s="176">
        <v>4000</v>
      </c>
      <c r="EK27" s="176">
        <v>4000</v>
      </c>
      <c r="EL27" s="176">
        <v>4000</v>
      </c>
      <c r="EM27" s="176">
        <v>4000</v>
      </c>
      <c r="EN27" s="176">
        <v>4000</v>
      </c>
      <c r="EO27" s="176">
        <v>4000</v>
      </c>
      <c r="EP27" t="str">
        <f t="shared" si="0"/>
        <v>0y 285d</v>
      </c>
    </row>
    <row r="28" spans="2:154" x14ac:dyDescent="0.25">
      <c r="B28" s="9">
        <v>25</v>
      </c>
      <c r="D28">
        <v>2208850.7033321564</v>
      </c>
      <c r="E28" s="12">
        <v>-875557036.69015062</v>
      </c>
      <c r="F28" s="12">
        <v>-13571626831.895302</v>
      </c>
      <c r="G28" s="12">
        <v>0</v>
      </c>
      <c r="H28" s="12">
        <v>4437200.3090144591</v>
      </c>
      <c r="I28" s="12">
        <v>15457078705.643864</v>
      </c>
      <c r="J28" s="12">
        <v>13828718218.248867</v>
      </c>
      <c r="K28" s="12">
        <v>-21674221.262872137</v>
      </c>
      <c r="L28" s="12">
        <v>1131338.4375037535</v>
      </c>
      <c r="M28" s="12">
        <v>-6006632714.6225538</v>
      </c>
      <c r="N28" s="12">
        <v>-12921653682.552752</v>
      </c>
      <c r="O28" s="12">
        <v>35809828.048833847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G28" s="208" t="s">
        <v>63</v>
      </c>
      <c r="AH28" s="208"/>
      <c r="AI28" s="208"/>
      <c r="AJ28" s="208" t="s">
        <v>70</v>
      </c>
      <c r="AK28" s="208"/>
      <c r="AL28" s="208"/>
      <c r="AQ28" s="1"/>
      <c r="AS28" s="6">
        <v>6335719.8125467012</v>
      </c>
      <c r="AT28" s="176">
        <v>4000</v>
      </c>
      <c r="AU28" s="176">
        <v>4000</v>
      </c>
      <c r="AV28" s="176">
        <v>4000</v>
      </c>
      <c r="AW28" s="176">
        <v>4000</v>
      </c>
      <c r="AX28" s="176">
        <v>4000</v>
      </c>
      <c r="AY28" s="176">
        <v>4000</v>
      </c>
      <c r="AZ28" s="176">
        <v>4000</v>
      </c>
      <c r="BA28" s="176">
        <v>4000</v>
      </c>
      <c r="BB28" s="176">
        <v>4000</v>
      </c>
      <c r="BC28" s="176">
        <v>4000</v>
      </c>
      <c r="BD28" s="176">
        <v>4000</v>
      </c>
      <c r="BE28" s="176">
        <v>4000</v>
      </c>
      <c r="BF28" s="176">
        <v>4000</v>
      </c>
      <c r="BG28" s="176">
        <v>4000</v>
      </c>
      <c r="BH28" s="176">
        <v>4000</v>
      </c>
      <c r="BI28" s="176">
        <v>4000</v>
      </c>
      <c r="BJ28" s="176">
        <v>4000</v>
      </c>
      <c r="BK28" s="176">
        <v>4000</v>
      </c>
      <c r="BL28" s="176">
        <v>4000</v>
      </c>
      <c r="BM28" s="176">
        <v>4000</v>
      </c>
      <c r="BN28" s="176">
        <v>4000</v>
      </c>
      <c r="BO28" s="176">
        <v>4000</v>
      </c>
      <c r="BP28" s="176">
        <v>4000</v>
      </c>
      <c r="BQ28" s="176">
        <v>4000</v>
      </c>
      <c r="BR28" s="176">
        <v>4000</v>
      </c>
      <c r="BS28" s="176">
        <v>4000</v>
      </c>
      <c r="BT28" s="176">
        <v>4000</v>
      </c>
      <c r="BU28" s="176">
        <v>4000</v>
      </c>
      <c r="BV28" s="176">
        <v>4000</v>
      </c>
      <c r="BW28" s="176">
        <v>4000</v>
      </c>
      <c r="BX28" s="176">
        <v>4000</v>
      </c>
      <c r="BY28" s="176">
        <v>4000</v>
      </c>
      <c r="BZ28" s="176">
        <v>4000</v>
      </c>
      <c r="CA28" s="176">
        <v>4000</v>
      </c>
      <c r="CB28" s="176">
        <v>4000</v>
      </c>
      <c r="CC28" s="176">
        <v>4000</v>
      </c>
      <c r="CD28" s="176">
        <v>4000</v>
      </c>
      <c r="CE28" s="176">
        <v>4000</v>
      </c>
      <c r="CF28" s="176">
        <v>4000</v>
      </c>
      <c r="CG28" s="176">
        <v>4000</v>
      </c>
      <c r="CH28" s="176">
        <v>4000</v>
      </c>
      <c r="CI28" s="176">
        <v>4000</v>
      </c>
      <c r="CJ28" s="176">
        <v>4000</v>
      </c>
      <c r="CK28" s="176">
        <v>4000</v>
      </c>
      <c r="CL28" s="176">
        <v>4000</v>
      </c>
      <c r="CM28" s="176">
        <v>4000</v>
      </c>
      <c r="CN28" s="176">
        <v>4000</v>
      </c>
      <c r="CO28" s="176">
        <v>4000</v>
      </c>
      <c r="CP28" s="176">
        <v>4000</v>
      </c>
      <c r="CQ28" s="176">
        <v>4000</v>
      </c>
      <c r="CR28" s="176">
        <v>4000</v>
      </c>
      <c r="CS28" s="176">
        <v>4000</v>
      </c>
      <c r="CT28" s="176">
        <v>4000</v>
      </c>
      <c r="CU28" s="176">
        <v>3930.2081361369087</v>
      </c>
      <c r="CV28" s="176">
        <v>3831.5268171206972</v>
      </c>
      <c r="CW28" s="176">
        <v>3735.0700205334733</v>
      </c>
      <c r="CX28" s="176">
        <v>3639.8814562975285</v>
      </c>
      <c r="CY28" s="176">
        <v>3545.1330160660609</v>
      </c>
      <c r="CZ28" s="176">
        <v>3450.1260030288413</v>
      </c>
      <c r="DA28" s="176">
        <v>3354.2926454141189</v>
      </c>
      <c r="DB28" s="176">
        <v>3257.1981124329677</v>
      </c>
      <c r="DC28" s="176">
        <v>3158.5431117485095</v>
      </c>
      <c r="DD28" s="176">
        <v>3058.1681265966454</v>
      </c>
      <c r="DE28" s="176">
        <v>2956.0575885032604</v>
      </c>
      <c r="DF28" s="176">
        <v>2852.3463612225687</v>
      </c>
      <c r="DG28" s="176">
        <v>2747.327099519498</v>
      </c>
      <c r="DH28" s="176">
        <v>2641.4591564965931</v>
      </c>
      <c r="DI28" s="176">
        <v>2535.3793000620531</v>
      </c>
      <c r="DJ28" s="176">
        <v>2429.91540625567</v>
      </c>
      <c r="DK28" s="176">
        <v>2326.107058228547</v>
      </c>
      <c r="DL28" s="176">
        <v>2225.2467754240888</v>
      </c>
      <c r="DM28" s="176">
        <v>2128.9956025434867</v>
      </c>
      <c r="DN28" s="176">
        <v>2039.8332234419424</v>
      </c>
      <c r="DO28" s="176">
        <v>1963.6758808962197</v>
      </c>
      <c r="DP28" s="176">
        <v>1943.0095796895491</v>
      </c>
      <c r="DQ28" s="176">
        <v>1816.967335335102</v>
      </c>
      <c r="DR28" s="176">
        <v>1768.962505259793</v>
      </c>
      <c r="DS28" s="176">
        <v>1757.8589869357725</v>
      </c>
      <c r="DT28" s="176">
        <v>1734.5369828246628</v>
      </c>
      <c r="DU28" s="176">
        <v>1738.9742969668071</v>
      </c>
      <c r="DV28" s="176">
        <v>1769.2630761017547</v>
      </c>
      <c r="DW28" s="176">
        <v>1826.0658239249904</v>
      </c>
      <c r="DX28" s="176">
        <v>1910.3029236670384</v>
      </c>
      <c r="DY28" s="176">
        <v>2022.5846614508737</v>
      </c>
      <c r="DZ28" s="176">
        <v>2162.9956875762082</v>
      </c>
      <c r="EA28" s="176">
        <v>2331.0355060305042</v>
      </c>
      <c r="EB28" s="176">
        <v>2525.6615020149247</v>
      </c>
      <c r="EC28" s="176">
        <v>2745.3971090758696</v>
      </c>
      <c r="ED28" s="176">
        <v>2988.4677082353828</v>
      </c>
      <c r="EE28" s="176">
        <v>3252.9334874058468</v>
      </c>
      <c r="EF28" s="176">
        <v>3536.8004200899104</v>
      </c>
      <c r="EG28" s="176">
        <v>3838.1028657387242</v>
      </c>
      <c r="EH28" s="176">
        <v>4000</v>
      </c>
      <c r="EI28" s="176">
        <v>4000</v>
      </c>
      <c r="EJ28" s="176">
        <v>4000</v>
      </c>
      <c r="EK28" s="176">
        <v>4000</v>
      </c>
      <c r="EL28" s="176">
        <v>4000</v>
      </c>
      <c r="EM28" s="176">
        <v>4000</v>
      </c>
      <c r="EN28" s="176">
        <v>4000</v>
      </c>
      <c r="EO28" s="176">
        <v>4000</v>
      </c>
      <c r="EP28" t="str">
        <f t="shared" si="0"/>
        <v>0y 293d</v>
      </c>
      <c r="ES28" s="224" t="s">
        <v>89</v>
      </c>
      <c r="ET28" s="225"/>
      <c r="EU28" s="226"/>
      <c r="EV28" s="230" t="s">
        <v>90</v>
      </c>
      <c r="EW28" s="231"/>
      <c r="EX28" s="232"/>
    </row>
    <row r="29" spans="2:154" x14ac:dyDescent="0.25">
      <c r="B29" s="9">
        <v>26</v>
      </c>
      <c r="D29">
        <v>2300886.149304329</v>
      </c>
      <c r="E29" s="12">
        <v>-21659825.247552719</v>
      </c>
      <c r="F29" s="12">
        <v>-13599823007.697136</v>
      </c>
      <c r="G29" s="12">
        <v>0</v>
      </c>
      <c r="H29" s="12">
        <v>4610258.9189746445</v>
      </c>
      <c r="I29" s="12">
        <v>14511643312.778542</v>
      </c>
      <c r="J29" s="12">
        <v>14724683002.804916</v>
      </c>
      <c r="K29" s="12">
        <v>-21649489.441981576</v>
      </c>
      <c r="L29" s="12">
        <v>1181899.1577501702</v>
      </c>
      <c r="M29" s="12">
        <v>-5582048018.5887566</v>
      </c>
      <c r="N29" s="12">
        <v>-13178833577.210939</v>
      </c>
      <c r="O29" s="12">
        <v>37085702.792168356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G29" s="21" t="s">
        <v>22</v>
      </c>
      <c r="AH29" s="21" t="s">
        <v>23</v>
      </c>
      <c r="AI29" s="21" t="s">
        <v>26</v>
      </c>
      <c r="AJ29" s="21" t="s">
        <v>22</v>
      </c>
      <c r="AK29" s="21" t="s">
        <v>23</v>
      </c>
      <c r="AL29" s="21" t="s">
        <v>26</v>
      </c>
      <c r="AS29" s="6">
        <v>6514588.5739707537</v>
      </c>
      <c r="AT29" s="176">
        <v>4000</v>
      </c>
      <c r="AU29" s="176">
        <v>4000</v>
      </c>
      <c r="AV29" s="176">
        <v>4000</v>
      </c>
      <c r="AW29" s="176">
        <v>4000</v>
      </c>
      <c r="AX29" s="176">
        <v>4000</v>
      </c>
      <c r="AY29" s="176">
        <v>4000</v>
      </c>
      <c r="AZ29" s="176">
        <v>4000</v>
      </c>
      <c r="BA29" s="176">
        <v>4000</v>
      </c>
      <c r="BB29" s="176">
        <v>4000</v>
      </c>
      <c r="BC29" s="176">
        <v>4000</v>
      </c>
      <c r="BD29" s="176">
        <v>4000</v>
      </c>
      <c r="BE29" s="176">
        <v>4000</v>
      </c>
      <c r="BF29" s="176">
        <v>4000</v>
      </c>
      <c r="BG29" s="176">
        <v>4000</v>
      </c>
      <c r="BH29" s="176">
        <v>4000</v>
      </c>
      <c r="BI29" s="176">
        <v>4000</v>
      </c>
      <c r="BJ29" s="176">
        <v>4000</v>
      </c>
      <c r="BK29" s="176">
        <v>4000</v>
      </c>
      <c r="BL29" s="176">
        <v>4000</v>
      </c>
      <c r="BM29" s="176">
        <v>4000</v>
      </c>
      <c r="BN29" s="176">
        <v>4000</v>
      </c>
      <c r="BO29" s="176">
        <v>4000</v>
      </c>
      <c r="BP29" s="176">
        <v>4000</v>
      </c>
      <c r="BQ29" s="176">
        <v>4000</v>
      </c>
      <c r="BR29" s="176">
        <v>4000</v>
      </c>
      <c r="BS29" s="176">
        <v>4000</v>
      </c>
      <c r="BT29" s="176">
        <v>4000</v>
      </c>
      <c r="BU29" s="176">
        <v>4000</v>
      </c>
      <c r="BV29" s="176">
        <v>4000</v>
      </c>
      <c r="BW29" s="176">
        <v>4000</v>
      </c>
      <c r="BX29" s="176">
        <v>4000</v>
      </c>
      <c r="BY29" s="176">
        <v>4000</v>
      </c>
      <c r="BZ29" s="176">
        <v>4000</v>
      </c>
      <c r="CA29" s="176">
        <v>4000</v>
      </c>
      <c r="CB29" s="176">
        <v>4000</v>
      </c>
      <c r="CC29" s="176">
        <v>4000</v>
      </c>
      <c r="CD29" s="176">
        <v>4000</v>
      </c>
      <c r="CE29" s="176">
        <v>4000</v>
      </c>
      <c r="CF29" s="176">
        <v>4000</v>
      </c>
      <c r="CG29" s="176">
        <v>4000</v>
      </c>
      <c r="CH29" s="176">
        <v>4000</v>
      </c>
      <c r="CI29" s="176">
        <v>4000</v>
      </c>
      <c r="CJ29" s="176">
        <v>4000</v>
      </c>
      <c r="CK29" s="176">
        <v>4000</v>
      </c>
      <c r="CL29" s="176">
        <v>4000</v>
      </c>
      <c r="CM29" s="176">
        <v>4000</v>
      </c>
      <c r="CN29" s="176">
        <v>4000</v>
      </c>
      <c r="CO29" s="176">
        <v>4000</v>
      </c>
      <c r="CP29" s="176">
        <v>4000</v>
      </c>
      <c r="CQ29" s="176">
        <v>4000</v>
      </c>
      <c r="CR29" s="176">
        <v>4000</v>
      </c>
      <c r="CS29" s="176">
        <v>4000</v>
      </c>
      <c r="CT29" s="176">
        <v>3970.8775337760644</v>
      </c>
      <c r="CU29" s="176">
        <v>3857.6872157289376</v>
      </c>
      <c r="CV29" s="176">
        <v>3749.5329681590792</v>
      </c>
      <c r="CW29" s="176">
        <v>3645.1920044435865</v>
      </c>
      <c r="CX29" s="176">
        <v>3543.5807736524034</v>
      </c>
      <c r="CY29" s="176">
        <v>3443.7560824956099</v>
      </c>
      <c r="CZ29" s="176">
        <v>3344.9162149037347</v>
      </c>
      <c r="DA29" s="176">
        <v>3246.4020294555876</v>
      </c>
      <c r="DB29" s="176">
        <v>3147.698317076095</v>
      </c>
      <c r="DC29" s="176">
        <v>3048.4355607007183</v>
      </c>
      <c r="DD29" s="176">
        <v>2948.3923314007484</v>
      </c>
      <c r="DE29" s="176">
        <v>2847.4986566468788</v>
      </c>
      <c r="DF29" s="176">
        <v>2745.8404350055343</v>
      </c>
      <c r="DG29" s="176">
        <v>2643.6650148617337</v>
      </c>
      <c r="DH29" s="176">
        <v>2541.3880158530683</v>
      </c>
      <c r="DI29" s="176">
        <v>2439.6015706274247</v>
      </c>
      <c r="DJ29" s="176">
        <v>2339.0846021617526</v>
      </c>
      <c r="DK29" s="176">
        <v>2240.8171779245213</v>
      </c>
      <c r="DL29" s="176">
        <v>2146.0055204283644</v>
      </c>
      <c r="DM29" s="176">
        <v>2056.1398177744254</v>
      </c>
      <c r="DN29" s="176">
        <v>1973.1688664281626</v>
      </c>
      <c r="DO29" s="176">
        <v>1900.1877756137501</v>
      </c>
      <c r="DP29" s="176">
        <v>1845.369925576872</v>
      </c>
      <c r="DQ29" s="176">
        <v>1870.4442003249371</v>
      </c>
      <c r="DR29" s="176">
        <v>1733.3684999791608</v>
      </c>
      <c r="DS29" s="176">
        <v>1709.2002182048759</v>
      </c>
      <c r="DT29" s="176">
        <v>1725.2739554354048</v>
      </c>
      <c r="DU29" s="176">
        <v>1727.9150662303296</v>
      </c>
      <c r="DV29" s="176">
        <v>1760.9682551429642</v>
      </c>
      <c r="DW29" s="176">
        <v>1820.8328272586452</v>
      </c>
      <c r="DX29" s="176">
        <v>1907.1932177688532</v>
      </c>
      <c r="DY29" s="176">
        <v>2020.1313512508464</v>
      </c>
      <c r="DZ29" s="176">
        <v>2159.4731021737389</v>
      </c>
      <c r="EA29" s="176">
        <v>2324.6167453121898</v>
      </c>
      <c r="EB29" s="176">
        <v>2514.5338841726689</v>
      </c>
      <c r="EC29" s="176">
        <v>2727.8474769417244</v>
      </c>
      <c r="ED29" s="176">
        <v>2962.9386947194103</v>
      </c>
      <c r="EE29" s="176">
        <v>3218.0533247853482</v>
      </c>
      <c r="EF29" s="176">
        <v>3491.3923770544279</v>
      </c>
      <c r="EG29" s="176">
        <v>3781.1780785604597</v>
      </c>
      <c r="EH29" s="176">
        <v>4000</v>
      </c>
      <c r="EI29" s="176">
        <v>4000</v>
      </c>
      <c r="EJ29" s="176">
        <v>4000</v>
      </c>
      <c r="EK29" s="176">
        <v>4000</v>
      </c>
      <c r="EL29" s="176">
        <v>4000</v>
      </c>
      <c r="EM29" s="176">
        <v>4000</v>
      </c>
      <c r="EN29" s="176">
        <v>4000</v>
      </c>
      <c r="EO29" s="176">
        <v>4000</v>
      </c>
      <c r="EP29" t="str">
        <f t="shared" si="0"/>
        <v>0y 302d</v>
      </c>
      <c r="ES29" s="227"/>
      <c r="ET29" s="228"/>
      <c r="EU29" s="229"/>
      <c r="EV29" s="233"/>
      <c r="EW29" s="234"/>
      <c r="EX29" s="235"/>
    </row>
    <row r="30" spans="2:154" x14ac:dyDescent="0.25">
      <c r="B30" s="9">
        <v>27</v>
      </c>
      <c r="D30">
        <v>2392921.5952765015</v>
      </c>
      <c r="E30" s="12">
        <v>832322867.62986445</v>
      </c>
      <c r="F30" s="12">
        <v>-13574346895.255716</v>
      </c>
      <c r="G30" s="12">
        <v>0</v>
      </c>
      <c r="H30" s="12">
        <v>4782212.2480027601</v>
      </c>
      <c r="I30" s="12">
        <v>13515152008.903227</v>
      </c>
      <c r="J30" s="12">
        <v>15556997035.433195</v>
      </c>
      <c r="K30" s="12">
        <v>-21539741.392539609</v>
      </c>
      <c r="L30" s="12">
        <v>1232915.2673262095</v>
      </c>
      <c r="M30" s="12">
        <v>-5147856904.1138372</v>
      </c>
      <c r="N30" s="12">
        <v>-13424677294.658028</v>
      </c>
      <c r="O30" s="12">
        <v>38334649.900561363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G30" s="20">
        <v>0</v>
      </c>
      <c r="AH30" s="20">
        <v>0</v>
      </c>
      <c r="AI30" s="20">
        <v>0</v>
      </c>
      <c r="AJ30" s="20">
        <v>0</v>
      </c>
      <c r="AK30" s="10">
        <v>0</v>
      </c>
      <c r="AL30" s="10">
        <v>0</v>
      </c>
      <c r="AS30" s="6">
        <v>6693457.3353948062</v>
      </c>
      <c r="AT30" s="176">
        <v>4000</v>
      </c>
      <c r="AU30" s="176">
        <v>4000</v>
      </c>
      <c r="AV30" s="176">
        <v>4000</v>
      </c>
      <c r="AW30" s="176">
        <v>4000</v>
      </c>
      <c r="AX30" s="176">
        <v>4000</v>
      </c>
      <c r="AY30" s="176">
        <v>4000</v>
      </c>
      <c r="AZ30" s="176">
        <v>4000</v>
      </c>
      <c r="BA30" s="176">
        <v>4000</v>
      </c>
      <c r="BB30" s="176">
        <v>4000</v>
      </c>
      <c r="BC30" s="176">
        <v>4000</v>
      </c>
      <c r="BD30" s="176">
        <v>4000</v>
      </c>
      <c r="BE30" s="176">
        <v>4000</v>
      </c>
      <c r="BF30" s="176">
        <v>4000</v>
      </c>
      <c r="BG30" s="176">
        <v>4000</v>
      </c>
      <c r="BH30" s="176">
        <v>4000</v>
      </c>
      <c r="BI30" s="176">
        <v>4000</v>
      </c>
      <c r="BJ30" s="176">
        <v>4000</v>
      </c>
      <c r="BK30" s="176">
        <v>4000</v>
      </c>
      <c r="BL30" s="176">
        <v>4000</v>
      </c>
      <c r="BM30" s="176">
        <v>4000</v>
      </c>
      <c r="BN30" s="176">
        <v>4000</v>
      </c>
      <c r="BO30" s="176">
        <v>4000</v>
      </c>
      <c r="BP30" s="176">
        <v>4000</v>
      </c>
      <c r="BQ30" s="176">
        <v>4000</v>
      </c>
      <c r="BR30" s="176">
        <v>4000</v>
      </c>
      <c r="BS30" s="176">
        <v>4000</v>
      </c>
      <c r="BT30" s="176">
        <v>4000</v>
      </c>
      <c r="BU30" s="176">
        <v>4000</v>
      </c>
      <c r="BV30" s="176">
        <v>4000</v>
      </c>
      <c r="BW30" s="176">
        <v>4000</v>
      </c>
      <c r="BX30" s="176">
        <v>4000</v>
      </c>
      <c r="BY30" s="176">
        <v>4000</v>
      </c>
      <c r="BZ30" s="176">
        <v>4000</v>
      </c>
      <c r="CA30" s="176">
        <v>4000</v>
      </c>
      <c r="CB30" s="176">
        <v>4000</v>
      </c>
      <c r="CC30" s="176">
        <v>4000</v>
      </c>
      <c r="CD30" s="176">
        <v>4000</v>
      </c>
      <c r="CE30" s="176">
        <v>4000</v>
      </c>
      <c r="CF30" s="176">
        <v>4000</v>
      </c>
      <c r="CG30" s="176">
        <v>4000</v>
      </c>
      <c r="CH30" s="176">
        <v>4000</v>
      </c>
      <c r="CI30" s="176">
        <v>4000</v>
      </c>
      <c r="CJ30" s="176">
        <v>4000</v>
      </c>
      <c r="CK30" s="176">
        <v>4000</v>
      </c>
      <c r="CL30" s="176">
        <v>4000</v>
      </c>
      <c r="CM30" s="176">
        <v>4000</v>
      </c>
      <c r="CN30" s="176">
        <v>4000</v>
      </c>
      <c r="CO30" s="176">
        <v>4000</v>
      </c>
      <c r="CP30" s="176">
        <v>4000</v>
      </c>
      <c r="CQ30" s="176">
        <v>4000</v>
      </c>
      <c r="CR30" s="176">
        <v>4000</v>
      </c>
      <c r="CS30" s="176">
        <v>4000</v>
      </c>
      <c r="CT30" s="176">
        <v>3938.6713643856042</v>
      </c>
      <c r="CU30" s="176">
        <v>3812.5687092265325</v>
      </c>
      <c r="CV30" s="176">
        <v>3693.3863176696577</v>
      </c>
      <c r="CW30" s="176">
        <v>3579.7504569741436</v>
      </c>
      <c r="CX30" s="176">
        <v>3470.4383952399303</v>
      </c>
      <c r="CY30" s="176">
        <v>3364.3795295492464</v>
      </c>
      <c r="CZ30" s="176">
        <v>3260.6559746723397</v>
      </c>
      <c r="DA30" s="176">
        <v>3158.5044228044198</v>
      </c>
      <c r="DB30" s="176">
        <v>3057.316470133027</v>
      </c>
      <c r="DC30" s="176">
        <v>2956.6397696220474</v>
      </c>
      <c r="DD30" s="176">
        <v>2856.1794043432392</v>
      </c>
      <c r="DE30" s="176">
        <v>2755.7998810196195</v>
      </c>
      <c r="DF30" s="176">
        <v>2655.527941895662</v>
      </c>
      <c r="DG30" s="176">
        <v>2555.5563205531644</v>
      </c>
      <c r="DH30" s="176">
        <v>2456.2485098852594</v>
      </c>
      <c r="DI30" s="176">
        <v>2358.1446225247851</v>
      </c>
      <c r="DJ30" s="176">
        <v>2261.9686300479507</v>
      </c>
      <c r="DK30" s="176">
        <v>2168.6379934054767</v>
      </c>
      <c r="DL30" s="176">
        <v>2079.2788757471953</v>
      </c>
      <c r="DM30" s="176">
        <v>1995.2566957963752</v>
      </c>
      <c r="DN30" s="176">
        <v>1918.2532579236906</v>
      </c>
      <c r="DO30" s="176">
        <v>1850.5034189817397</v>
      </c>
      <c r="DP30" s="176">
        <v>1795.7016175559324</v>
      </c>
      <c r="DQ30" s="176">
        <v>1763.9746163289499</v>
      </c>
      <c r="DR30" s="176">
        <v>1829.9671261006783</v>
      </c>
      <c r="DS30" s="176">
        <v>1688.5101888354679</v>
      </c>
      <c r="DT30" s="176">
        <v>1688.8997688882125</v>
      </c>
      <c r="DU30" s="176">
        <v>1730.5160879454918</v>
      </c>
      <c r="DV30" s="176">
        <v>1759.824859320488</v>
      </c>
      <c r="DW30" s="176">
        <v>1820.4831461792537</v>
      </c>
      <c r="DX30" s="176">
        <v>1907.6796040359786</v>
      </c>
      <c r="DY30" s="176">
        <v>2020.3413613380412</v>
      </c>
      <c r="DZ30" s="176">
        <v>2157.8915334243566</v>
      </c>
      <c r="EA30" s="176">
        <v>2319.594598645579</v>
      </c>
      <c r="EB30" s="176">
        <v>2504.4264663164372</v>
      </c>
      <c r="EC30" s="176">
        <v>2711.0984599570743</v>
      </c>
      <c r="ED30" s="176">
        <v>2938.1305672803737</v>
      </c>
      <c r="EE30" s="176">
        <v>3183.9330232462617</v>
      </c>
      <c r="EF30" s="176">
        <v>3446.8792935177871</v>
      </c>
      <c r="EG30" s="176">
        <v>3725.3589988089243</v>
      </c>
      <c r="EH30" s="176">
        <v>4000</v>
      </c>
      <c r="EI30" s="176">
        <v>4000</v>
      </c>
      <c r="EJ30" s="176">
        <v>4000</v>
      </c>
      <c r="EK30" s="176">
        <v>4000</v>
      </c>
      <c r="EL30" s="176">
        <v>4000</v>
      </c>
      <c r="EM30" s="176">
        <v>4000</v>
      </c>
      <c r="EN30" s="176">
        <v>4000</v>
      </c>
      <c r="EO30" s="176">
        <v>4000</v>
      </c>
      <c r="EP30" t="str">
        <f t="shared" si="0"/>
        <v>0y 310d</v>
      </c>
      <c r="ES30" s="227"/>
      <c r="ET30" s="228"/>
      <c r="EU30" s="229"/>
      <c r="EV30" s="233"/>
      <c r="EW30" s="234"/>
      <c r="EX30" s="235"/>
    </row>
    <row r="31" spans="2:154" x14ac:dyDescent="0.25">
      <c r="B31" s="9">
        <v>28</v>
      </c>
      <c r="D31">
        <v>2484957.041248674</v>
      </c>
      <c r="E31" s="12">
        <v>1683020762.4008946</v>
      </c>
      <c r="F31" s="12">
        <v>-13495299037.147924</v>
      </c>
      <c r="G31" s="12">
        <v>0</v>
      </c>
      <c r="H31" s="12">
        <v>4953072.8990688147</v>
      </c>
      <c r="I31" s="12">
        <v>12471987645.427891</v>
      </c>
      <c r="J31" s="12">
        <v>16323013030.437532</v>
      </c>
      <c r="K31" s="12">
        <v>-21346216.791068576</v>
      </c>
      <c r="L31" s="12">
        <v>1284409.0213079259</v>
      </c>
      <c r="M31" s="12">
        <v>-4704242787.9316216</v>
      </c>
      <c r="N31" s="12">
        <v>-13658849370.191229</v>
      </c>
      <c r="O31" s="12">
        <v>39555388.482053503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G31" s="20">
        <v>10575425089.701818</v>
      </c>
      <c r="AH31" s="20">
        <v>-8550791727.1340122</v>
      </c>
      <c r="AI31" s="20">
        <v>0</v>
      </c>
      <c r="AJ31">
        <v>11024240166.2528</v>
      </c>
      <c r="AK31" s="10">
        <v>7963779488.7538528</v>
      </c>
      <c r="AL31" s="10">
        <v>0</v>
      </c>
      <c r="AS31" s="6">
        <v>6872326.0968188588</v>
      </c>
      <c r="AT31" s="176">
        <v>4000</v>
      </c>
      <c r="AU31" s="176">
        <v>4000</v>
      </c>
      <c r="AV31" s="176">
        <v>4000</v>
      </c>
      <c r="AW31" s="176">
        <v>4000</v>
      </c>
      <c r="AX31" s="176">
        <v>4000</v>
      </c>
      <c r="AY31" s="176">
        <v>4000</v>
      </c>
      <c r="AZ31" s="176">
        <v>4000</v>
      </c>
      <c r="BA31" s="176">
        <v>4000</v>
      </c>
      <c r="BB31" s="176">
        <v>4000</v>
      </c>
      <c r="BC31" s="176">
        <v>4000</v>
      </c>
      <c r="BD31" s="176">
        <v>4000</v>
      </c>
      <c r="BE31" s="176">
        <v>4000</v>
      </c>
      <c r="BF31" s="176">
        <v>4000</v>
      </c>
      <c r="BG31" s="176">
        <v>4000</v>
      </c>
      <c r="BH31" s="176">
        <v>4000</v>
      </c>
      <c r="BI31" s="176">
        <v>4000</v>
      </c>
      <c r="BJ31" s="176">
        <v>4000</v>
      </c>
      <c r="BK31" s="176">
        <v>4000</v>
      </c>
      <c r="BL31" s="176">
        <v>4000</v>
      </c>
      <c r="BM31" s="176">
        <v>4000</v>
      </c>
      <c r="BN31" s="176">
        <v>4000</v>
      </c>
      <c r="BO31" s="176">
        <v>4000</v>
      </c>
      <c r="BP31" s="176">
        <v>4000</v>
      </c>
      <c r="BQ31" s="176">
        <v>4000</v>
      </c>
      <c r="BR31" s="176">
        <v>4000</v>
      </c>
      <c r="BS31" s="176">
        <v>4000</v>
      </c>
      <c r="BT31" s="176">
        <v>4000</v>
      </c>
      <c r="BU31" s="176">
        <v>4000</v>
      </c>
      <c r="BV31" s="176">
        <v>4000</v>
      </c>
      <c r="BW31" s="176">
        <v>4000</v>
      </c>
      <c r="BX31" s="176">
        <v>4000</v>
      </c>
      <c r="BY31" s="176">
        <v>4000</v>
      </c>
      <c r="BZ31" s="176">
        <v>4000</v>
      </c>
      <c r="CA31" s="176">
        <v>4000</v>
      </c>
      <c r="CB31" s="176">
        <v>4000</v>
      </c>
      <c r="CC31" s="176">
        <v>4000</v>
      </c>
      <c r="CD31" s="176">
        <v>4000</v>
      </c>
      <c r="CE31" s="176">
        <v>4000</v>
      </c>
      <c r="CF31" s="176">
        <v>4000</v>
      </c>
      <c r="CG31" s="176">
        <v>4000</v>
      </c>
      <c r="CH31" s="176">
        <v>4000</v>
      </c>
      <c r="CI31" s="176">
        <v>4000</v>
      </c>
      <c r="CJ31" s="176">
        <v>4000</v>
      </c>
      <c r="CK31" s="176">
        <v>4000</v>
      </c>
      <c r="CL31" s="176">
        <v>4000</v>
      </c>
      <c r="CM31" s="176">
        <v>4000</v>
      </c>
      <c r="CN31" s="176">
        <v>4000</v>
      </c>
      <c r="CO31" s="176">
        <v>4000</v>
      </c>
      <c r="CP31" s="176">
        <v>4000</v>
      </c>
      <c r="CQ31" s="176">
        <v>4000</v>
      </c>
      <c r="CR31" s="176">
        <v>4000</v>
      </c>
      <c r="CS31" s="176">
        <v>4000</v>
      </c>
      <c r="CT31" s="176">
        <v>3935.4100126597186</v>
      </c>
      <c r="CU31" s="176">
        <v>3794.6359168847985</v>
      </c>
      <c r="CV31" s="176">
        <v>3662.8199032304806</v>
      </c>
      <c r="CW31" s="176">
        <v>3538.4260897749764</v>
      </c>
      <c r="CX31" s="176">
        <v>3420.0822361381151</v>
      </c>
      <c r="CY31" s="176">
        <v>3306.5786326492039</v>
      </c>
      <c r="CZ31" s="176">
        <v>3196.8708229479844</v>
      </c>
      <c r="DA31" s="176">
        <v>3090.0793360460684</v>
      </c>
      <c r="DB31" s="176">
        <v>2985.490693271397</v>
      </c>
      <c r="DC31" s="176">
        <v>2882.5579359627177</v>
      </c>
      <c r="DD31" s="176">
        <v>2780.9011776688999</v>
      </c>
      <c r="DE31" s="176">
        <v>2680.3084390283102</v>
      </c>
      <c r="DF31" s="176">
        <v>2580.7369959245802</v>
      </c>
      <c r="DG31" s="176">
        <v>2482.3154004792723</v>
      </c>
      <c r="DH31" s="176">
        <v>2385.3462537530686</v>
      </c>
      <c r="DI31" s="176">
        <v>2290.3097607768113</v>
      </c>
      <c r="DJ31" s="176">
        <v>2197.8681575153787</v>
      </c>
      <c r="DK31" s="176">
        <v>2108.8714328753872</v>
      </c>
      <c r="DL31" s="176">
        <v>2024.365793394747</v>
      </c>
      <c r="DM31" s="176">
        <v>1945.6091492495395</v>
      </c>
      <c r="DN31" s="176">
        <v>1874.1058070401734</v>
      </c>
      <c r="DO31" s="176">
        <v>1811.6965665928192</v>
      </c>
      <c r="DP31" s="176">
        <v>1760.8267977758603</v>
      </c>
      <c r="DQ31" s="176">
        <v>1725.525413643483</v>
      </c>
      <c r="DR31" s="176">
        <v>1716.568490003252</v>
      </c>
      <c r="DS31" s="176">
        <v>1808.3884790687616</v>
      </c>
      <c r="DT31" s="176">
        <v>1680.3785443823663</v>
      </c>
      <c r="DU31" s="176">
        <v>1705.1999622362482</v>
      </c>
      <c r="DV31" s="176">
        <v>1770.6284212193746</v>
      </c>
      <c r="DW31" s="176">
        <v>1825.7324932901076</v>
      </c>
      <c r="DX31" s="176">
        <v>1911.6966179956669</v>
      </c>
      <c r="DY31" s="176">
        <v>2022.9947450646271</v>
      </c>
      <c r="DZ31" s="176">
        <v>2158.0356325236448</v>
      </c>
      <c r="EA31" s="176">
        <v>2315.8009962555925</v>
      </c>
      <c r="EB31" s="176">
        <v>2495.2239354480052</v>
      </c>
      <c r="EC31" s="176">
        <v>2695.0795434924298</v>
      </c>
      <c r="ED31" s="176">
        <v>2914.0054374090669</v>
      </c>
      <c r="EE31" s="176">
        <v>3150.5558483715113</v>
      </c>
      <c r="EF31" s="176">
        <v>3403.2538527635716</v>
      </c>
      <c r="EG31" s="176">
        <v>3670.6396789889577</v>
      </c>
      <c r="EH31" s="176">
        <v>3951.3026074492964</v>
      </c>
      <c r="EI31" s="176">
        <v>4000</v>
      </c>
      <c r="EJ31" s="176">
        <v>4000</v>
      </c>
      <c r="EK31" s="176">
        <v>4000</v>
      </c>
      <c r="EL31" s="176">
        <v>4000</v>
      </c>
      <c r="EM31" s="176">
        <v>4000</v>
      </c>
      <c r="EN31" s="176">
        <v>4000</v>
      </c>
      <c r="EO31" s="176">
        <v>4000</v>
      </c>
      <c r="EP31" t="str">
        <f t="shared" si="0"/>
        <v>0y 318d</v>
      </c>
      <c r="ES31" s="227">
        <f>MIN(AT3:EO102) - 0.1</f>
        <v>1674.1330029588032</v>
      </c>
      <c r="ET31" s="228"/>
      <c r="EU31" s="229"/>
      <c r="EV31" s="240">
        <v>0.1</v>
      </c>
      <c r="EW31" s="241"/>
      <c r="EX31" s="242"/>
    </row>
    <row r="32" spans="2:154" x14ac:dyDescent="0.25">
      <c r="B32" s="9">
        <v>29</v>
      </c>
      <c r="D32">
        <v>2576992.4872208466</v>
      </c>
      <c r="E32" s="12">
        <v>2527076543.1217761</v>
      </c>
      <c r="F32" s="12">
        <v>-13362991399.156172</v>
      </c>
      <c r="G32" s="12">
        <v>0</v>
      </c>
      <c r="H32" s="12">
        <v>5122857.5341308508</v>
      </c>
      <c r="I32" s="12">
        <v>11386631802.715376</v>
      </c>
      <c r="J32" s="12">
        <v>17020392275.804256</v>
      </c>
      <c r="K32" s="12">
        <v>-21070458.258353278</v>
      </c>
      <c r="L32" s="12">
        <v>1336402.8888231267</v>
      </c>
      <c r="M32" s="12">
        <v>-4251400024.9895468</v>
      </c>
      <c r="N32" s="12">
        <v>-13881008541.54003</v>
      </c>
      <c r="O32" s="12">
        <v>40746607.468199223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G32" s="208" t="s">
        <v>62</v>
      </c>
      <c r="AH32" s="208"/>
      <c r="AI32" s="208"/>
      <c r="AJ32" s="208" t="s">
        <v>71</v>
      </c>
      <c r="AK32" s="208"/>
      <c r="AL32" s="208"/>
      <c r="AS32" s="6">
        <v>7051194.8582429113</v>
      </c>
      <c r="AT32" s="176">
        <v>4000</v>
      </c>
      <c r="AU32" s="176">
        <v>4000</v>
      </c>
      <c r="AV32" s="176">
        <v>4000</v>
      </c>
      <c r="AW32" s="176">
        <v>4000</v>
      </c>
      <c r="AX32" s="176">
        <v>4000</v>
      </c>
      <c r="AY32" s="176">
        <v>4000</v>
      </c>
      <c r="AZ32" s="176">
        <v>4000</v>
      </c>
      <c r="BA32" s="176">
        <v>4000</v>
      </c>
      <c r="BB32" s="176">
        <v>4000</v>
      </c>
      <c r="BC32" s="176">
        <v>4000</v>
      </c>
      <c r="BD32" s="176">
        <v>4000</v>
      </c>
      <c r="BE32" s="176">
        <v>4000</v>
      </c>
      <c r="BF32" s="176">
        <v>4000</v>
      </c>
      <c r="BG32" s="176">
        <v>4000</v>
      </c>
      <c r="BH32" s="176">
        <v>4000</v>
      </c>
      <c r="BI32" s="176">
        <v>4000</v>
      </c>
      <c r="BJ32" s="176">
        <v>4000</v>
      </c>
      <c r="BK32" s="176">
        <v>4000</v>
      </c>
      <c r="BL32" s="176">
        <v>4000</v>
      </c>
      <c r="BM32" s="176">
        <v>4000</v>
      </c>
      <c r="BN32" s="176">
        <v>4000</v>
      </c>
      <c r="BO32" s="176">
        <v>4000</v>
      </c>
      <c r="BP32" s="176">
        <v>4000</v>
      </c>
      <c r="BQ32" s="176">
        <v>4000</v>
      </c>
      <c r="BR32" s="176">
        <v>4000</v>
      </c>
      <c r="BS32" s="176">
        <v>4000</v>
      </c>
      <c r="BT32" s="176">
        <v>4000</v>
      </c>
      <c r="BU32" s="176">
        <v>4000</v>
      </c>
      <c r="BV32" s="176">
        <v>4000</v>
      </c>
      <c r="BW32" s="176">
        <v>4000</v>
      </c>
      <c r="BX32" s="176">
        <v>4000</v>
      </c>
      <c r="BY32" s="176">
        <v>4000</v>
      </c>
      <c r="BZ32" s="176">
        <v>4000</v>
      </c>
      <c r="CA32" s="176">
        <v>4000</v>
      </c>
      <c r="CB32" s="176">
        <v>4000</v>
      </c>
      <c r="CC32" s="176">
        <v>4000</v>
      </c>
      <c r="CD32" s="176">
        <v>4000</v>
      </c>
      <c r="CE32" s="176">
        <v>4000</v>
      </c>
      <c r="CF32" s="176">
        <v>4000</v>
      </c>
      <c r="CG32" s="176">
        <v>4000</v>
      </c>
      <c r="CH32" s="176">
        <v>4000</v>
      </c>
      <c r="CI32" s="176">
        <v>4000</v>
      </c>
      <c r="CJ32" s="176">
        <v>4000</v>
      </c>
      <c r="CK32" s="176">
        <v>4000</v>
      </c>
      <c r="CL32" s="176">
        <v>4000</v>
      </c>
      <c r="CM32" s="176">
        <v>4000</v>
      </c>
      <c r="CN32" s="176">
        <v>4000</v>
      </c>
      <c r="CO32" s="176">
        <v>4000</v>
      </c>
      <c r="CP32" s="176">
        <v>4000</v>
      </c>
      <c r="CQ32" s="176">
        <v>4000</v>
      </c>
      <c r="CR32" s="176">
        <v>4000</v>
      </c>
      <c r="CS32" s="176">
        <v>4000</v>
      </c>
      <c r="CT32" s="176">
        <v>3960.9899631666494</v>
      </c>
      <c r="CU32" s="176">
        <v>3803.7412577597238</v>
      </c>
      <c r="CV32" s="176">
        <v>3657.6438305728293</v>
      </c>
      <c r="CW32" s="176">
        <v>3520.9866141252623</v>
      </c>
      <c r="CX32" s="176">
        <v>3392.2350600176824</v>
      </c>
      <c r="CY32" s="176">
        <v>3270.031988165194</v>
      </c>
      <c r="CZ32" s="176">
        <v>3153.1953354896204</v>
      </c>
      <c r="DA32" s="176">
        <v>3040.7191603182127</v>
      </c>
      <c r="DB32" s="176">
        <v>2931.7741276015895</v>
      </c>
      <c r="DC32" s="176">
        <v>2825.7077053069115</v>
      </c>
      <c r="DD32" s="176">
        <v>2722.044111979551</v>
      </c>
      <c r="DE32" s="176">
        <v>2620.4842083411304</v>
      </c>
      <c r="DF32" s="176">
        <v>2520.9055600512265</v>
      </c>
      <c r="DG32" s="176">
        <v>2423.3628541453795</v>
      </c>
      <c r="DH32" s="176">
        <v>2328.0887668722416</v>
      </c>
      <c r="DI32" s="176">
        <v>2235.4952948975711</v>
      </c>
      <c r="DJ32" s="176">
        <v>2146.1755259985162</v>
      </c>
      <c r="DK32" s="176">
        <v>2060.9059282662442</v>
      </c>
      <c r="DL32" s="176">
        <v>1980.6496622668099</v>
      </c>
      <c r="DM32" s="176">
        <v>1906.5625744635549</v>
      </c>
      <c r="DN32" s="176">
        <v>1840.0063501270654</v>
      </c>
      <c r="DO32" s="176">
        <v>1782.5802118010813</v>
      </c>
      <c r="DP32" s="176">
        <v>1736.2017030809525</v>
      </c>
      <c r="DQ32" s="176">
        <v>1703.3373469259848</v>
      </c>
      <c r="DR32" s="176">
        <v>1687.8432453224368</v>
      </c>
      <c r="DS32" s="176">
        <v>1699.4485293176658</v>
      </c>
      <c r="DT32" s="176">
        <v>1800.4003320972706</v>
      </c>
      <c r="DU32" s="176">
        <v>1705.9192925101825</v>
      </c>
      <c r="DV32" s="176">
        <v>1754.1317088160417</v>
      </c>
      <c r="DW32" s="176">
        <v>1841.4245889741296</v>
      </c>
      <c r="DX32" s="176">
        <v>1920.0394717901295</v>
      </c>
      <c r="DY32" s="176">
        <v>2028.1514038626794</v>
      </c>
      <c r="DZ32" s="176">
        <v>2159.8225324553446</v>
      </c>
      <c r="EA32" s="176">
        <v>2313.1496796845199</v>
      </c>
      <c r="EB32" s="176">
        <v>2486.8693035652723</v>
      </c>
      <c r="EC32" s="176">
        <v>2679.7648986783961</v>
      </c>
      <c r="ED32" s="176">
        <v>2890.5613103166188</v>
      </c>
      <c r="EE32" s="176">
        <v>3117.9332815064181</v>
      </c>
      <c r="EF32" s="176">
        <v>3360.5350528527301</v>
      </c>
      <c r="EG32" s="176">
        <v>3617.0388312817768</v>
      </c>
      <c r="EH32" s="176">
        <v>3886.1598130469556</v>
      </c>
      <c r="EI32" s="176">
        <v>4000</v>
      </c>
      <c r="EJ32" s="176">
        <v>4000</v>
      </c>
      <c r="EK32" s="176">
        <v>4000</v>
      </c>
      <c r="EL32" s="176">
        <v>4000</v>
      </c>
      <c r="EM32" s="176">
        <v>4000</v>
      </c>
      <c r="EN32" s="176">
        <v>4000</v>
      </c>
      <c r="EO32" s="176">
        <v>4000</v>
      </c>
      <c r="EP32" t="str">
        <f t="shared" si="0"/>
        <v>0y 326d</v>
      </c>
      <c r="ES32" s="227"/>
      <c r="ET32" s="228"/>
      <c r="EU32" s="229"/>
      <c r="EV32" s="240"/>
      <c r="EW32" s="241"/>
      <c r="EX32" s="242"/>
    </row>
    <row r="33" spans="2:154" ht="15.75" thickBot="1" x14ac:dyDescent="0.3">
      <c r="B33" s="9">
        <v>30</v>
      </c>
      <c r="D33">
        <v>2669027.9331930191</v>
      </c>
      <c r="E33" s="12">
        <v>3361159107.2384095</v>
      </c>
      <c r="F33" s="12">
        <v>-13177946139.08201</v>
      </c>
      <c r="G33" s="12">
        <v>0</v>
      </c>
      <c r="H33" s="12">
        <v>5291586.6940517109</v>
      </c>
      <c r="I33" s="12">
        <v>10263642804.83984</v>
      </c>
      <c r="J33" s="12">
        <v>17647102543.269672</v>
      </c>
      <c r="K33" s="12">
        <v>-20714293.661476709</v>
      </c>
      <c r="L33" s="12">
        <v>1388919.5507860915</v>
      </c>
      <c r="M33" s="12">
        <v>-3789534766.7704291</v>
      </c>
      <c r="N33" s="12">
        <v>-14090807889.180649</v>
      </c>
      <c r="O33" s="12">
        <v>41906965.182107285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G33" s="21" t="s">
        <v>22</v>
      </c>
      <c r="AH33" s="21" t="s">
        <v>23</v>
      </c>
      <c r="AI33" s="21" t="s">
        <v>26</v>
      </c>
      <c r="AJ33" s="24" t="s">
        <v>22</v>
      </c>
      <c r="AK33" s="24" t="s">
        <v>23</v>
      </c>
      <c r="AL33" s="24" t="s">
        <v>26</v>
      </c>
      <c r="AS33" s="6">
        <v>7230063.6196669638</v>
      </c>
      <c r="AT33" s="176">
        <v>4000</v>
      </c>
      <c r="AU33" s="176">
        <v>4000</v>
      </c>
      <c r="AV33" s="176">
        <v>4000</v>
      </c>
      <c r="AW33" s="176">
        <v>4000</v>
      </c>
      <c r="AX33" s="176">
        <v>4000</v>
      </c>
      <c r="AY33" s="176">
        <v>4000</v>
      </c>
      <c r="AZ33" s="176">
        <v>4000</v>
      </c>
      <c r="BA33" s="176">
        <v>4000</v>
      </c>
      <c r="BB33" s="176">
        <v>4000</v>
      </c>
      <c r="BC33" s="176">
        <v>4000</v>
      </c>
      <c r="BD33" s="176">
        <v>4000</v>
      </c>
      <c r="BE33" s="176">
        <v>4000</v>
      </c>
      <c r="BF33" s="176">
        <v>4000</v>
      </c>
      <c r="BG33" s="176">
        <v>4000</v>
      </c>
      <c r="BH33" s="176">
        <v>4000</v>
      </c>
      <c r="BI33" s="176">
        <v>4000</v>
      </c>
      <c r="BJ33" s="176">
        <v>4000</v>
      </c>
      <c r="BK33" s="176">
        <v>4000</v>
      </c>
      <c r="BL33" s="176">
        <v>4000</v>
      </c>
      <c r="BM33" s="176">
        <v>4000</v>
      </c>
      <c r="BN33" s="176">
        <v>4000</v>
      </c>
      <c r="BO33" s="176">
        <v>4000</v>
      </c>
      <c r="BP33" s="176">
        <v>4000</v>
      </c>
      <c r="BQ33" s="176">
        <v>4000</v>
      </c>
      <c r="BR33" s="176">
        <v>4000</v>
      </c>
      <c r="BS33" s="176">
        <v>4000</v>
      </c>
      <c r="BT33" s="176">
        <v>4000</v>
      </c>
      <c r="BU33" s="176">
        <v>4000</v>
      </c>
      <c r="BV33" s="176">
        <v>4000</v>
      </c>
      <c r="BW33" s="176">
        <v>4000</v>
      </c>
      <c r="BX33" s="176">
        <v>4000</v>
      </c>
      <c r="BY33" s="176">
        <v>4000</v>
      </c>
      <c r="BZ33" s="176">
        <v>4000</v>
      </c>
      <c r="CA33" s="176">
        <v>4000</v>
      </c>
      <c r="CB33" s="176">
        <v>4000</v>
      </c>
      <c r="CC33" s="176">
        <v>4000</v>
      </c>
      <c r="CD33" s="176">
        <v>4000</v>
      </c>
      <c r="CE33" s="176">
        <v>4000</v>
      </c>
      <c r="CF33" s="176">
        <v>4000</v>
      </c>
      <c r="CG33" s="176">
        <v>4000</v>
      </c>
      <c r="CH33" s="176">
        <v>4000</v>
      </c>
      <c r="CI33" s="176">
        <v>4000</v>
      </c>
      <c r="CJ33" s="176">
        <v>4000</v>
      </c>
      <c r="CK33" s="176">
        <v>4000</v>
      </c>
      <c r="CL33" s="176">
        <v>4000</v>
      </c>
      <c r="CM33" s="176">
        <v>4000</v>
      </c>
      <c r="CN33" s="176">
        <v>4000</v>
      </c>
      <c r="CO33" s="176">
        <v>4000</v>
      </c>
      <c r="CP33" s="176">
        <v>4000</v>
      </c>
      <c r="CQ33" s="176">
        <v>4000</v>
      </c>
      <c r="CR33" s="176">
        <v>4000</v>
      </c>
      <c r="CS33" s="176">
        <v>4000</v>
      </c>
      <c r="CT33" s="176">
        <v>4000</v>
      </c>
      <c r="CU33" s="176">
        <v>3839.8122959871562</v>
      </c>
      <c r="CV33" s="176">
        <v>3677.7401209461341</v>
      </c>
      <c r="CW33" s="176">
        <v>3527.2709314536387</v>
      </c>
      <c r="CX33" s="176">
        <v>3386.696704846685</v>
      </c>
      <c r="CY33" s="176">
        <v>3254.4996993311784</v>
      </c>
      <c r="CZ33" s="176">
        <v>3129.3503184530427</v>
      </c>
      <c r="DA33" s="176">
        <v>3010.1062701512669</v>
      </c>
      <c r="DB33" s="176">
        <v>2895.8123919342006</v>
      </c>
      <c r="DC33" s="176">
        <v>2785.70040876548</v>
      </c>
      <c r="DD33" s="176">
        <v>2679.1883558388736</v>
      </c>
      <c r="DE33" s="176">
        <v>2575.8796881370868</v>
      </c>
      <c r="DF33" s="176">
        <v>2475.5622319554086</v>
      </c>
      <c r="DG33" s="176">
        <v>2378.207147722112</v>
      </c>
      <c r="DH33" s="176">
        <v>2283.9680106629312</v>
      </c>
      <c r="DI33" s="176">
        <v>2193.1800173208203</v>
      </c>
      <c r="DJ33" s="176">
        <v>2106.3592337263581</v>
      </c>
      <c r="DK33" s="176">
        <v>2024.2017676545227</v>
      </c>
      <c r="DL33" s="176">
        <v>1947.5828526640673</v>
      </c>
      <c r="DM33" s="176">
        <v>1877.5562015606031</v>
      </c>
      <c r="DN33" s="176">
        <v>1815.3547960297997</v>
      </c>
      <c r="DO33" s="176">
        <v>1762.3957311714935</v>
      </c>
      <c r="DP33" s="176">
        <v>1720.2945001914995</v>
      </c>
      <c r="DQ33" s="176">
        <v>1690.9040797202265</v>
      </c>
      <c r="DR33" s="176">
        <v>1676.4504861004657</v>
      </c>
      <c r="DS33" s="176">
        <v>1680.1490267221702</v>
      </c>
      <c r="DT33" s="176">
        <v>1709.6641496310231</v>
      </c>
      <c r="DU33" s="176">
        <v>1809.9543428510649</v>
      </c>
      <c r="DV33" s="176">
        <v>4000</v>
      </c>
      <c r="DW33" s="176">
        <v>1830.8617093813425</v>
      </c>
      <c r="DX33" s="176">
        <v>1937.7303334808464</v>
      </c>
      <c r="DY33" s="176">
        <v>2036.6988709700408</v>
      </c>
      <c r="DZ33" s="176">
        <v>2163.4204653552015</v>
      </c>
      <c r="EA33" s="176">
        <v>2311.6634024740388</v>
      </c>
      <c r="EB33" s="176">
        <v>2479.3678113390197</v>
      </c>
      <c r="EC33" s="176">
        <v>2665.1710445898816</v>
      </c>
      <c r="ED33" s="176">
        <v>2867.8291260248998</v>
      </c>
      <c r="EE33" s="176">
        <v>3086.1048173587697</v>
      </c>
      <c r="EF33" s="176">
        <v>3318.7649128460685</v>
      </c>
      <c r="EG33" s="176">
        <v>3564.5964404738661</v>
      </c>
      <c r="EH33" s="176">
        <v>3822.4271839359726</v>
      </c>
      <c r="EI33" s="176">
        <v>4000</v>
      </c>
      <c r="EJ33" s="176">
        <v>4000</v>
      </c>
      <c r="EK33" s="176">
        <v>4000</v>
      </c>
      <c r="EL33" s="176">
        <v>4000</v>
      </c>
      <c r="EM33" s="176">
        <v>4000</v>
      </c>
      <c r="EN33" s="176">
        <v>4000</v>
      </c>
      <c r="EO33" s="176">
        <v>4000</v>
      </c>
      <c r="EP33" t="str">
        <f t="shared" si="0"/>
        <v>0y 335d</v>
      </c>
      <c r="ES33" s="237"/>
      <c r="ET33" s="238"/>
      <c r="EU33" s="239"/>
      <c r="EV33" s="243"/>
      <c r="EW33" s="244"/>
      <c r="EX33" s="245"/>
    </row>
    <row r="34" spans="2:154" x14ac:dyDescent="0.25">
      <c r="B34" s="9">
        <v>31</v>
      </c>
      <c r="D34">
        <v>2761063.3791651921</v>
      </c>
      <c r="E34" s="12">
        <v>4181976711.9263043</v>
      </c>
      <c r="F34" s="12">
        <v>-12940893546.027809</v>
      </c>
      <c r="G34" s="12">
        <v>0</v>
      </c>
      <c r="H34" s="12">
        <v>5459284.6112122331</v>
      </c>
      <c r="I34" s="12">
        <v>9107634905.0339127</v>
      </c>
      <c r="J34" s="12">
        <v>18201414508.89386</v>
      </c>
      <c r="K34" s="12">
        <v>-20279818.16260618</v>
      </c>
      <c r="L34" s="12">
        <v>1441981.8958182591</v>
      </c>
      <c r="M34" s="12">
        <v>-3318865847.1249337</v>
      </c>
      <c r="N34" s="12">
        <v>-14287895029.442034</v>
      </c>
      <c r="O34" s="12">
        <v>43035089.04970821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G34" s="20">
        <v>0</v>
      </c>
      <c r="AH34" s="20">
        <v>0</v>
      </c>
      <c r="AI34" s="20">
        <v>0</v>
      </c>
      <c r="AJ34" s="23">
        <v>6135696.666666667</v>
      </c>
      <c r="AK34" s="22">
        <v>0</v>
      </c>
      <c r="AL34" s="22">
        <v>0</v>
      </c>
      <c r="AS34" s="6">
        <v>7408932.3810910163</v>
      </c>
      <c r="AT34" s="176">
        <v>4000</v>
      </c>
      <c r="AU34" s="176">
        <v>4000</v>
      </c>
      <c r="AV34" s="176">
        <v>4000</v>
      </c>
      <c r="AW34" s="176">
        <v>4000</v>
      </c>
      <c r="AX34" s="176">
        <v>4000</v>
      </c>
      <c r="AY34" s="176">
        <v>4000</v>
      </c>
      <c r="AZ34" s="176">
        <v>4000</v>
      </c>
      <c r="BA34" s="176">
        <v>4000</v>
      </c>
      <c r="BB34" s="176">
        <v>4000</v>
      </c>
      <c r="BC34" s="176">
        <v>4000</v>
      </c>
      <c r="BD34" s="176">
        <v>4000</v>
      </c>
      <c r="BE34" s="176">
        <v>4000</v>
      </c>
      <c r="BF34" s="176">
        <v>4000</v>
      </c>
      <c r="BG34" s="176">
        <v>4000</v>
      </c>
      <c r="BH34" s="176">
        <v>4000</v>
      </c>
      <c r="BI34" s="176">
        <v>4000</v>
      </c>
      <c r="BJ34" s="176">
        <v>4000</v>
      </c>
      <c r="BK34" s="176">
        <v>4000</v>
      </c>
      <c r="BL34" s="176">
        <v>4000</v>
      </c>
      <c r="BM34" s="176">
        <v>4000</v>
      </c>
      <c r="BN34" s="176">
        <v>4000</v>
      </c>
      <c r="BO34" s="176">
        <v>4000</v>
      </c>
      <c r="BP34" s="176">
        <v>4000</v>
      </c>
      <c r="BQ34" s="176">
        <v>4000</v>
      </c>
      <c r="BR34" s="176">
        <v>4000</v>
      </c>
      <c r="BS34" s="176">
        <v>4000</v>
      </c>
      <c r="BT34" s="176">
        <v>4000</v>
      </c>
      <c r="BU34" s="176">
        <v>4000</v>
      </c>
      <c r="BV34" s="176">
        <v>4000</v>
      </c>
      <c r="BW34" s="176">
        <v>4000</v>
      </c>
      <c r="BX34" s="176">
        <v>4000</v>
      </c>
      <c r="BY34" s="176">
        <v>4000</v>
      </c>
      <c r="BZ34" s="176">
        <v>4000</v>
      </c>
      <c r="CA34" s="176">
        <v>4000</v>
      </c>
      <c r="CB34" s="176">
        <v>4000</v>
      </c>
      <c r="CC34" s="176">
        <v>4000</v>
      </c>
      <c r="CD34" s="176">
        <v>4000</v>
      </c>
      <c r="CE34" s="176">
        <v>4000</v>
      </c>
      <c r="CF34" s="176">
        <v>4000</v>
      </c>
      <c r="CG34" s="176">
        <v>4000</v>
      </c>
      <c r="CH34" s="176">
        <v>4000</v>
      </c>
      <c r="CI34" s="176">
        <v>4000</v>
      </c>
      <c r="CJ34" s="176">
        <v>4000</v>
      </c>
      <c r="CK34" s="176">
        <v>4000</v>
      </c>
      <c r="CL34" s="176">
        <v>4000</v>
      </c>
      <c r="CM34" s="176">
        <v>4000</v>
      </c>
      <c r="CN34" s="176">
        <v>4000</v>
      </c>
      <c r="CO34" s="176">
        <v>4000</v>
      </c>
      <c r="CP34" s="176">
        <v>4000</v>
      </c>
      <c r="CQ34" s="176">
        <v>4000</v>
      </c>
      <c r="CR34" s="176">
        <v>4000</v>
      </c>
      <c r="CS34" s="176">
        <v>4000</v>
      </c>
      <c r="CT34" s="176">
        <v>4000</v>
      </c>
      <c r="CU34" s="176">
        <v>3902.8875834377459</v>
      </c>
      <c r="CV34" s="176">
        <v>3723.0785664034765</v>
      </c>
      <c r="CW34" s="176">
        <v>3557.1979708947688</v>
      </c>
      <c r="CX34" s="176">
        <v>3403.3412473015092</v>
      </c>
      <c r="CY34" s="176">
        <v>3259.8153473137427</v>
      </c>
      <c r="CZ34" s="176">
        <v>3125.1310082573236</v>
      </c>
      <c r="DA34" s="176">
        <v>2997.9990295152979</v>
      </c>
      <c r="DB34" s="176">
        <v>2877.3284900600015</v>
      </c>
      <c r="DC34" s="176">
        <v>2762.2255787379058</v>
      </c>
      <c r="DD34" s="176">
        <v>2651.9923190165291</v>
      </c>
      <c r="DE34" s="176">
        <v>2546.1249111438328</v>
      </c>
      <c r="DF34" s="176">
        <v>2444.3116772046533</v>
      </c>
      <c r="DG34" s="176">
        <v>2346.4307014273054</v>
      </c>
      <c r="DH34" s="176">
        <v>2252.5472486376348</v>
      </c>
      <c r="DI34" s="176">
        <v>2162.9109611710228</v>
      </c>
      <c r="DJ34" s="176">
        <v>2077.9527200484799</v>
      </c>
      <c r="DK34" s="176">
        <v>1998.2809489360238</v>
      </c>
      <c r="DL34" s="176">
        <v>1924.6770769447651</v>
      </c>
      <c r="DM34" s="176">
        <v>1858.0898819865706</v>
      </c>
      <c r="DN34" s="176">
        <v>1799.6284584679929</v>
      </c>
      <c r="DO34" s="176">
        <v>1750.5533154513544</v>
      </c>
      <c r="DP34" s="176">
        <v>1712.2640905130195</v>
      </c>
      <c r="DQ34" s="176">
        <v>1686.2816006454987</v>
      </c>
      <c r="DR34" s="176">
        <v>1674.2330029588031</v>
      </c>
      <c r="DS34" s="176">
        <v>1677.9144688418478</v>
      </c>
      <c r="DT34" s="176">
        <v>1699.7519785160155</v>
      </c>
      <c r="DU34" s="176">
        <v>1745.2374559679261</v>
      </c>
      <c r="DV34" s="176">
        <v>1843.1257396167293</v>
      </c>
      <c r="DW34" s="176">
        <v>3222.7070165942005</v>
      </c>
      <c r="DX34" s="176">
        <v>1930.1135685812128</v>
      </c>
      <c r="DY34" s="176">
        <v>2054.0150534534591</v>
      </c>
      <c r="DZ34" s="176">
        <v>2169.8046702155507</v>
      </c>
      <c r="EA34" s="176">
        <v>2311.5894989457506</v>
      </c>
      <c r="EB34" s="176">
        <v>2472.8134533790139</v>
      </c>
      <c r="EC34" s="176">
        <v>2651.361635867007</v>
      </c>
      <c r="ED34" s="176">
        <v>2845.868905233021</v>
      </c>
      <c r="EE34" s="176">
        <v>3055.1334552412109</v>
      </c>
      <c r="EF34" s="176">
        <v>3278.005896261303</v>
      </c>
      <c r="EG34" s="176">
        <v>3513.3712086599976</v>
      </c>
      <c r="EH34" s="176">
        <v>3760.1569222532653</v>
      </c>
      <c r="EI34" s="176">
        <v>4000</v>
      </c>
      <c r="EJ34" s="176">
        <v>4000</v>
      </c>
      <c r="EK34" s="176">
        <v>4000</v>
      </c>
      <c r="EL34" s="176">
        <v>4000</v>
      </c>
      <c r="EM34" s="176">
        <v>4000</v>
      </c>
      <c r="EN34" s="176">
        <v>4000</v>
      </c>
      <c r="EO34" s="176">
        <v>4000</v>
      </c>
      <c r="EP34" t="str">
        <f t="shared" si="0"/>
        <v>0y 343d</v>
      </c>
      <c r="ES34" s="246" t="s">
        <v>108</v>
      </c>
      <c r="ET34" s="247"/>
      <c r="EU34" s="247"/>
      <c r="EV34" s="247"/>
      <c r="EW34" s="247"/>
      <c r="EX34" s="248"/>
    </row>
    <row r="35" spans="2:154" x14ac:dyDescent="0.25">
      <c r="B35" s="9">
        <v>32</v>
      </c>
      <c r="D35">
        <v>2853098.8251373647</v>
      </c>
      <c r="E35" s="12">
        <v>4986289965.0956497</v>
      </c>
      <c r="F35" s="12">
        <v>-12652769158.279327</v>
      </c>
      <c r="G35" s="12">
        <v>0</v>
      </c>
      <c r="H35" s="12">
        <v>5625979.0169200329</v>
      </c>
      <c r="I35" s="12">
        <v>7923258715.2884645</v>
      </c>
      <c r="J35" s="12">
        <v>18681896883.547062</v>
      </c>
      <c r="K35" s="12">
        <v>-19769376.217391089</v>
      </c>
      <c r="L35" s="12">
        <v>1495613.0142036297</v>
      </c>
      <c r="M35" s="12">
        <v>-2839625694.2613764</v>
      </c>
      <c r="N35" s="12">
        <v>-14471912364.282322</v>
      </c>
      <c r="O35" s="12">
        <v>44129575.46826528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G35" s="20">
        <v>4421216844.8280573</v>
      </c>
      <c r="AH35" s="20">
        <v>-3574788162.1737466</v>
      </c>
      <c r="AI35" s="20">
        <v>0</v>
      </c>
      <c r="AJ35">
        <v>11624649282.495951</v>
      </c>
      <c r="AK35" s="10">
        <v>-7058553962.93647</v>
      </c>
      <c r="AL35" s="10">
        <v>0</v>
      </c>
      <c r="AS35" s="6">
        <v>7587801.1425150689</v>
      </c>
      <c r="AT35" s="176">
        <v>4000</v>
      </c>
      <c r="AU35" s="176">
        <v>4000</v>
      </c>
      <c r="AV35" s="176">
        <v>4000</v>
      </c>
      <c r="AW35" s="176">
        <v>4000</v>
      </c>
      <c r="AX35" s="176">
        <v>4000</v>
      </c>
      <c r="AY35" s="176">
        <v>4000</v>
      </c>
      <c r="AZ35" s="176">
        <v>4000</v>
      </c>
      <c r="BA35" s="176">
        <v>4000</v>
      </c>
      <c r="BB35" s="176">
        <v>4000</v>
      </c>
      <c r="BC35" s="176">
        <v>4000</v>
      </c>
      <c r="BD35" s="176">
        <v>4000</v>
      </c>
      <c r="BE35" s="176">
        <v>4000</v>
      </c>
      <c r="BF35" s="176">
        <v>4000</v>
      </c>
      <c r="BG35" s="176">
        <v>4000</v>
      </c>
      <c r="BH35" s="176">
        <v>4000</v>
      </c>
      <c r="BI35" s="176">
        <v>4000</v>
      </c>
      <c r="BJ35" s="176">
        <v>4000</v>
      </c>
      <c r="BK35" s="176">
        <v>4000</v>
      </c>
      <c r="BL35" s="176">
        <v>4000</v>
      </c>
      <c r="BM35" s="176">
        <v>4000</v>
      </c>
      <c r="BN35" s="176">
        <v>4000</v>
      </c>
      <c r="BO35" s="176">
        <v>4000</v>
      </c>
      <c r="BP35" s="176">
        <v>4000</v>
      </c>
      <c r="BQ35" s="176">
        <v>4000</v>
      </c>
      <c r="BR35" s="176">
        <v>4000</v>
      </c>
      <c r="BS35" s="176">
        <v>4000</v>
      </c>
      <c r="BT35" s="176">
        <v>4000</v>
      </c>
      <c r="BU35" s="176">
        <v>4000</v>
      </c>
      <c r="BV35" s="176">
        <v>4000</v>
      </c>
      <c r="BW35" s="176">
        <v>4000</v>
      </c>
      <c r="BX35" s="176">
        <v>4000</v>
      </c>
      <c r="BY35" s="176">
        <v>4000</v>
      </c>
      <c r="BZ35" s="176">
        <v>4000</v>
      </c>
      <c r="CA35" s="176">
        <v>4000</v>
      </c>
      <c r="CB35" s="176">
        <v>4000</v>
      </c>
      <c r="CC35" s="176">
        <v>4000</v>
      </c>
      <c r="CD35" s="176">
        <v>4000</v>
      </c>
      <c r="CE35" s="176">
        <v>4000</v>
      </c>
      <c r="CF35" s="176">
        <v>4000</v>
      </c>
      <c r="CG35" s="176">
        <v>4000</v>
      </c>
      <c r="CH35" s="176">
        <v>4000</v>
      </c>
      <c r="CI35" s="176">
        <v>4000</v>
      </c>
      <c r="CJ35" s="176">
        <v>4000</v>
      </c>
      <c r="CK35" s="176">
        <v>4000</v>
      </c>
      <c r="CL35" s="176">
        <v>4000</v>
      </c>
      <c r="CM35" s="176">
        <v>4000</v>
      </c>
      <c r="CN35" s="176">
        <v>4000</v>
      </c>
      <c r="CO35" s="176">
        <v>4000</v>
      </c>
      <c r="CP35" s="176">
        <v>4000</v>
      </c>
      <c r="CQ35" s="176">
        <v>4000</v>
      </c>
      <c r="CR35" s="176">
        <v>4000</v>
      </c>
      <c r="CS35" s="176">
        <v>4000</v>
      </c>
      <c r="CT35" s="176">
        <v>4000</v>
      </c>
      <c r="CU35" s="176">
        <v>3993.1729071892378</v>
      </c>
      <c r="CV35" s="176">
        <v>3793.7632381357516</v>
      </c>
      <c r="CW35" s="176">
        <v>3610.7935224811063</v>
      </c>
      <c r="CX35" s="176">
        <v>3442.1337146070632</v>
      </c>
      <c r="CY35" s="176">
        <v>3285.8937918012807</v>
      </c>
      <c r="CZ35" s="176">
        <v>3140.4085458602058</v>
      </c>
      <c r="DA35" s="176">
        <v>3004.228904131799</v>
      </c>
      <c r="DB35" s="176">
        <v>2876.1170611187908</v>
      </c>
      <c r="DC35" s="176">
        <v>2755.0434366549407</v>
      </c>
      <c r="DD35" s="176">
        <v>2640.1841808927029</v>
      </c>
      <c r="DE35" s="176">
        <v>2530.9185244101855</v>
      </c>
      <c r="DF35" s="176">
        <v>2426.8256757051422</v>
      </c>
      <c r="DG35" s="176">
        <v>2327.6811946792773</v>
      </c>
      <c r="DH35" s="176">
        <v>2233.4528460128768</v>
      </c>
      <c r="DI35" s="176">
        <v>2144.2959010963159</v>
      </c>
      <c r="DJ35" s="176">
        <v>2060.5477538436244</v>
      </c>
      <c r="DK35" s="176">
        <v>1982.7215815947316</v>
      </c>
      <c r="DL35" s="176">
        <v>1911.4986431724594</v>
      </c>
      <c r="DM35" s="176">
        <v>1847.7186574119032</v>
      </c>
      <c r="DN35" s="176">
        <v>1792.3674558281662</v>
      </c>
      <c r="DO35" s="176">
        <v>1746.5604650349121</v>
      </c>
      <c r="DP35" s="176">
        <v>1711.5190874218765</v>
      </c>
      <c r="DQ35" s="176">
        <v>1688.5352758736756</v>
      </c>
      <c r="DR35" s="176">
        <v>1678.9235570278663</v>
      </c>
      <c r="DS35" s="176">
        <v>1683.984761069514</v>
      </c>
      <c r="DT35" s="176">
        <v>1705.0621479190147</v>
      </c>
      <c r="DU35" s="176">
        <v>1743.88574536897</v>
      </c>
      <c r="DV35" s="176">
        <v>1804.0871802748952</v>
      </c>
      <c r="DW35" s="176">
        <v>1902.2045086060623</v>
      </c>
      <c r="DX35" s="176">
        <v>2430.2796053353459</v>
      </c>
      <c r="DY35" s="176">
        <v>2046.609057069978</v>
      </c>
      <c r="DZ35" s="176">
        <v>2184.9581320103734</v>
      </c>
      <c r="EA35" s="176">
        <v>2313.9789612896338</v>
      </c>
      <c r="EB35" s="176">
        <v>2467.5025779513089</v>
      </c>
      <c r="EC35" s="176">
        <v>2638.4729036378421</v>
      </c>
      <c r="ED35" s="176">
        <v>2824.7787482963849</v>
      </c>
      <c r="EE35" s="176">
        <v>3025.1059909130176</v>
      </c>
      <c r="EF35" s="176">
        <v>3238.3393912782512</v>
      </c>
      <c r="EG35" s="176">
        <v>3463.4387274045775</v>
      </c>
      <c r="EH35" s="176">
        <v>3699.4173362022439</v>
      </c>
      <c r="EI35" s="176">
        <v>3945.3432783060725</v>
      </c>
      <c r="EJ35" s="176">
        <v>4000</v>
      </c>
      <c r="EK35" s="176">
        <v>4000</v>
      </c>
      <c r="EL35" s="176">
        <v>4000</v>
      </c>
      <c r="EM35" s="176">
        <v>4000</v>
      </c>
      <c r="EN35" s="176">
        <v>4000</v>
      </c>
      <c r="EO35" s="176">
        <v>4000</v>
      </c>
      <c r="EP35" t="str">
        <f t="shared" si="0"/>
        <v>0y 351d</v>
      </c>
      <c r="ES35" s="249"/>
      <c r="ET35" s="250"/>
      <c r="EU35" s="250"/>
      <c r="EV35" s="250"/>
      <c r="EW35" s="250"/>
      <c r="EX35" s="251"/>
    </row>
    <row r="36" spans="2:154" x14ac:dyDescent="0.25">
      <c r="B36" s="9">
        <v>33</v>
      </c>
      <c r="D36">
        <v>2945134.2711095372</v>
      </c>
      <c r="E36" s="12">
        <v>5770924609.7919588</v>
      </c>
      <c r="F36" s="12">
        <v>-12314710071.163496</v>
      </c>
      <c r="G36" s="12">
        <v>0</v>
      </c>
      <c r="H36" s="12">
        <v>5791700.9455297533</v>
      </c>
      <c r="I36" s="12">
        <v>6715182926.9187508</v>
      </c>
      <c r="J36" s="12">
        <v>19087410449.577103</v>
      </c>
      <c r="K36" s="12">
        <v>-19185543.703928892</v>
      </c>
      <c r="L36" s="12">
        <v>1549836.1897197459</v>
      </c>
      <c r="M36" s="12">
        <v>-2352061267.2100182</v>
      </c>
      <c r="N36" s="12">
        <v>-14642497391.789356</v>
      </c>
      <c r="O36" s="12">
        <v>45188989.847054571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G36" s="208" t="s">
        <v>64</v>
      </c>
      <c r="AH36" s="208"/>
      <c r="AI36" s="208"/>
      <c r="AJ36" s="208" t="s">
        <v>75</v>
      </c>
      <c r="AK36" s="208"/>
      <c r="AL36" s="208"/>
      <c r="AS36" s="6">
        <v>7766669.9039391214</v>
      </c>
      <c r="AT36" s="176">
        <v>4000</v>
      </c>
      <c r="AU36" s="176">
        <v>4000</v>
      </c>
      <c r="AV36" s="176">
        <v>4000</v>
      </c>
      <c r="AW36" s="176">
        <v>4000</v>
      </c>
      <c r="AX36" s="176">
        <v>4000</v>
      </c>
      <c r="AY36" s="176">
        <v>4000</v>
      </c>
      <c r="AZ36" s="176">
        <v>4000</v>
      </c>
      <c r="BA36" s="176">
        <v>4000</v>
      </c>
      <c r="BB36" s="176">
        <v>4000</v>
      </c>
      <c r="BC36" s="176">
        <v>4000</v>
      </c>
      <c r="BD36" s="176">
        <v>4000</v>
      </c>
      <c r="BE36" s="176">
        <v>4000</v>
      </c>
      <c r="BF36" s="176">
        <v>4000</v>
      </c>
      <c r="BG36" s="176">
        <v>4000</v>
      </c>
      <c r="BH36" s="176">
        <v>4000</v>
      </c>
      <c r="BI36" s="176">
        <v>4000</v>
      </c>
      <c r="BJ36" s="176">
        <v>4000</v>
      </c>
      <c r="BK36" s="176">
        <v>4000</v>
      </c>
      <c r="BL36" s="176">
        <v>4000</v>
      </c>
      <c r="BM36" s="176">
        <v>4000</v>
      </c>
      <c r="BN36" s="176">
        <v>4000</v>
      </c>
      <c r="BO36" s="176">
        <v>4000</v>
      </c>
      <c r="BP36" s="176">
        <v>4000</v>
      </c>
      <c r="BQ36" s="176">
        <v>4000</v>
      </c>
      <c r="BR36" s="176">
        <v>4000</v>
      </c>
      <c r="BS36" s="176">
        <v>4000</v>
      </c>
      <c r="BT36" s="176">
        <v>4000</v>
      </c>
      <c r="BU36" s="176">
        <v>4000</v>
      </c>
      <c r="BV36" s="176">
        <v>4000</v>
      </c>
      <c r="BW36" s="176">
        <v>4000</v>
      </c>
      <c r="BX36" s="176">
        <v>4000</v>
      </c>
      <c r="BY36" s="176">
        <v>4000</v>
      </c>
      <c r="BZ36" s="176">
        <v>4000</v>
      </c>
      <c r="CA36" s="176">
        <v>4000</v>
      </c>
      <c r="CB36" s="176">
        <v>4000</v>
      </c>
      <c r="CC36" s="176">
        <v>4000</v>
      </c>
      <c r="CD36" s="176">
        <v>4000</v>
      </c>
      <c r="CE36" s="176">
        <v>4000</v>
      </c>
      <c r="CF36" s="176">
        <v>4000</v>
      </c>
      <c r="CG36" s="176">
        <v>4000</v>
      </c>
      <c r="CH36" s="176">
        <v>4000</v>
      </c>
      <c r="CI36" s="176">
        <v>4000</v>
      </c>
      <c r="CJ36" s="176">
        <v>4000</v>
      </c>
      <c r="CK36" s="176">
        <v>4000</v>
      </c>
      <c r="CL36" s="176">
        <v>4000</v>
      </c>
      <c r="CM36" s="176">
        <v>4000</v>
      </c>
      <c r="CN36" s="176">
        <v>4000</v>
      </c>
      <c r="CO36" s="176">
        <v>4000</v>
      </c>
      <c r="CP36" s="176">
        <v>4000</v>
      </c>
      <c r="CQ36" s="176">
        <v>4000</v>
      </c>
      <c r="CR36" s="176">
        <v>4000</v>
      </c>
      <c r="CS36" s="176">
        <v>4000</v>
      </c>
      <c r="CT36" s="176">
        <v>4000</v>
      </c>
      <c r="CU36" s="176">
        <v>4000</v>
      </c>
      <c r="CV36" s="176">
        <v>3890.0931623930119</v>
      </c>
      <c r="CW36" s="176">
        <v>3688.2383139393323</v>
      </c>
      <c r="CX36" s="176">
        <v>3503.1648884461083</v>
      </c>
      <c r="CY36" s="176">
        <v>3332.7553395195459</v>
      </c>
      <c r="CZ36" s="176">
        <v>3175.1457957848634</v>
      </c>
      <c r="DA36" s="176">
        <v>3028.7099774004087</v>
      </c>
      <c r="DB36" s="176">
        <v>2892.0493086106326</v>
      </c>
      <c r="DC36" s="176">
        <v>2763.9866052492462</v>
      </c>
      <c r="DD36" s="176">
        <v>2643.5614422840517</v>
      </c>
      <c r="DE36" s="176">
        <v>2530.0259783579377</v>
      </c>
      <c r="DF36" s="176">
        <v>2422.8405474548099</v>
      </c>
      <c r="DG36" s="176">
        <v>2321.6686848378395</v>
      </c>
      <c r="DH36" s="176">
        <v>2226.3714389575889</v>
      </c>
      <c r="DI36" s="176">
        <v>2137.0008631084561</v>
      </c>
      <c r="DJ36" s="176">
        <v>2053.7925210381277</v>
      </c>
      <c r="DK36" s="176">
        <v>1977.1567189617751</v>
      </c>
      <c r="DL36" s="176">
        <v>1907.668020123087</v>
      </c>
      <c r="DM36" s="176">
        <v>1846.0524053318588</v>
      </c>
      <c r="DN36" s="176">
        <v>1793.1711429723928</v>
      </c>
      <c r="DO36" s="176">
        <v>1749.9998273351464</v>
      </c>
      <c r="DP36" s="176">
        <v>1717.5998915300756</v>
      </c>
      <c r="DQ36" s="176">
        <v>1697.0787844959827</v>
      </c>
      <c r="DR36" s="176">
        <v>1689.5378197144587</v>
      </c>
      <c r="DS36" s="176">
        <v>1696.0208743621299</v>
      </c>
      <c r="DT36" s="176">
        <v>1717.4987957755566</v>
      </c>
      <c r="DU36" s="176">
        <v>1754.9295758021151</v>
      </c>
      <c r="DV36" s="176">
        <v>1809.4660203370861</v>
      </c>
      <c r="DW36" s="176">
        <v>1883.2796555964399</v>
      </c>
      <c r="DX36" s="176">
        <v>1984.9679252778742</v>
      </c>
      <c r="DY36" s="176">
        <v>2239.0054319804094</v>
      </c>
      <c r="DZ36" s="176">
        <v>2175.4056428295335</v>
      </c>
      <c r="EA36" s="176">
        <v>2310.1420273979088</v>
      </c>
      <c r="EB36" s="176">
        <v>2464.5501329175731</v>
      </c>
      <c r="EC36" s="176">
        <v>2626.8243625859336</v>
      </c>
      <c r="ED36" s="176">
        <v>2804.7156072524726</v>
      </c>
      <c r="EE36" s="176">
        <v>2996.1374304671026</v>
      </c>
      <c r="EF36" s="176">
        <v>3199.8656646155205</v>
      </c>
      <c r="EG36" s="176">
        <v>3414.8903557973881</v>
      </c>
      <c r="EH36" s="176">
        <v>3640.2914504025057</v>
      </c>
      <c r="EI36" s="176">
        <v>3875.2127503733818</v>
      </c>
      <c r="EJ36" s="176">
        <v>4000</v>
      </c>
      <c r="EK36" s="176">
        <v>4000</v>
      </c>
      <c r="EL36" s="176">
        <v>4000</v>
      </c>
      <c r="EM36" s="176">
        <v>4000</v>
      </c>
      <c r="EN36" s="176">
        <v>4000</v>
      </c>
      <c r="EO36" s="176">
        <v>4000</v>
      </c>
      <c r="EP36" t="str">
        <f t="shared" si="0"/>
        <v>0y 360d</v>
      </c>
      <c r="ES36" s="249"/>
      <c r="ET36" s="250"/>
      <c r="EU36" s="250"/>
      <c r="EV36" s="250"/>
      <c r="EW36" s="250"/>
      <c r="EX36" s="251"/>
    </row>
    <row r="37" spans="2:154" x14ac:dyDescent="0.25">
      <c r="B37" s="9">
        <v>34</v>
      </c>
      <c r="D37">
        <v>3037169.7170817098</v>
      </c>
      <c r="E37" s="12">
        <v>6532784051.5380888</v>
      </c>
      <c r="F37" s="12">
        <v>-11928050449.452658</v>
      </c>
      <c r="G37" s="12">
        <v>0</v>
      </c>
      <c r="H37" s="12">
        <v>5956484.5369965285</v>
      </c>
      <c r="I37" s="12">
        <v>5488077344.239871</v>
      </c>
      <c r="J37" s="12">
        <v>19417101193.837933</v>
      </c>
      <c r="K37" s="12">
        <v>-18531110.340600263</v>
      </c>
      <c r="L37" s="12">
        <v>1604674.8891773708</v>
      </c>
      <c r="M37" s="12">
        <v>-1856435014.705193</v>
      </c>
      <c r="N37" s="12">
        <v>-14799283081.623528</v>
      </c>
      <c r="O37" s="12">
        <v>46211866.836062133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G37" s="21" t="s">
        <v>22</v>
      </c>
      <c r="AH37" s="21" t="s">
        <v>23</v>
      </c>
      <c r="AI37" s="21" t="s">
        <v>26</v>
      </c>
      <c r="AJ37" s="26" t="s">
        <v>22</v>
      </c>
      <c r="AK37" s="26" t="s">
        <v>23</v>
      </c>
      <c r="AL37" s="26" t="s">
        <v>26</v>
      </c>
      <c r="AS37" s="6">
        <v>7945538.6653631739</v>
      </c>
      <c r="AT37" s="176">
        <v>4000</v>
      </c>
      <c r="AU37" s="176">
        <v>4000</v>
      </c>
      <c r="AV37" s="176">
        <v>4000</v>
      </c>
      <c r="AW37" s="176">
        <v>4000</v>
      </c>
      <c r="AX37" s="176">
        <v>4000</v>
      </c>
      <c r="AY37" s="176">
        <v>4000</v>
      </c>
      <c r="AZ37" s="176">
        <v>4000</v>
      </c>
      <c r="BA37" s="176">
        <v>4000</v>
      </c>
      <c r="BB37" s="176">
        <v>4000</v>
      </c>
      <c r="BC37" s="176">
        <v>4000</v>
      </c>
      <c r="BD37" s="176">
        <v>4000</v>
      </c>
      <c r="BE37" s="176">
        <v>4000</v>
      </c>
      <c r="BF37" s="176">
        <v>4000</v>
      </c>
      <c r="BG37" s="176">
        <v>4000</v>
      </c>
      <c r="BH37" s="176">
        <v>4000</v>
      </c>
      <c r="BI37" s="176">
        <v>4000</v>
      </c>
      <c r="BJ37" s="176">
        <v>4000</v>
      </c>
      <c r="BK37" s="176">
        <v>4000</v>
      </c>
      <c r="BL37" s="176">
        <v>4000</v>
      </c>
      <c r="BM37" s="176">
        <v>4000</v>
      </c>
      <c r="BN37" s="176">
        <v>4000</v>
      </c>
      <c r="BO37" s="176">
        <v>4000</v>
      </c>
      <c r="BP37" s="176">
        <v>4000</v>
      </c>
      <c r="BQ37" s="176">
        <v>4000</v>
      </c>
      <c r="BR37" s="176">
        <v>4000</v>
      </c>
      <c r="BS37" s="176">
        <v>4000</v>
      </c>
      <c r="BT37" s="176">
        <v>4000</v>
      </c>
      <c r="BU37" s="176">
        <v>4000</v>
      </c>
      <c r="BV37" s="176">
        <v>4000</v>
      </c>
      <c r="BW37" s="176">
        <v>4000</v>
      </c>
      <c r="BX37" s="176">
        <v>4000</v>
      </c>
      <c r="BY37" s="176">
        <v>4000</v>
      </c>
      <c r="BZ37" s="176">
        <v>4000</v>
      </c>
      <c r="CA37" s="176">
        <v>4000</v>
      </c>
      <c r="CB37" s="176">
        <v>4000</v>
      </c>
      <c r="CC37" s="176">
        <v>4000</v>
      </c>
      <c r="CD37" s="176">
        <v>4000</v>
      </c>
      <c r="CE37" s="176">
        <v>4000</v>
      </c>
      <c r="CF37" s="176">
        <v>4000</v>
      </c>
      <c r="CG37" s="176">
        <v>4000</v>
      </c>
      <c r="CH37" s="176">
        <v>4000</v>
      </c>
      <c r="CI37" s="176">
        <v>4000</v>
      </c>
      <c r="CJ37" s="176">
        <v>4000</v>
      </c>
      <c r="CK37" s="176">
        <v>4000</v>
      </c>
      <c r="CL37" s="176">
        <v>4000</v>
      </c>
      <c r="CM37" s="176">
        <v>4000</v>
      </c>
      <c r="CN37" s="176">
        <v>4000</v>
      </c>
      <c r="CO37" s="176">
        <v>4000</v>
      </c>
      <c r="CP37" s="176">
        <v>4000</v>
      </c>
      <c r="CQ37" s="176">
        <v>4000</v>
      </c>
      <c r="CR37" s="176">
        <v>4000</v>
      </c>
      <c r="CS37" s="176">
        <v>4000</v>
      </c>
      <c r="CT37" s="176">
        <v>4000</v>
      </c>
      <c r="CU37" s="176">
        <v>4000</v>
      </c>
      <c r="CV37" s="176">
        <v>4000</v>
      </c>
      <c r="CW37" s="176">
        <v>3789.931322582047</v>
      </c>
      <c r="CX37" s="176">
        <v>3586.701713341432</v>
      </c>
      <c r="CY37" s="176">
        <v>3400.5648426395364</v>
      </c>
      <c r="CZ37" s="176">
        <v>3229.4269481860829</v>
      </c>
      <c r="DA37" s="176">
        <v>3071.4608812132656</v>
      </c>
      <c r="DB37" s="176">
        <v>2925.0889451941157</v>
      </c>
      <c r="DC37" s="176">
        <v>2788.9715280655896</v>
      </c>
      <c r="DD37" s="176">
        <v>2661.9990284876094</v>
      </c>
      <c r="DE37" s="176">
        <v>2543.2852822018249</v>
      </c>
      <c r="DF37" s="176">
        <v>2432.161322249709</v>
      </c>
      <c r="DG37" s="176">
        <v>2328.1687860652901</v>
      </c>
      <c r="DH37" s="176">
        <v>2231.0525877346472</v>
      </c>
      <c r="DI37" s="176">
        <v>2140.7526163476987</v>
      </c>
      <c r="DJ37" s="176">
        <v>2057.394234626373</v>
      </c>
      <c r="DK37" s="176">
        <v>1981.277276062046</v>
      </c>
      <c r="DL37" s="176">
        <v>1912.8631072418775</v>
      </c>
      <c r="DM37" s="176">
        <v>1852.7591460260526</v>
      </c>
      <c r="DN37" s="176">
        <v>1801.6999687745329</v>
      </c>
      <c r="DO37" s="176">
        <v>1760.5236919087054</v>
      </c>
      <c r="DP37" s="176">
        <v>1730.141589308161</v>
      </c>
      <c r="DQ37" s="176">
        <v>1711.4984539808777</v>
      </c>
      <c r="DR37" s="176">
        <v>1705.523618379581</v>
      </c>
      <c r="DS37" s="176">
        <v>1713.0818019036365</v>
      </c>
      <c r="DT37" s="176">
        <v>1734.9442584612816</v>
      </c>
      <c r="DU37" s="176">
        <v>1771.7937347502591</v>
      </c>
      <c r="DV37" s="176">
        <v>1824.2573987626081</v>
      </c>
      <c r="DW37" s="176">
        <v>1892.9995845342487</v>
      </c>
      <c r="DX37" s="176">
        <v>1979.129507434234</v>
      </c>
      <c r="DY37" s="176">
        <v>2086.6309847171092</v>
      </c>
      <c r="DZ37" s="176">
        <v>2255.0156842546353</v>
      </c>
      <c r="EA37" s="176">
        <v>2312.0906164741427</v>
      </c>
      <c r="EB37" s="176">
        <v>2456.0470611536593</v>
      </c>
      <c r="EC37" s="176">
        <v>2617.5858107001841</v>
      </c>
      <c r="ED37" s="176">
        <v>2786.0007490264416</v>
      </c>
      <c r="EE37" s="176">
        <v>2968.3904703466415</v>
      </c>
      <c r="EF37" s="176">
        <v>3162.7070134510145</v>
      </c>
      <c r="EG37" s="176">
        <v>3367.8329777896633</v>
      </c>
      <c r="EH37" s="176">
        <v>3582.8760667345473</v>
      </c>
      <c r="EI37" s="176">
        <v>3807.0404332255603</v>
      </c>
      <c r="EJ37" s="176">
        <v>4000</v>
      </c>
      <c r="EK37" s="176">
        <v>4000</v>
      </c>
      <c r="EL37" s="176">
        <v>4000</v>
      </c>
      <c r="EM37" s="176">
        <v>4000</v>
      </c>
      <c r="EN37" s="176">
        <v>4000</v>
      </c>
      <c r="EO37" s="176">
        <v>4000</v>
      </c>
      <c r="EP37" t="str">
        <f t="shared" si="0"/>
        <v>0y 368d</v>
      </c>
      <c r="ES37" s="252">
        <f>ES31</f>
        <v>1674.1330029588032</v>
      </c>
      <c r="ET37" s="253"/>
      <c r="EU37" s="253"/>
      <c r="EV37" s="253">
        <f>(1+EV31)*ES37</f>
        <v>1841.5463032546836</v>
      </c>
      <c r="EW37" s="253"/>
      <c r="EX37" s="256"/>
    </row>
    <row r="38" spans="2:154" x14ac:dyDescent="0.25">
      <c r="B38" s="9">
        <v>35</v>
      </c>
      <c r="D38">
        <v>3129205.1630538823</v>
      </c>
      <c r="E38" s="12">
        <v>7268861579.1779346</v>
      </c>
      <c r="F38" s="12">
        <v>-11494316262.025723</v>
      </c>
      <c r="G38" s="12">
        <v>0</v>
      </c>
      <c r="H38" s="12">
        <v>6120366.8393834271</v>
      </c>
      <c r="I38" s="12">
        <v>4246597231.0276246</v>
      </c>
      <c r="J38" s="12">
        <v>19670392718.675335</v>
      </c>
      <c r="K38" s="12">
        <v>-17809062.528172385</v>
      </c>
      <c r="L38" s="12">
        <v>1660152.7494945843</v>
      </c>
      <c r="M38" s="12">
        <v>-1353025854.0098326</v>
      </c>
      <c r="N38" s="12">
        <v>-14941898319.769049</v>
      </c>
      <c r="O38" s="12">
        <v>47196710.759460479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G38" s="20">
        <v>0</v>
      </c>
      <c r="AH38" s="20">
        <v>0</v>
      </c>
      <c r="AI38" s="20">
        <v>0</v>
      </c>
      <c r="AJ38" s="25">
        <v>0</v>
      </c>
      <c r="AK38" s="25">
        <v>0</v>
      </c>
      <c r="AL38" s="25">
        <v>0</v>
      </c>
      <c r="AS38" s="6">
        <v>8124407.4267872265</v>
      </c>
      <c r="AT38" s="176">
        <v>4000</v>
      </c>
      <c r="AU38" s="176">
        <v>4000</v>
      </c>
      <c r="AV38" s="176">
        <v>4000</v>
      </c>
      <c r="AW38" s="176">
        <v>4000</v>
      </c>
      <c r="AX38" s="176">
        <v>4000</v>
      </c>
      <c r="AY38" s="176">
        <v>4000</v>
      </c>
      <c r="AZ38" s="176">
        <v>4000</v>
      </c>
      <c r="BA38" s="176">
        <v>4000</v>
      </c>
      <c r="BB38" s="176">
        <v>4000</v>
      </c>
      <c r="BC38" s="176">
        <v>4000</v>
      </c>
      <c r="BD38" s="176">
        <v>4000</v>
      </c>
      <c r="BE38" s="176">
        <v>4000</v>
      </c>
      <c r="BF38" s="176">
        <v>4000</v>
      </c>
      <c r="BG38" s="176">
        <v>4000</v>
      </c>
      <c r="BH38" s="176">
        <v>4000</v>
      </c>
      <c r="BI38" s="176">
        <v>4000</v>
      </c>
      <c r="BJ38" s="176">
        <v>4000</v>
      </c>
      <c r="BK38" s="176">
        <v>4000</v>
      </c>
      <c r="BL38" s="176">
        <v>4000</v>
      </c>
      <c r="BM38" s="176">
        <v>4000</v>
      </c>
      <c r="BN38" s="176">
        <v>4000</v>
      </c>
      <c r="BO38" s="176">
        <v>4000</v>
      </c>
      <c r="BP38" s="176">
        <v>4000</v>
      </c>
      <c r="BQ38" s="176">
        <v>4000</v>
      </c>
      <c r="BR38" s="176">
        <v>4000</v>
      </c>
      <c r="BS38" s="176">
        <v>4000</v>
      </c>
      <c r="BT38" s="176">
        <v>4000</v>
      </c>
      <c r="BU38" s="176">
        <v>4000</v>
      </c>
      <c r="BV38" s="176">
        <v>4000</v>
      </c>
      <c r="BW38" s="176">
        <v>4000</v>
      </c>
      <c r="BX38" s="176">
        <v>4000</v>
      </c>
      <c r="BY38" s="176">
        <v>4000</v>
      </c>
      <c r="BZ38" s="176">
        <v>4000</v>
      </c>
      <c r="CA38" s="176">
        <v>4000</v>
      </c>
      <c r="CB38" s="176">
        <v>4000</v>
      </c>
      <c r="CC38" s="176">
        <v>4000</v>
      </c>
      <c r="CD38" s="176">
        <v>4000</v>
      </c>
      <c r="CE38" s="176">
        <v>4000</v>
      </c>
      <c r="CF38" s="176">
        <v>4000</v>
      </c>
      <c r="CG38" s="176">
        <v>4000</v>
      </c>
      <c r="CH38" s="176">
        <v>4000</v>
      </c>
      <c r="CI38" s="176">
        <v>4000</v>
      </c>
      <c r="CJ38" s="176">
        <v>4000</v>
      </c>
      <c r="CK38" s="176">
        <v>4000</v>
      </c>
      <c r="CL38" s="176">
        <v>4000</v>
      </c>
      <c r="CM38" s="176">
        <v>4000</v>
      </c>
      <c r="CN38" s="176">
        <v>4000</v>
      </c>
      <c r="CO38" s="176">
        <v>4000</v>
      </c>
      <c r="CP38" s="176">
        <v>4000</v>
      </c>
      <c r="CQ38" s="176">
        <v>4000</v>
      </c>
      <c r="CR38" s="176">
        <v>4000</v>
      </c>
      <c r="CS38" s="176">
        <v>4000</v>
      </c>
      <c r="CT38" s="176">
        <v>4000</v>
      </c>
      <c r="CU38" s="176">
        <v>4000</v>
      </c>
      <c r="CV38" s="176">
        <v>4000</v>
      </c>
      <c r="CW38" s="176">
        <v>3916.5641406041782</v>
      </c>
      <c r="CX38" s="176">
        <v>3693.2496907830546</v>
      </c>
      <c r="CY38" s="176">
        <v>3489.6830399972237</v>
      </c>
      <c r="CZ38" s="176">
        <v>3303.4990608983385</v>
      </c>
      <c r="DA38" s="176">
        <v>3132.6379726055793</v>
      </c>
      <c r="DB38" s="176">
        <v>2975.3184680092891</v>
      </c>
      <c r="DC38" s="176">
        <v>2830.0192224743187</v>
      </c>
      <c r="DD38" s="176">
        <v>2695.4657435481877</v>
      </c>
      <c r="DE38" s="176">
        <v>2570.6201982378052</v>
      </c>
      <c r="DF38" s="176">
        <v>2454.6725283127225</v>
      </c>
      <c r="DG38" s="176">
        <v>2347.0317393998394</v>
      </c>
      <c r="DH38" s="176">
        <v>2247.316671415083</v>
      </c>
      <c r="DI38" s="176">
        <v>2155.3458132792666</v>
      </c>
      <c r="DJ38" s="176">
        <v>2071.1258329981183</v>
      </c>
      <c r="DK38" s="176">
        <v>1994.8384911681082</v>
      </c>
      <c r="DL38" s="176">
        <v>1926.8255297811525</v>
      </c>
      <c r="DM38" s="176">
        <v>1867.5710033859755</v>
      </c>
      <c r="DN38" s="176">
        <v>1817.6803398039169</v>
      </c>
      <c r="DO38" s="176">
        <v>1777.8551379505755</v>
      </c>
      <c r="DP38" s="176">
        <v>1748.8623311765393</v>
      </c>
      <c r="DQ38" s="176">
        <v>1731.4963113383578</v>
      </c>
      <c r="DR38" s="176">
        <v>1726.5345969010546</v>
      </c>
      <c r="DS38" s="176">
        <v>1734.693851650725</v>
      </c>
      <c r="DT38" s="176">
        <v>1756.599841677732</v>
      </c>
      <c r="DU38" s="176">
        <v>1792.7785256072543</v>
      </c>
      <c r="DV38" s="176">
        <v>1843.6567152601835</v>
      </c>
      <c r="DW38" s="176">
        <v>1909.5637037514553</v>
      </c>
      <c r="DX38" s="176">
        <v>1990.766000944999</v>
      </c>
      <c r="DY38" s="176">
        <v>2087.6601593058986</v>
      </c>
      <c r="DZ38" s="176">
        <v>2201.7777595249308</v>
      </c>
      <c r="EA38" s="176">
        <v>2345.3363594161519</v>
      </c>
      <c r="EB38" s="176">
        <v>4000</v>
      </c>
      <c r="EC38" s="176">
        <v>2603.5468023730891</v>
      </c>
      <c r="ED38" s="176">
        <v>2769.8426265396702</v>
      </c>
      <c r="EE38" s="176">
        <v>2942.1691050374238</v>
      </c>
      <c r="EF38" s="176">
        <v>3127.0218383674919</v>
      </c>
      <c r="EG38" s="176">
        <v>3322.3904824281685</v>
      </c>
      <c r="EH38" s="176">
        <v>3527.2812407700039</v>
      </c>
      <c r="EI38" s="176">
        <v>3740.9264125827549</v>
      </c>
      <c r="EJ38" s="176">
        <v>3962.6552284118843</v>
      </c>
      <c r="EK38" s="176">
        <v>4000</v>
      </c>
      <c r="EL38" s="176">
        <v>4000</v>
      </c>
      <c r="EM38" s="176">
        <v>4000</v>
      </c>
      <c r="EN38" s="176">
        <v>4000</v>
      </c>
      <c r="EO38" s="176">
        <v>4000</v>
      </c>
      <c r="EP38" t="str">
        <f t="shared" si="0"/>
        <v>0y 376d</v>
      </c>
      <c r="ES38" s="252"/>
      <c r="ET38" s="253"/>
      <c r="EU38" s="253"/>
      <c r="EV38" s="253"/>
      <c r="EW38" s="253"/>
      <c r="EX38" s="256"/>
    </row>
    <row r="39" spans="2:154" ht="15.75" thickBot="1" x14ac:dyDescent="0.3">
      <c r="B39" s="9">
        <v>36</v>
      </c>
      <c r="D39">
        <v>3221240.6090260549</v>
      </c>
      <c r="E39" s="12">
        <v>7976252230.9917412</v>
      </c>
      <c r="F39" s="12">
        <v>-11015219259.566168</v>
      </c>
      <c r="G39" s="12">
        <v>0</v>
      </c>
      <c r="H39" s="12">
        <v>6283387.6126404628</v>
      </c>
      <c r="I39" s="12">
        <v>2995368949.3147035</v>
      </c>
      <c r="J39" s="12">
        <v>19846978101.835365</v>
      </c>
      <c r="K39" s="12">
        <v>-17022566.728856862</v>
      </c>
      <c r="L39" s="12">
        <v>1716293.5621239759</v>
      </c>
      <c r="M39" s="12">
        <v>-842130166.76202738</v>
      </c>
      <c r="N39" s="12">
        <v>-15069968427.079874</v>
      </c>
      <c r="O39" s="12">
        <v>48141996.271477863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J39">
        <v>-6438921825.771245</v>
      </c>
      <c r="AK39">
        <v>-20154941597.703873</v>
      </c>
      <c r="AL39">
        <v>19780124.999201365</v>
      </c>
      <c r="AS39" s="6">
        <v>8303276.188211279</v>
      </c>
      <c r="AT39" s="176">
        <v>4000</v>
      </c>
      <c r="AU39" s="176">
        <v>4000</v>
      </c>
      <c r="AV39" s="176">
        <v>4000</v>
      </c>
      <c r="AW39" s="176">
        <v>4000</v>
      </c>
      <c r="AX39" s="176">
        <v>4000</v>
      </c>
      <c r="AY39" s="176">
        <v>4000</v>
      </c>
      <c r="AZ39" s="176">
        <v>4000</v>
      </c>
      <c r="BA39" s="176">
        <v>4000</v>
      </c>
      <c r="BB39" s="176">
        <v>4000</v>
      </c>
      <c r="BC39" s="176">
        <v>4000</v>
      </c>
      <c r="BD39" s="176">
        <v>4000</v>
      </c>
      <c r="BE39" s="176">
        <v>4000</v>
      </c>
      <c r="BF39" s="176">
        <v>4000</v>
      </c>
      <c r="BG39" s="176">
        <v>4000</v>
      </c>
      <c r="BH39" s="176">
        <v>4000</v>
      </c>
      <c r="BI39" s="176">
        <v>4000</v>
      </c>
      <c r="BJ39" s="176">
        <v>4000</v>
      </c>
      <c r="BK39" s="176">
        <v>4000</v>
      </c>
      <c r="BL39" s="176">
        <v>4000</v>
      </c>
      <c r="BM39" s="176">
        <v>4000</v>
      </c>
      <c r="BN39" s="176">
        <v>4000</v>
      </c>
      <c r="BO39" s="176">
        <v>4000</v>
      </c>
      <c r="BP39" s="176">
        <v>4000</v>
      </c>
      <c r="BQ39" s="176">
        <v>4000</v>
      </c>
      <c r="BR39" s="176">
        <v>4000</v>
      </c>
      <c r="BS39" s="176">
        <v>4000</v>
      </c>
      <c r="BT39" s="176">
        <v>4000</v>
      </c>
      <c r="BU39" s="176">
        <v>4000</v>
      </c>
      <c r="BV39" s="176">
        <v>4000</v>
      </c>
      <c r="BW39" s="176">
        <v>4000</v>
      </c>
      <c r="BX39" s="176">
        <v>4000</v>
      </c>
      <c r="BY39" s="176">
        <v>4000</v>
      </c>
      <c r="BZ39" s="176">
        <v>4000</v>
      </c>
      <c r="CA39" s="176">
        <v>4000</v>
      </c>
      <c r="CB39" s="176">
        <v>4000</v>
      </c>
      <c r="CC39" s="176">
        <v>4000</v>
      </c>
      <c r="CD39" s="176">
        <v>4000</v>
      </c>
      <c r="CE39" s="176">
        <v>4000</v>
      </c>
      <c r="CF39" s="176">
        <v>4000</v>
      </c>
      <c r="CG39" s="176">
        <v>4000</v>
      </c>
      <c r="CH39" s="176">
        <v>4000</v>
      </c>
      <c r="CI39" s="176">
        <v>4000</v>
      </c>
      <c r="CJ39" s="176">
        <v>4000</v>
      </c>
      <c r="CK39" s="176">
        <v>4000</v>
      </c>
      <c r="CL39" s="176">
        <v>4000</v>
      </c>
      <c r="CM39" s="176">
        <v>4000</v>
      </c>
      <c r="CN39" s="176">
        <v>4000</v>
      </c>
      <c r="CO39" s="176">
        <v>4000</v>
      </c>
      <c r="CP39" s="176">
        <v>4000</v>
      </c>
      <c r="CQ39" s="176">
        <v>4000</v>
      </c>
      <c r="CR39" s="176">
        <v>4000</v>
      </c>
      <c r="CS39" s="176">
        <v>4000</v>
      </c>
      <c r="CT39" s="176">
        <v>4000</v>
      </c>
      <c r="CU39" s="176">
        <v>4000</v>
      </c>
      <c r="CV39" s="176">
        <v>4000</v>
      </c>
      <c r="CW39" s="176">
        <v>4000</v>
      </c>
      <c r="CX39" s="176">
        <v>3823.6241059086778</v>
      </c>
      <c r="CY39" s="176">
        <v>3600.727329549396</v>
      </c>
      <c r="CZ39" s="176">
        <v>3397.8232209287744</v>
      </c>
      <c r="DA39" s="176">
        <v>3212.5779445887247</v>
      </c>
      <c r="DB39" s="176">
        <v>3042.9743983623043</v>
      </c>
      <c r="DC39" s="176">
        <v>2887.2843461042039</v>
      </c>
      <c r="DD39" s="176">
        <v>2744.0482978018372</v>
      </c>
      <c r="DE39" s="176">
        <v>2612.0602479132144</v>
      </c>
      <c r="DF39" s="176">
        <v>2490.3550515269289</v>
      </c>
      <c r="DG39" s="176">
        <v>2378.1968518751564</v>
      </c>
      <c r="DH39" s="176">
        <v>2275.0674926672277</v>
      </c>
      <c r="DI39" s="176">
        <v>2180.6542164070602</v>
      </c>
      <c r="DJ39" s="176">
        <v>2094.8361652183148</v>
      </c>
      <c r="DK39" s="176">
        <v>2017.6692900532621</v>
      </c>
      <c r="DL39" s="176">
        <v>1949.3692751625963</v>
      </c>
      <c r="DM39" s="176">
        <v>1890.2920310815991</v>
      </c>
      <c r="DN39" s="176">
        <v>1840.9112169261889</v>
      </c>
      <c r="DO39" s="176">
        <v>1801.7921174016205</v>
      </c>
      <c r="DP39" s="176">
        <v>1773.5610592707267</v>
      </c>
      <c r="DQ39" s="176">
        <v>1756.8697350836101</v>
      </c>
      <c r="DR39" s="176">
        <v>1752.3553569685641</v>
      </c>
      <c r="DS39" s="176">
        <v>1760.6017298161316</v>
      </c>
      <c r="DT39" s="176">
        <v>1782.1106575546694</v>
      </c>
      <c r="DU39" s="176">
        <v>1817.2887577867148</v>
      </c>
      <c r="DV39" s="176">
        <v>1866.4410266816392</v>
      </c>
      <c r="DW39" s="176">
        <v>1929.7601115238554</v>
      </c>
      <c r="DX39" s="176">
        <v>2007.3177956262045</v>
      </c>
      <c r="DY39" s="176">
        <v>2099.0820917873925</v>
      </c>
      <c r="DZ39" s="176">
        <v>2205.0079091202042</v>
      </c>
      <c r="EA39" s="176">
        <v>2325.4202718599263</v>
      </c>
      <c r="EB39" s="176">
        <v>2463.6873547384125</v>
      </c>
      <c r="EC39" s="176">
        <v>2722.32494542326</v>
      </c>
      <c r="ED39" s="176">
        <v>2749.7255607998668</v>
      </c>
      <c r="EE39" s="176">
        <v>2918.6910742146229</v>
      </c>
      <c r="EF39" s="176">
        <v>3093.0781053181217</v>
      </c>
      <c r="EG39" s="176">
        <v>3278.7110455313368</v>
      </c>
      <c r="EH39" s="176">
        <v>3473.6302286992209</v>
      </c>
      <c r="EI39" s="176">
        <v>3676.9828264642429</v>
      </c>
      <c r="EJ39" s="176">
        <v>3888.1306095019927</v>
      </c>
      <c r="EK39" s="176">
        <v>4000</v>
      </c>
      <c r="EL39" s="176">
        <v>4000</v>
      </c>
      <c r="EM39" s="176">
        <v>4000</v>
      </c>
      <c r="EN39" s="176">
        <v>4000</v>
      </c>
      <c r="EO39" s="176">
        <v>4000</v>
      </c>
      <c r="EP39" t="str">
        <f t="shared" si="0"/>
        <v>0y 384d</v>
      </c>
      <c r="ES39" s="254"/>
      <c r="ET39" s="255"/>
      <c r="EU39" s="255"/>
      <c r="EV39" s="255"/>
      <c r="EW39" s="255"/>
      <c r="EX39" s="257"/>
    </row>
    <row r="40" spans="2:154" x14ac:dyDescent="0.25">
      <c r="B40" s="9">
        <v>37</v>
      </c>
      <c r="D40">
        <v>3313276.0549982274</v>
      </c>
      <c r="E40" s="12">
        <v>8652164259.2528458</v>
      </c>
      <c r="F40" s="12">
        <v>-10492650219.064096</v>
      </c>
      <c r="G40" s="12">
        <v>0</v>
      </c>
      <c r="H40" s="12">
        <v>6445589.1347707538</v>
      </c>
      <c r="I40" s="12">
        <v>1738976852.358906</v>
      </c>
      <c r="J40" s="12">
        <v>19946811364.01115</v>
      </c>
      <c r="K40" s="12">
        <v>-16174953.472857704</v>
      </c>
      <c r="L40" s="12">
        <v>1773121.2546453329</v>
      </c>
      <c r="M40" s="12">
        <v>-324062808.41506296</v>
      </c>
      <c r="N40" s="12">
        <v>-15183115756.206181</v>
      </c>
      <c r="O40" s="12">
        <v>49046169.253123865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G40" s="208" t="s">
        <v>65</v>
      </c>
      <c r="AH40" s="208"/>
      <c r="AI40" s="208"/>
      <c r="AS40" s="6">
        <v>8482144.9496353306</v>
      </c>
      <c r="AT40" s="176">
        <v>4000</v>
      </c>
      <c r="AU40" s="176">
        <v>4000</v>
      </c>
      <c r="AV40" s="176">
        <v>4000</v>
      </c>
      <c r="AW40" s="176">
        <v>4000</v>
      </c>
      <c r="AX40" s="176">
        <v>4000</v>
      </c>
      <c r="AY40" s="176">
        <v>4000</v>
      </c>
      <c r="AZ40" s="176">
        <v>4000</v>
      </c>
      <c r="BA40" s="176">
        <v>4000</v>
      </c>
      <c r="BB40" s="176">
        <v>4000</v>
      </c>
      <c r="BC40" s="176">
        <v>4000</v>
      </c>
      <c r="BD40" s="176">
        <v>4000</v>
      </c>
      <c r="BE40" s="176">
        <v>4000</v>
      </c>
      <c r="BF40" s="176">
        <v>4000</v>
      </c>
      <c r="BG40" s="176">
        <v>4000</v>
      </c>
      <c r="BH40" s="176">
        <v>4000</v>
      </c>
      <c r="BI40" s="176">
        <v>4000</v>
      </c>
      <c r="BJ40" s="176">
        <v>4000</v>
      </c>
      <c r="BK40" s="176">
        <v>4000</v>
      </c>
      <c r="BL40" s="176">
        <v>4000</v>
      </c>
      <c r="BM40" s="176">
        <v>4000</v>
      </c>
      <c r="BN40" s="176">
        <v>4000</v>
      </c>
      <c r="BO40" s="176">
        <v>4000</v>
      </c>
      <c r="BP40" s="176">
        <v>4000</v>
      </c>
      <c r="BQ40" s="176">
        <v>4000</v>
      </c>
      <c r="BR40" s="176">
        <v>4000</v>
      </c>
      <c r="BS40" s="176">
        <v>4000</v>
      </c>
      <c r="BT40" s="176">
        <v>4000</v>
      </c>
      <c r="BU40" s="176">
        <v>4000</v>
      </c>
      <c r="BV40" s="176">
        <v>4000</v>
      </c>
      <c r="BW40" s="176">
        <v>4000</v>
      </c>
      <c r="BX40" s="176">
        <v>4000</v>
      </c>
      <c r="BY40" s="176">
        <v>4000</v>
      </c>
      <c r="BZ40" s="176">
        <v>4000</v>
      </c>
      <c r="CA40" s="176">
        <v>4000</v>
      </c>
      <c r="CB40" s="176">
        <v>4000</v>
      </c>
      <c r="CC40" s="176">
        <v>4000</v>
      </c>
      <c r="CD40" s="176">
        <v>4000</v>
      </c>
      <c r="CE40" s="176">
        <v>4000</v>
      </c>
      <c r="CF40" s="176">
        <v>4000</v>
      </c>
      <c r="CG40" s="176">
        <v>4000</v>
      </c>
      <c r="CH40" s="176">
        <v>4000</v>
      </c>
      <c r="CI40" s="176">
        <v>4000</v>
      </c>
      <c r="CJ40" s="176">
        <v>4000</v>
      </c>
      <c r="CK40" s="176">
        <v>4000</v>
      </c>
      <c r="CL40" s="176">
        <v>4000</v>
      </c>
      <c r="CM40" s="176">
        <v>4000</v>
      </c>
      <c r="CN40" s="176">
        <v>4000</v>
      </c>
      <c r="CO40" s="176">
        <v>4000</v>
      </c>
      <c r="CP40" s="176">
        <v>4000</v>
      </c>
      <c r="CQ40" s="176">
        <v>4000</v>
      </c>
      <c r="CR40" s="176">
        <v>4000</v>
      </c>
      <c r="CS40" s="176">
        <v>4000</v>
      </c>
      <c r="CT40" s="176">
        <v>4000</v>
      </c>
      <c r="CU40" s="176">
        <v>4000</v>
      </c>
      <c r="CV40" s="176">
        <v>4000</v>
      </c>
      <c r="CW40" s="176">
        <v>4000</v>
      </c>
      <c r="CX40" s="176">
        <v>3979.028583899244</v>
      </c>
      <c r="CY40" s="176">
        <v>3734.6401534490597</v>
      </c>
      <c r="CZ40" s="176">
        <v>3513.1334836698315</v>
      </c>
      <c r="DA40" s="176">
        <v>3311.8481825063345</v>
      </c>
      <c r="DB40" s="176">
        <v>3128.490025998537</v>
      </c>
      <c r="DC40" s="176">
        <v>2961.0913517757963</v>
      </c>
      <c r="DD40" s="176">
        <v>2807.9818856144284</v>
      </c>
      <c r="DE40" s="176">
        <v>2667.7666603161488</v>
      </c>
      <c r="DF40" s="176">
        <v>2539.3083015799771</v>
      </c>
      <c r="DG40" s="176">
        <v>2421.7116066092185</v>
      </c>
      <c r="DH40" s="176">
        <v>2314.3089313203459</v>
      </c>
      <c r="DI40" s="176">
        <v>2216.6453700632856</v>
      </c>
      <c r="DJ40" s="176">
        <v>2128.4630362183707</v>
      </c>
      <c r="DK40" s="176">
        <v>2049.6839445215001</v>
      </c>
      <c r="DL40" s="176">
        <v>1980.3910881940326</v>
      </c>
      <c r="DM40" s="176">
        <v>1920.8073327920245</v>
      </c>
      <c r="DN40" s="176">
        <v>1871.2717431030933</v>
      </c>
      <c r="DO40" s="176">
        <v>1832.2129381919692</v>
      </c>
      <c r="DP40" s="176">
        <v>1804.1190814758158</v>
      </c>
      <c r="DQ40" s="176">
        <v>1787.5043840888902</v>
      </c>
      <c r="DR40" s="176">
        <v>1782.8731638242298</v>
      </c>
      <c r="DS40" s="176">
        <v>1790.6852510067094</v>
      </c>
      <c r="DT40" s="176">
        <v>1811.3293541282167</v>
      </c>
      <c r="DU40" s="176">
        <v>1845.1083897842668</v>
      </c>
      <c r="DV40" s="176">
        <v>1892.2313643752541</v>
      </c>
      <c r="DW40" s="176">
        <v>1952.8028079642816</v>
      </c>
      <c r="DX40" s="176">
        <v>2026.810827556681</v>
      </c>
      <c r="DY40" s="176">
        <v>2114.1239033750953</v>
      </c>
      <c r="DZ40" s="176">
        <v>2214.5054837445978</v>
      </c>
      <c r="EA40" s="176">
        <v>2327.6587347828072</v>
      </c>
      <c r="EB40" s="176">
        <v>2453.3623279504791</v>
      </c>
      <c r="EC40" s="176">
        <v>2592.1573276456493</v>
      </c>
      <c r="ED40" s="176">
        <v>2755.4935585829917</v>
      </c>
      <c r="EE40" s="176">
        <v>2892.2294473969605</v>
      </c>
      <c r="EF40" s="176">
        <v>3059.8705933714809</v>
      </c>
      <c r="EG40" s="176">
        <v>3237.0089327321693</v>
      </c>
      <c r="EH40" s="176">
        <v>3422.0603470112419</v>
      </c>
      <c r="EI40" s="176">
        <v>3615.3336076312762</v>
      </c>
      <c r="EJ40" s="176">
        <v>3816.1401879489067</v>
      </c>
      <c r="EK40" s="176">
        <v>4000</v>
      </c>
      <c r="EL40" s="176">
        <v>4000</v>
      </c>
      <c r="EM40" s="176">
        <v>4000</v>
      </c>
      <c r="EN40" s="176">
        <v>4000</v>
      </c>
      <c r="EO40" s="176">
        <v>4000</v>
      </c>
      <c r="EP40" t="str">
        <f t="shared" si="0"/>
        <v>0y 393d</v>
      </c>
    </row>
    <row r="41" spans="2:154" ht="15" customHeight="1" x14ac:dyDescent="0.25">
      <c r="B41" s="9">
        <v>38</v>
      </c>
      <c r="D41">
        <v>3405311.5009704004</v>
      </c>
      <c r="E41" s="12">
        <v>9293930147.9805298</v>
      </c>
      <c r="F41" s="12">
        <v>-9928671481.783287</v>
      </c>
      <c r="G41" s="12">
        <v>0</v>
      </c>
      <c r="H41" s="12">
        <v>6607016.0113019831</v>
      </c>
      <c r="I41" s="12">
        <v>481951378.31774145</v>
      </c>
      <c r="J41" s="12">
        <v>19970098689.272614</v>
      </c>
      <c r="K41" s="12">
        <v>-15269702.061651379</v>
      </c>
      <c r="L41" s="12">
        <v>1830659.8693305543</v>
      </c>
      <c r="M41" s="12">
        <v>200841872.68988645</v>
      </c>
      <c r="N41" s="12">
        <v>-15280960371.547009</v>
      </c>
      <c r="O41" s="12">
        <v>49907647.968980007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G41" s="21" t="s">
        <v>22</v>
      </c>
      <c r="AH41" s="21" t="s">
        <v>23</v>
      </c>
      <c r="AI41" s="21" t="s">
        <v>26</v>
      </c>
      <c r="AS41" s="6">
        <v>8661013.7110593822</v>
      </c>
      <c r="AT41" s="176">
        <v>4000</v>
      </c>
      <c r="AU41" s="176">
        <v>4000</v>
      </c>
      <c r="AV41" s="176">
        <v>4000</v>
      </c>
      <c r="AW41" s="176">
        <v>4000</v>
      </c>
      <c r="AX41" s="176">
        <v>4000</v>
      </c>
      <c r="AY41" s="176">
        <v>4000</v>
      </c>
      <c r="AZ41" s="176">
        <v>4000</v>
      </c>
      <c r="BA41" s="176">
        <v>4000</v>
      </c>
      <c r="BB41" s="176">
        <v>4000</v>
      </c>
      <c r="BC41" s="176">
        <v>4000</v>
      </c>
      <c r="BD41" s="176">
        <v>4000</v>
      </c>
      <c r="BE41" s="176">
        <v>4000</v>
      </c>
      <c r="BF41" s="176">
        <v>4000</v>
      </c>
      <c r="BG41" s="176">
        <v>4000</v>
      </c>
      <c r="BH41" s="176">
        <v>4000</v>
      </c>
      <c r="BI41" s="176">
        <v>4000</v>
      </c>
      <c r="BJ41" s="176">
        <v>4000</v>
      </c>
      <c r="BK41" s="176">
        <v>4000</v>
      </c>
      <c r="BL41" s="176">
        <v>4000</v>
      </c>
      <c r="BM41" s="176">
        <v>4000</v>
      </c>
      <c r="BN41" s="176">
        <v>4000</v>
      </c>
      <c r="BO41" s="176">
        <v>4000</v>
      </c>
      <c r="BP41" s="176">
        <v>4000</v>
      </c>
      <c r="BQ41" s="176">
        <v>4000</v>
      </c>
      <c r="BR41" s="176">
        <v>4000</v>
      </c>
      <c r="BS41" s="176">
        <v>4000</v>
      </c>
      <c r="BT41" s="176">
        <v>4000</v>
      </c>
      <c r="BU41" s="176">
        <v>4000</v>
      </c>
      <c r="BV41" s="176">
        <v>4000</v>
      </c>
      <c r="BW41" s="176">
        <v>4000</v>
      </c>
      <c r="BX41" s="176">
        <v>4000</v>
      </c>
      <c r="BY41" s="176">
        <v>4000</v>
      </c>
      <c r="BZ41" s="176">
        <v>4000</v>
      </c>
      <c r="CA41" s="176">
        <v>4000</v>
      </c>
      <c r="CB41" s="176">
        <v>4000</v>
      </c>
      <c r="CC41" s="176">
        <v>4000</v>
      </c>
      <c r="CD41" s="176">
        <v>4000</v>
      </c>
      <c r="CE41" s="176">
        <v>4000</v>
      </c>
      <c r="CF41" s="176">
        <v>4000</v>
      </c>
      <c r="CG41" s="176">
        <v>4000</v>
      </c>
      <c r="CH41" s="176">
        <v>4000</v>
      </c>
      <c r="CI41" s="176">
        <v>4000</v>
      </c>
      <c r="CJ41" s="176">
        <v>4000</v>
      </c>
      <c r="CK41" s="176">
        <v>4000</v>
      </c>
      <c r="CL41" s="176">
        <v>4000</v>
      </c>
      <c r="CM41" s="176">
        <v>4000</v>
      </c>
      <c r="CN41" s="176">
        <v>4000</v>
      </c>
      <c r="CO41" s="176">
        <v>4000</v>
      </c>
      <c r="CP41" s="176">
        <v>4000</v>
      </c>
      <c r="CQ41" s="176">
        <v>4000</v>
      </c>
      <c r="CR41" s="176">
        <v>4000</v>
      </c>
      <c r="CS41" s="176">
        <v>4000</v>
      </c>
      <c r="CT41" s="176">
        <v>4000</v>
      </c>
      <c r="CU41" s="176">
        <v>4000</v>
      </c>
      <c r="CV41" s="176">
        <v>4000</v>
      </c>
      <c r="CW41" s="176">
        <v>4000</v>
      </c>
      <c r="CX41" s="176">
        <v>4000</v>
      </c>
      <c r="CY41" s="176">
        <v>3892.7649291076923</v>
      </c>
      <c r="CZ41" s="176">
        <v>3650.5030104046964</v>
      </c>
      <c r="DA41" s="176">
        <v>3431.3040267369943</v>
      </c>
      <c r="DB41" s="176">
        <v>3232.5447344260938</v>
      </c>
      <c r="DC41" s="176">
        <v>3051.9768256182947</v>
      </c>
      <c r="DD41" s="176">
        <v>2887.6864734071437</v>
      </c>
      <c r="DE41" s="176">
        <v>2738.0635004957921</v>
      </c>
      <c r="DF41" s="176">
        <v>2601.7769934904177</v>
      </c>
      <c r="DG41" s="176">
        <v>2477.7548110950538</v>
      </c>
      <c r="DH41" s="176">
        <v>2365.1650618175499</v>
      </c>
      <c r="DI41" s="176">
        <v>2263.3981747975622</v>
      </c>
      <c r="DJ41" s="176">
        <v>2172.0486133587524</v>
      </c>
      <c r="DK41" s="176">
        <v>2090.8955786986376</v>
      </c>
      <c r="DL41" s="176">
        <v>2019.8822414660115</v>
      </c>
      <c r="DM41" s="176">
        <v>1959.0931557417787</v>
      </c>
      <c r="DN41" s="176">
        <v>1908.7295872355294</v>
      </c>
      <c r="DO41" s="176">
        <v>1869.0825548329281</v>
      </c>
      <c r="DP41" s="176">
        <v>1840.5034893204747</v>
      </c>
      <c r="DQ41" s="176">
        <v>1823.3727035966667</v>
      </c>
      <c r="DR41" s="176">
        <v>1818.0667135019387</v>
      </c>
      <c r="DS41" s="176">
        <v>1824.9272287258741</v>
      </c>
      <c r="DT41" s="176">
        <v>1844.2364707806737</v>
      </c>
      <c r="DU41" s="176">
        <v>1876.2020440582335</v>
      </c>
      <c r="DV41" s="176">
        <v>1920.9483816419381</v>
      </c>
      <c r="DW41" s="176">
        <v>1978.508105130293</v>
      </c>
      <c r="DX41" s="176">
        <v>2048.8110825955218</v>
      </c>
      <c r="DY41" s="176">
        <v>2131.6845234643847</v>
      </c>
      <c r="DZ41" s="176">
        <v>2226.8506808612374</v>
      </c>
      <c r="EA41" s="176">
        <v>2333.9478854922231</v>
      </c>
      <c r="EB41" s="176">
        <v>2452.5491888738015</v>
      </c>
      <c r="EC41" s="176">
        <v>2582.2180483052994</v>
      </c>
      <c r="ED41" s="176">
        <v>2722.6547272329567</v>
      </c>
      <c r="EE41" s="176">
        <v>2874.9257914662453</v>
      </c>
      <c r="EF41" s="176">
        <v>3899.7769952697099</v>
      </c>
      <c r="EG41" s="176">
        <v>3196.8312698752943</v>
      </c>
      <c r="EH41" s="176">
        <v>3372.7282164864946</v>
      </c>
      <c r="EI41" s="176">
        <v>3556.1152506119606</v>
      </c>
      <c r="EJ41" s="176">
        <v>3746.8149148798384</v>
      </c>
      <c r="EK41" s="176">
        <v>3944.3311318474839</v>
      </c>
      <c r="EL41" s="176">
        <v>4000</v>
      </c>
      <c r="EM41" s="176">
        <v>4000</v>
      </c>
      <c r="EN41" s="176">
        <v>4000</v>
      </c>
      <c r="EO41" s="176">
        <v>4000</v>
      </c>
      <c r="EP41" t="str">
        <f t="shared" si="0"/>
        <v>0y 401d</v>
      </c>
      <c r="ES41" s="258" t="s">
        <v>109</v>
      </c>
      <c r="ET41" s="258"/>
      <c r="EU41" s="258"/>
      <c r="EV41" s="258"/>
      <c r="EW41" s="258"/>
      <c r="EX41" s="258"/>
    </row>
    <row r="42" spans="2:154" ht="15" customHeight="1" x14ac:dyDescent="0.25">
      <c r="B42" s="9">
        <v>39</v>
      </c>
      <c r="D42">
        <v>3497346.9469425729</v>
      </c>
      <c r="E42" s="12">
        <v>9899017140.4069386</v>
      </c>
      <c r="F42" s="12">
        <v>-9325508814.1424103</v>
      </c>
      <c r="G42" s="12">
        <v>0</v>
      </c>
      <c r="H42" s="12">
        <v>6767714.988790622</v>
      </c>
      <c r="I42" s="12">
        <v>-771241721.76590824</v>
      </c>
      <c r="J42" s="12">
        <v>19917289529.292271</v>
      </c>
      <c r="K42" s="12">
        <v>-14310426.01704629</v>
      </c>
      <c r="L42" s="12">
        <v>1888933.5384829738</v>
      </c>
      <c r="M42" s="12">
        <v>732229011.17095923</v>
      </c>
      <c r="N42" s="12">
        <v>-15363120816.899721</v>
      </c>
      <c r="O42" s="12">
        <v>50724824.503957674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G42" s="20">
        <v>0</v>
      </c>
      <c r="AH42" s="20">
        <v>0</v>
      </c>
      <c r="AI42" s="20">
        <v>0</v>
      </c>
      <c r="AS42" s="6">
        <v>8839882.4724834338</v>
      </c>
      <c r="AT42" s="176">
        <v>4000</v>
      </c>
      <c r="AU42" s="176">
        <v>4000</v>
      </c>
      <c r="AV42" s="176">
        <v>4000</v>
      </c>
      <c r="AW42" s="176">
        <v>4000</v>
      </c>
      <c r="AX42" s="176">
        <v>4000</v>
      </c>
      <c r="AY42" s="176">
        <v>4000</v>
      </c>
      <c r="AZ42" s="176">
        <v>4000</v>
      </c>
      <c r="BA42" s="176">
        <v>4000</v>
      </c>
      <c r="BB42" s="176">
        <v>4000</v>
      </c>
      <c r="BC42" s="176">
        <v>4000</v>
      </c>
      <c r="BD42" s="176">
        <v>4000</v>
      </c>
      <c r="BE42" s="176">
        <v>4000</v>
      </c>
      <c r="BF42" s="176">
        <v>4000</v>
      </c>
      <c r="BG42" s="176">
        <v>4000</v>
      </c>
      <c r="BH42" s="176">
        <v>4000</v>
      </c>
      <c r="BI42" s="176">
        <v>4000</v>
      </c>
      <c r="BJ42" s="176">
        <v>4000</v>
      </c>
      <c r="BK42" s="176">
        <v>4000</v>
      </c>
      <c r="BL42" s="176">
        <v>4000</v>
      </c>
      <c r="BM42" s="176">
        <v>4000</v>
      </c>
      <c r="BN42" s="176">
        <v>4000</v>
      </c>
      <c r="BO42" s="176">
        <v>4000</v>
      </c>
      <c r="BP42" s="176">
        <v>4000</v>
      </c>
      <c r="BQ42" s="176">
        <v>4000</v>
      </c>
      <c r="BR42" s="176">
        <v>4000</v>
      </c>
      <c r="BS42" s="176">
        <v>4000</v>
      </c>
      <c r="BT42" s="176">
        <v>4000</v>
      </c>
      <c r="BU42" s="176">
        <v>4000</v>
      </c>
      <c r="BV42" s="176">
        <v>4000</v>
      </c>
      <c r="BW42" s="176">
        <v>4000</v>
      </c>
      <c r="BX42" s="176">
        <v>4000</v>
      </c>
      <c r="BY42" s="176">
        <v>4000</v>
      </c>
      <c r="BZ42" s="176">
        <v>4000</v>
      </c>
      <c r="CA42" s="176">
        <v>4000</v>
      </c>
      <c r="CB42" s="176">
        <v>4000</v>
      </c>
      <c r="CC42" s="176">
        <v>4000</v>
      </c>
      <c r="CD42" s="176">
        <v>4000</v>
      </c>
      <c r="CE42" s="176">
        <v>4000</v>
      </c>
      <c r="CF42" s="176">
        <v>4000</v>
      </c>
      <c r="CG42" s="176">
        <v>4000</v>
      </c>
      <c r="CH42" s="176">
        <v>4000</v>
      </c>
      <c r="CI42" s="176">
        <v>4000</v>
      </c>
      <c r="CJ42" s="176">
        <v>4000</v>
      </c>
      <c r="CK42" s="176">
        <v>4000</v>
      </c>
      <c r="CL42" s="176">
        <v>4000</v>
      </c>
      <c r="CM42" s="176">
        <v>4000</v>
      </c>
      <c r="CN42" s="176">
        <v>4000</v>
      </c>
      <c r="CO42" s="176">
        <v>4000</v>
      </c>
      <c r="CP42" s="176">
        <v>4000</v>
      </c>
      <c r="CQ42" s="176">
        <v>4000</v>
      </c>
      <c r="CR42" s="176">
        <v>4000</v>
      </c>
      <c r="CS42" s="176">
        <v>4000</v>
      </c>
      <c r="CT42" s="176">
        <v>4000</v>
      </c>
      <c r="CU42" s="176">
        <v>4000</v>
      </c>
      <c r="CV42" s="176">
        <v>4000</v>
      </c>
      <c r="CW42" s="176">
        <v>4000</v>
      </c>
      <c r="CX42" s="176">
        <v>4000</v>
      </c>
      <c r="CY42" s="176">
        <v>4000</v>
      </c>
      <c r="CZ42" s="176">
        <v>3811.4185296087553</v>
      </c>
      <c r="DA42" s="176">
        <v>3572.1534523024866</v>
      </c>
      <c r="DB42" s="176">
        <v>3356.1200165720611</v>
      </c>
      <c r="DC42" s="176">
        <v>3160.7378792402669</v>
      </c>
      <c r="DD42" s="176">
        <v>2983.8085418208934</v>
      </c>
      <c r="DE42" s="176">
        <v>2823.4736637997858</v>
      </c>
      <c r="DF42" s="176">
        <v>2678.1822130353407</v>
      </c>
      <c r="DG42" s="176">
        <v>2546.6634569113148</v>
      </c>
      <c r="DH42" s="176">
        <v>2427.9034261674396</v>
      </c>
      <c r="DI42" s="176">
        <v>2321.1230852928852</v>
      </c>
      <c r="DJ42" s="176">
        <v>2225.756955991606</v>
      </c>
      <c r="DK42" s="176">
        <v>2141.4313380784556</v>
      </c>
      <c r="DL42" s="176">
        <v>2067.9415612077942</v>
      </c>
      <c r="DM42" s="176">
        <v>2005.2279068003393</v>
      </c>
      <c r="DN42" s="176">
        <v>1953.3499951184283</v>
      </c>
      <c r="DO42" s="176">
        <v>1912.4595698920375</v>
      </c>
      <c r="DP42" s="176">
        <v>1882.7717735757587</v>
      </c>
      <c r="DQ42" s="176">
        <v>1864.5352842832388</v>
      </c>
      <c r="DR42" s="176">
        <v>1858.0022872779239</v>
      </c>
      <c r="DS42" s="176">
        <v>1863.4003832177932</v>
      </c>
      <c r="DT42" s="176">
        <v>1880.9097065694132</v>
      </c>
      <c r="DU42" s="176">
        <v>1910.6478053509272</v>
      </c>
      <c r="DV42" s="176">
        <v>1952.6609040622063</v>
      </c>
      <c r="DW42" s="176">
        <v>2006.9155597669474</v>
      </c>
      <c r="DX42" s="176">
        <v>2073.2968756323116</v>
      </c>
      <c r="DY42" s="176">
        <v>2151.5969555997954</v>
      </c>
      <c r="DZ42" s="176">
        <v>2241.5230938784262</v>
      </c>
      <c r="EA42" s="176">
        <v>2342.7067349811223</v>
      </c>
      <c r="EB42" s="176">
        <v>2454.7183855793292</v>
      </c>
      <c r="EC42" s="176">
        <v>2577.0866725862388</v>
      </c>
      <c r="ED42" s="176">
        <v>2709.3122900092749</v>
      </c>
      <c r="EE42" s="176">
        <v>2850.9062283925477</v>
      </c>
      <c r="EF42" s="176">
        <v>3001.4782548508615</v>
      </c>
      <c r="EG42" s="176">
        <v>3162.6849764643421</v>
      </c>
      <c r="EH42" s="176">
        <v>3325.665820792472</v>
      </c>
      <c r="EI42" s="176">
        <v>3499.4862818162283</v>
      </c>
      <c r="EJ42" s="176">
        <v>3680.3259339311553</v>
      </c>
      <c r="EK42" s="176">
        <v>3867.7490153452936</v>
      </c>
      <c r="EL42" s="176">
        <v>4000</v>
      </c>
      <c r="EM42" s="176">
        <v>4000</v>
      </c>
      <c r="EN42" s="176">
        <v>4000</v>
      </c>
      <c r="EO42" s="176">
        <v>4000</v>
      </c>
      <c r="EP42" t="str">
        <f t="shared" si="0"/>
        <v>0y 409d</v>
      </c>
      <c r="ES42" s="258"/>
      <c r="ET42" s="258"/>
      <c r="EU42" s="258"/>
      <c r="EV42" s="258"/>
      <c r="EW42" s="258"/>
      <c r="EX42" s="258"/>
    </row>
    <row r="43" spans="2:154" ht="15" customHeight="1" x14ac:dyDescent="0.25">
      <c r="B43" s="9">
        <v>40</v>
      </c>
      <c r="D43">
        <v>3589382.3929147455</v>
      </c>
      <c r="E43" s="12">
        <v>10465037234.61091</v>
      </c>
      <c r="F43" s="12">
        <v>-8685542623.631834</v>
      </c>
      <c r="G43" s="12">
        <v>0</v>
      </c>
      <c r="H43" s="12">
        <v>6927734.7729049949</v>
      </c>
      <c r="I43" s="12">
        <v>-2016211098.7133827</v>
      </c>
      <c r="J43" s="12">
        <v>19789067707.411362</v>
      </c>
      <c r="K43" s="12">
        <v>-13300859.306145513</v>
      </c>
      <c r="L43" s="12">
        <v>1947966.4563498555</v>
      </c>
      <c r="M43" s="12">
        <v>1269722200.548208</v>
      </c>
      <c r="N43" s="12">
        <v>-15429214975.452118</v>
      </c>
      <c r="O43" s="12">
        <v>51496066.500490129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S43" s="6">
        <v>9018751.2339074854</v>
      </c>
      <c r="AT43" s="176">
        <v>4000</v>
      </c>
      <c r="AU43" s="176">
        <v>4000</v>
      </c>
      <c r="AV43" s="176">
        <v>4000</v>
      </c>
      <c r="AW43" s="176">
        <v>4000</v>
      </c>
      <c r="AX43" s="176">
        <v>4000</v>
      </c>
      <c r="AY43" s="176">
        <v>4000</v>
      </c>
      <c r="AZ43" s="176">
        <v>4000</v>
      </c>
      <c r="BA43" s="176">
        <v>4000</v>
      </c>
      <c r="BB43" s="176">
        <v>4000</v>
      </c>
      <c r="BC43" s="176">
        <v>4000</v>
      </c>
      <c r="BD43" s="176">
        <v>4000</v>
      </c>
      <c r="BE43" s="176">
        <v>4000</v>
      </c>
      <c r="BF43" s="176">
        <v>4000</v>
      </c>
      <c r="BG43" s="176">
        <v>4000</v>
      </c>
      <c r="BH43" s="176">
        <v>4000</v>
      </c>
      <c r="BI43" s="176">
        <v>4000</v>
      </c>
      <c r="BJ43" s="176">
        <v>4000</v>
      </c>
      <c r="BK43" s="176">
        <v>4000</v>
      </c>
      <c r="BL43" s="176">
        <v>4000</v>
      </c>
      <c r="BM43" s="176">
        <v>4000</v>
      </c>
      <c r="BN43" s="176">
        <v>4000</v>
      </c>
      <c r="BO43" s="176">
        <v>4000</v>
      </c>
      <c r="BP43" s="176">
        <v>4000</v>
      </c>
      <c r="BQ43" s="176">
        <v>4000</v>
      </c>
      <c r="BR43" s="176">
        <v>4000</v>
      </c>
      <c r="BS43" s="176">
        <v>4000</v>
      </c>
      <c r="BT43" s="176">
        <v>4000</v>
      </c>
      <c r="BU43" s="176">
        <v>4000</v>
      </c>
      <c r="BV43" s="176">
        <v>4000</v>
      </c>
      <c r="BW43" s="176">
        <v>4000</v>
      </c>
      <c r="BX43" s="176">
        <v>4000</v>
      </c>
      <c r="BY43" s="176">
        <v>4000</v>
      </c>
      <c r="BZ43" s="176">
        <v>4000</v>
      </c>
      <c r="CA43" s="176">
        <v>4000</v>
      </c>
      <c r="CB43" s="176">
        <v>4000</v>
      </c>
      <c r="CC43" s="176">
        <v>4000</v>
      </c>
      <c r="CD43" s="176">
        <v>4000</v>
      </c>
      <c r="CE43" s="176">
        <v>4000</v>
      </c>
      <c r="CF43" s="176">
        <v>4000</v>
      </c>
      <c r="CG43" s="176">
        <v>4000</v>
      </c>
      <c r="CH43" s="176">
        <v>4000</v>
      </c>
      <c r="CI43" s="176">
        <v>4000</v>
      </c>
      <c r="CJ43" s="176">
        <v>4000</v>
      </c>
      <c r="CK43" s="176">
        <v>4000</v>
      </c>
      <c r="CL43" s="176">
        <v>4000</v>
      </c>
      <c r="CM43" s="176">
        <v>4000</v>
      </c>
      <c r="CN43" s="176">
        <v>4000</v>
      </c>
      <c r="CO43" s="176">
        <v>4000</v>
      </c>
      <c r="CP43" s="176">
        <v>4000</v>
      </c>
      <c r="CQ43" s="176">
        <v>4000</v>
      </c>
      <c r="CR43" s="176">
        <v>4000</v>
      </c>
      <c r="CS43" s="176">
        <v>4000</v>
      </c>
      <c r="CT43" s="176">
        <v>4000</v>
      </c>
      <c r="CU43" s="176">
        <v>4000</v>
      </c>
      <c r="CV43" s="176">
        <v>4000</v>
      </c>
      <c r="CW43" s="176">
        <v>4000</v>
      </c>
      <c r="CX43" s="176">
        <v>4000</v>
      </c>
      <c r="CY43" s="176">
        <v>4000</v>
      </c>
      <c r="CZ43" s="176">
        <v>3997.8660791585007</v>
      </c>
      <c r="DA43" s="176">
        <v>3736.0312613764181</v>
      </c>
      <c r="DB43" s="176">
        <v>3500.5636143331139</v>
      </c>
      <c r="DC43" s="176">
        <v>3288.4875487954046</v>
      </c>
      <c r="DD43" s="176">
        <v>3097.2689021065753</v>
      </c>
      <c r="DE43" s="176">
        <v>2924.7601349006436</v>
      </c>
      <c r="DF43" s="176">
        <v>2769.1570229100707</v>
      </c>
      <c r="DG43" s="176">
        <v>2628.9634614658225</v>
      </c>
      <c r="DH43" s="176">
        <v>2502.9615861592783</v>
      </c>
      <c r="DI43" s="176">
        <v>2390.1850379310736</v>
      </c>
      <c r="DJ43" s="176">
        <v>2289.8937795254274</v>
      </c>
      <c r="DK43" s="176">
        <v>2201.5493568461638</v>
      </c>
      <c r="DL43" s="176">
        <v>2124.7898818981212</v>
      </c>
      <c r="DM43" s="176">
        <v>2059.4043072359195</v>
      </c>
      <c r="DN43" s="176">
        <v>2005.3057915215882</v>
      </c>
      <c r="DO43" s="176">
        <v>1962.5041517156765</v>
      </c>
      <c r="DP43" s="176">
        <v>1931.0775938450288</v>
      </c>
      <c r="DQ43" s="176">
        <v>1911.1441700335417</v>
      </c>
      <c r="DR43" s="176">
        <v>1902.8338362424429</v>
      </c>
      <c r="DS43" s="176">
        <v>1906.2626866661556</v>
      </c>
      <c r="DT43" s="176">
        <v>1921.5116586668523</v>
      </c>
      <c r="DU43" s="176">
        <v>1948.6116583102519</v>
      </c>
      <c r="DV43" s="176">
        <v>1987.5332287736248</v>
      </c>
      <c r="DW43" s="176">
        <v>2038.186200708253</v>
      </c>
      <c r="DX43" s="176">
        <v>2100.406474651908</v>
      </c>
      <c r="DY43" s="176">
        <v>2173.9587203842975</v>
      </c>
      <c r="DZ43" s="176">
        <v>2258.5377144155127</v>
      </c>
      <c r="EA43" s="176">
        <v>2353.7766268620835</v>
      </c>
      <c r="EB43" s="176">
        <v>2459.2592719108029</v>
      </c>
      <c r="EC43" s="176">
        <v>2574.5341896491705</v>
      </c>
      <c r="ED43" s="176">
        <v>2699.1305678769822</v>
      </c>
      <c r="EE43" s="176">
        <v>2832.5650406954965</v>
      </c>
      <c r="EF43" s="176">
        <v>2974.3635266927549</v>
      </c>
      <c r="EG43" s="176">
        <v>3124.0635722691804</v>
      </c>
      <c r="EH43" s="176">
        <v>3281.2642288167458</v>
      </c>
      <c r="EI43" s="176">
        <v>3445.6027099367784</v>
      </c>
      <c r="EJ43" s="176">
        <v>3616.6864919290374</v>
      </c>
      <c r="EK43" s="176">
        <v>3794.5323626004547</v>
      </c>
      <c r="EL43" s="176">
        <v>3978.1325000858451</v>
      </c>
      <c r="EM43" s="176">
        <v>4000</v>
      </c>
      <c r="EN43" s="176">
        <v>4000</v>
      </c>
      <c r="EO43" s="176">
        <v>4000</v>
      </c>
      <c r="EP43" t="str">
        <f t="shared" si="0"/>
        <v>0y 418d</v>
      </c>
      <c r="ES43" s="258"/>
      <c r="ET43" s="258"/>
      <c r="EU43" s="258"/>
      <c r="EV43" s="258"/>
      <c r="EW43" s="258"/>
      <c r="EX43" s="258"/>
    </row>
    <row r="44" spans="2:154" ht="15" customHeight="1" x14ac:dyDescent="0.25">
      <c r="B44" s="9">
        <v>41</v>
      </c>
      <c r="D44">
        <v>3681417.838886918</v>
      </c>
      <c r="E44" s="12">
        <v>10989756607.870607</v>
      </c>
      <c r="F44" s="12">
        <v>-8011298564.4327631</v>
      </c>
      <c r="G44" s="12">
        <v>0</v>
      </c>
      <c r="H44" s="12">
        <v>7087125.8514623344</v>
      </c>
      <c r="I44" s="12">
        <v>-3248648548.2306156</v>
      </c>
      <c r="J44" s="12">
        <v>19586342623.462559</v>
      </c>
      <c r="K44" s="12">
        <v>-12244843.354806313</v>
      </c>
      <c r="L44" s="12">
        <v>2007782.8474049119</v>
      </c>
      <c r="M44" s="12">
        <v>1812922475.1329319</v>
      </c>
      <c r="N44" s="12">
        <v>-15478861026.686989</v>
      </c>
      <c r="O44" s="12">
        <v>52219719.217076898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G44" s="208" t="s">
        <v>66</v>
      </c>
      <c r="AH44" s="208"/>
      <c r="AI44" s="208"/>
      <c r="AS44" s="6">
        <v>9197619.995331537</v>
      </c>
      <c r="AT44" s="176">
        <v>4000</v>
      </c>
      <c r="AU44" s="176">
        <v>4000</v>
      </c>
      <c r="AV44" s="176">
        <v>4000</v>
      </c>
      <c r="AW44" s="176">
        <v>4000</v>
      </c>
      <c r="AX44" s="176">
        <v>4000</v>
      </c>
      <c r="AY44" s="176">
        <v>4000</v>
      </c>
      <c r="AZ44" s="176">
        <v>4000</v>
      </c>
      <c r="BA44" s="176">
        <v>4000</v>
      </c>
      <c r="BB44" s="176">
        <v>4000</v>
      </c>
      <c r="BC44" s="176">
        <v>4000</v>
      </c>
      <c r="BD44" s="176">
        <v>4000</v>
      </c>
      <c r="BE44" s="176">
        <v>4000</v>
      </c>
      <c r="BF44" s="176">
        <v>4000</v>
      </c>
      <c r="BG44" s="176">
        <v>4000</v>
      </c>
      <c r="BH44" s="176">
        <v>4000</v>
      </c>
      <c r="BI44" s="176">
        <v>4000</v>
      </c>
      <c r="BJ44" s="176">
        <v>4000</v>
      </c>
      <c r="BK44" s="176">
        <v>4000</v>
      </c>
      <c r="BL44" s="176">
        <v>4000</v>
      </c>
      <c r="BM44" s="176">
        <v>4000</v>
      </c>
      <c r="BN44" s="176">
        <v>4000</v>
      </c>
      <c r="BO44" s="176">
        <v>4000</v>
      </c>
      <c r="BP44" s="176">
        <v>4000</v>
      </c>
      <c r="BQ44" s="176">
        <v>4000</v>
      </c>
      <c r="BR44" s="176">
        <v>4000</v>
      </c>
      <c r="BS44" s="176">
        <v>4000</v>
      </c>
      <c r="BT44" s="176">
        <v>4000</v>
      </c>
      <c r="BU44" s="176">
        <v>4000</v>
      </c>
      <c r="BV44" s="176">
        <v>4000</v>
      </c>
      <c r="BW44" s="176">
        <v>4000</v>
      </c>
      <c r="BX44" s="176">
        <v>4000</v>
      </c>
      <c r="BY44" s="176">
        <v>4000</v>
      </c>
      <c r="BZ44" s="176">
        <v>4000</v>
      </c>
      <c r="CA44" s="176">
        <v>4000</v>
      </c>
      <c r="CB44" s="176">
        <v>4000</v>
      </c>
      <c r="CC44" s="176">
        <v>4000</v>
      </c>
      <c r="CD44" s="176">
        <v>4000</v>
      </c>
      <c r="CE44" s="176">
        <v>4000</v>
      </c>
      <c r="CF44" s="176">
        <v>4000</v>
      </c>
      <c r="CG44" s="176">
        <v>4000</v>
      </c>
      <c r="CH44" s="176">
        <v>4000</v>
      </c>
      <c r="CI44" s="176">
        <v>4000</v>
      </c>
      <c r="CJ44" s="176">
        <v>4000</v>
      </c>
      <c r="CK44" s="176">
        <v>4000</v>
      </c>
      <c r="CL44" s="176">
        <v>4000</v>
      </c>
      <c r="CM44" s="176">
        <v>4000</v>
      </c>
      <c r="CN44" s="176">
        <v>4000</v>
      </c>
      <c r="CO44" s="176">
        <v>4000</v>
      </c>
      <c r="CP44" s="176">
        <v>4000</v>
      </c>
      <c r="CQ44" s="176">
        <v>4000</v>
      </c>
      <c r="CR44" s="176">
        <v>4000</v>
      </c>
      <c r="CS44" s="176">
        <v>4000</v>
      </c>
      <c r="CT44" s="176">
        <v>4000</v>
      </c>
      <c r="CU44" s="176">
        <v>4000</v>
      </c>
      <c r="CV44" s="176">
        <v>4000</v>
      </c>
      <c r="CW44" s="176">
        <v>4000</v>
      </c>
      <c r="CX44" s="176">
        <v>4000</v>
      </c>
      <c r="CY44" s="176">
        <v>4000</v>
      </c>
      <c r="CZ44" s="176">
        <v>4000</v>
      </c>
      <c r="DA44" s="176">
        <v>3925.0865254888931</v>
      </c>
      <c r="DB44" s="176">
        <v>3667.664663592197</v>
      </c>
      <c r="DC44" s="176">
        <v>3436.7193967699068</v>
      </c>
      <c r="DD44" s="176">
        <v>3229.3182561160666</v>
      </c>
      <c r="DE44" s="176">
        <v>3042.9737896879678</v>
      </c>
      <c r="DF44" s="176">
        <v>2875.5876044168581</v>
      </c>
      <c r="DG44" s="176">
        <v>2725.4050859646381</v>
      </c>
      <c r="DH44" s="176">
        <v>2590.9776109073509</v>
      </c>
      <c r="DI44" s="176">
        <v>2471.1296730040231</v>
      </c>
      <c r="DJ44" s="176">
        <v>2364.9289634125539</v>
      </c>
      <c r="DK44" s="176">
        <v>2271.65800362751</v>
      </c>
      <c r="DL44" s="176">
        <v>2190.7863983146026</v>
      </c>
      <c r="DM44" s="176">
        <v>2121.9431513179447</v>
      </c>
      <c r="DN44" s="176">
        <v>2064.8887882290437</v>
      </c>
      <c r="DO44" s="176">
        <v>2019.4872769676515</v>
      </c>
      <c r="DP44" s="176">
        <v>1985.677961073721</v>
      </c>
      <c r="DQ44" s="176">
        <v>1963.4479561128569</v>
      </c>
      <c r="DR44" s="176">
        <v>1952.8057667277212</v>
      </c>
      <c r="DS44" s="176">
        <v>1953.7573102025472</v>
      </c>
      <c r="DT44" s="176">
        <v>1966.2859483573</v>
      </c>
      <c r="DU44" s="176">
        <v>1990.3364658457947</v>
      </c>
      <c r="DV44" s="176">
        <v>2025.8118152047421</v>
      </c>
      <c r="DW44" s="176">
        <v>2072.5592102659793</v>
      </c>
      <c r="DX44" s="176">
        <v>2130.3718554730285</v>
      </c>
      <c r="DY44" s="176">
        <v>2198.9860228967236</v>
      </c>
      <c r="DZ44" s="176">
        <v>2278.0833587518382</v>
      </c>
      <c r="EA44" s="176">
        <v>2367.297772065644</v>
      </c>
      <c r="EB44" s="176">
        <v>2466.2258323895358</v>
      </c>
      <c r="EC44" s="176">
        <v>2574.438984837725</v>
      </c>
      <c r="ED44" s="176">
        <v>2691.4962381347777</v>
      </c>
      <c r="EE44" s="176">
        <v>2816.9583217115796</v>
      </c>
      <c r="EF44" s="176">
        <v>2950.3929953737302</v>
      </c>
      <c r="EG44" s="176">
        <v>3091.4011076247225</v>
      </c>
      <c r="EH44" s="176">
        <v>3239.6485232464265</v>
      </c>
      <c r="EI44" s="176">
        <v>3395.2001800098151</v>
      </c>
      <c r="EJ44" s="176">
        <v>3604.4858501254921</v>
      </c>
      <c r="EK44" s="176">
        <v>3724.0282229189143</v>
      </c>
      <c r="EL44" s="176">
        <v>3898.9924781298905</v>
      </c>
      <c r="EM44" s="176">
        <v>4000</v>
      </c>
      <c r="EN44" s="176">
        <v>4000</v>
      </c>
      <c r="EO44" s="176">
        <v>4000</v>
      </c>
      <c r="EP44" t="str">
        <f t="shared" si="0"/>
        <v>0y 426d</v>
      </c>
      <c r="ES44" s="258"/>
      <c r="ET44" s="258"/>
      <c r="EU44" s="258"/>
      <c r="EV44" s="258"/>
      <c r="EW44" s="258"/>
      <c r="EX44" s="258"/>
    </row>
    <row r="45" spans="2:154" ht="15" customHeight="1" x14ac:dyDescent="0.25">
      <c r="B45" s="9">
        <v>42</v>
      </c>
      <c r="D45">
        <v>3773453.2848590906</v>
      </c>
      <c r="E45" s="12">
        <v>11471104432.541256</v>
      </c>
      <c r="F45" s="12">
        <v>-7305437569.8140421</v>
      </c>
      <c r="G45" s="12">
        <v>0</v>
      </c>
      <c r="H45" s="12">
        <v>7245940.3226357531</v>
      </c>
      <c r="I45" s="12">
        <v>-4464336874.1997585</v>
      </c>
      <c r="J45" s="12">
        <v>19310240645.116611</v>
      </c>
      <c r="K45" s="12">
        <v>-11146314.846129842</v>
      </c>
      <c r="L45" s="12">
        <v>2068406.9307974516</v>
      </c>
      <c r="M45" s="12">
        <v>2361407304.4214854</v>
      </c>
      <c r="N45" s="12">
        <v>-15511678504.629305</v>
      </c>
      <c r="O45" s="12">
        <v>52894107.929376483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G45" s="21" t="s">
        <v>22</v>
      </c>
      <c r="AH45" s="21" t="s">
        <v>23</v>
      </c>
      <c r="AI45" s="21" t="s">
        <v>26</v>
      </c>
      <c r="AS45" s="6">
        <v>9376488.7567555886</v>
      </c>
      <c r="AT45" s="176">
        <v>4000</v>
      </c>
      <c r="AU45" s="176">
        <v>4000</v>
      </c>
      <c r="AV45" s="176">
        <v>4000</v>
      </c>
      <c r="AW45" s="176">
        <v>4000</v>
      </c>
      <c r="AX45" s="176">
        <v>4000</v>
      </c>
      <c r="AY45" s="176">
        <v>4000</v>
      </c>
      <c r="AZ45" s="176">
        <v>4000</v>
      </c>
      <c r="BA45" s="176">
        <v>4000</v>
      </c>
      <c r="BB45" s="176">
        <v>4000</v>
      </c>
      <c r="BC45" s="176">
        <v>4000</v>
      </c>
      <c r="BD45" s="176">
        <v>4000</v>
      </c>
      <c r="BE45" s="176">
        <v>4000</v>
      </c>
      <c r="BF45" s="176">
        <v>4000</v>
      </c>
      <c r="BG45" s="176">
        <v>4000</v>
      </c>
      <c r="BH45" s="176">
        <v>4000</v>
      </c>
      <c r="BI45" s="176">
        <v>4000</v>
      </c>
      <c r="BJ45" s="176">
        <v>4000</v>
      </c>
      <c r="BK45" s="176">
        <v>4000</v>
      </c>
      <c r="BL45" s="176">
        <v>4000</v>
      </c>
      <c r="BM45" s="176">
        <v>4000</v>
      </c>
      <c r="BN45" s="176">
        <v>4000</v>
      </c>
      <c r="BO45" s="176">
        <v>4000</v>
      </c>
      <c r="BP45" s="176">
        <v>4000</v>
      </c>
      <c r="BQ45" s="176">
        <v>4000</v>
      </c>
      <c r="BR45" s="176">
        <v>4000</v>
      </c>
      <c r="BS45" s="176">
        <v>4000</v>
      </c>
      <c r="BT45" s="176">
        <v>4000</v>
      </c>
      <c r="BU45" s="176">
        <v>4000</v>
      </c>
      <c r="BV45" s="176">
        <v>4000</v>
      </c>
      <c r="BW45" s="176">
        <v>4000</v>
      </c>
      <c r="BX45" s="176">
        <v>4000</v>
      </c>
      <c r="BY45" s="176">
        <v>4000</v>
      </c>
      <c r="BZ45" s="176">
        <v>4000</v>
      </c>
      <c r="CA45" s="176">
        <v>4000</v>
      </c>
      <c r="CB45" s="176">
        <v>4000</v>
      </c>
      <c r="CC45" s="176">
        <v>4000</v>
      </c>
      <c r="CD45" s="176">
        <v>4000</v>
      </c>
      <c r="CE45" s="176">
        <v>4000</v>
      </c>
      <c r="CF45" s="176">
        <v>4000</v>
      </c>
      <c r="CG45" s="176">
        <v>4000</v>
      </c>
      <c r="CH45" s="176">
        <v>4000</v>
      </c>
      <c r="CI45" s="176">
        <v>4000</v>
      </c>
      <c r="CJ45" s="176">
        <v>4000</v>
      </c>
      <c r="CK45" s="176">
        <v>4000</v>
      </c>
      <c r="CL45" s="176">
        <v>4000</v>
      </c>
      <c r="CM45" s="176">
        <v>4000</v>
      </c>
      <c r="CN45" s="176">
        <v>4000</v>
      </c>
      <c r="CO45" s="176">
        <v>4000</v>
      </c>
      <c r="CP45" s="176">
        <v>4000</v>
      </c>
      <c r="CQ45" s="176">
        <v>4000</v>
      </c>
      <c r="CR45" s="176">
        <v>4000</v>
      </c>
      <c r="CS45" s="176">
        <v>4000</v>
      </c>
      <c r="CT45" s="176">
        <v>4000</v>
      </c>
      <c r="CU45" s="176">
        <v>4000</v>
      </c>
      <c r="CV45" s="176">
        <v>4000</v>
      </c>
      <c r="CW45" s="176">
        <v>4000</v>
      </c>
      <c r="CX45" s="176">
        <v>4000</v>
      </c>
      <c r="CY45" s="176">
        <v>4000</v>
      </c>
      <c r="CZ45" s="176">
        <v>4000</v>
      </c>
      <c r="DA45" s="176">
        <v>4000</v>
      </c>
      <c r="DB45" s="176">
        <v>3859.744229551713</v>
      </c>
      <c r="DC45" s="176">
        <v>3607.384841156967</v>
      </c>
      <c r="DD45" s="176">
        <v>3381.6033186036493</v>
      </c>
      <c r="DE45" s="176">
        <v>3179.5099987210729</v>
      </c>
      <c r="DF45" s="176">
        <v>2998.6617597987861</v>
      </c>
      <c r="DG45" s="176">
        <v>2837.0045249468867</v>
      </c>
      <c r="DH45" s="176">
        <v>2692.8257476602721</v>
      </c>
      <c r="DI45" s="176">
        <v>2564.7139160150491</v>
      </c>
      <c r="DJ45" s="176">
        <v>2451.522732631388</v>
      </c>
      <c r="DK45" s="176">
        <v>2352.3382362152861</v>
      </c>
      <c r="DL45" s="176">
        <v>2266.4476712101514</v>
      </c>
      <c r="DM45" s="176">
        <v>2193.3093644272735</v>
      </c>
      <c r="DN45" s="176">
        <v>2132.5232346848034</v>
      </c>
      <c r="DO45" s="176">
        <v>2083.8018590589586</v>
      </c>
      <c r="DP45" s="176">
        <v>2046.9422677682433</v>
      </c>
      <c r="DQ45" s="176">
        <v>2021.7988634958811</v>
      </c>
      <c r="DR45" s="176">
        <v>2008.2580917034863</v>
      </c>
      <c r="DS45" s="176">
        <v>2006.2157491991459</v>
      </c>
      <c r="DT45" s="176">
        <v>2015.5565104799771</v>
      </c>
      <c r="DU45" s="176">
        <v>2036.1456777045125</v>
      </c>
      <c r="DV45" s="176">
        <v>2067.8113220412829</v>
      </c>
      <c r="DW45" s="176">
        <v>2110.3444547194836</v>
      </c>
      <c r="DX45" s="176">
        <v>2163.4946558526835</v>
      </c>
      <c r="DY45" s="176">
        <v>2226.9691073606386</v>
      </c>
      <c r="DZ45" s="176">
        <v>2300.4346423529796</v>
      </c>
      <c r="EA45" s="176">
        <v>2383.5234412197542</v>
      </c>
      <c r="EB45" s="176">
        <v>2475.8417672531864</v>
      </c>
      <c r="EC45" s="176">
        <v>2576.9804418281001</v>
      </c>
      <c r="ED45" s="176">
        <v>2686.5258913524335</v>
      </c>
      <c r="EE45" s="176">
        <v>2804.0710930666373</v>
      </c>
      <c r="EF45" s="176">
        <v>2929.2281613269924</v>
      </c>
      <c r="EG45" s="176">
        <v>3061.6329145212812</v>
      </c>
      <c r="EH45" s="176">
        <v>3200.975248446442</v>
      </c>
      <c r="EI45" s="176">
        <v>3347.0502085469989</v>
      </c>
      <c r="EJ45" s="176">
        <v>3500.1446513893125</v>
      </c>
      <c r="EK45" s="176">
        <v>3670.3498578321828</v>
      </c>
      <c r="EL45" s="176">
        <v>3821.5770955859143</v>
      </c>
      <c r="EM45" s="176">
        <v>3991.6525869275802</v>
      </c>
      <c r="EN45" s="176">
        <v>4000</v>
      </c>
      <c r="EO45" s="176">
        <v>4000</v>
      </c>
      <c r="EP45" t="str">
        <f t="shared" si="0"/>
        <v>1y 8d</v>
      </c>
      <c r="ES45" s="258"/>
      <c r="ET45" s="258"/>
      <c r="EU45" s="258"/>
      <c r="EV45" s="258"/>
      <c r="EW45" s="258"/>
      <c r="EX45" s="258"/>
    </row>
    <row r="46" spans="2:154" ht="15" customHeight="1" x14ac:dyDescent="0.25">
      <c r="B46" s="9">
        <v>43</v>
      </c>
      <c r="D46">
        <v>3865488.7308312631</v>
      </c>
      <c r="E46" s="12">
        <v>11907181048.665781</v>
      </c>
      <c r="F46" s="12">
        <v>-6570745350.6442213</v>
      </c>
      <c r="G46" s="12">
        <v>0</v>
      </c>
      <c r="H46" s="12">
        <v>7404231.7284007333</v>
      </c>
      <c r="I46" s="12">
        <v>-5659156968.8458471</v>
      </c>
      <c r="J46" s="12">
        <v>18962096756.545849</v>
      </c>
      <c r="K46" s="12">
        <v>-10009294.285950942</v>
      </c>
      <c r="L46" s="12">
        <v>2129862.880766585</v>
      </c>
      <c r="M46" s="12">
        <v>2914729607.3068562</v>
      </c>
      <c r="N46" s="12">
        <v>-15527289461.658501</v>
      </c>
      <c r="O46" s="12">
        <v>53517540.695149221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G46" s="20">
        <v>0</v>
      </c>
      <c r="AH46" s="20">
        <v>0</v>
      </c>
      <c r="AI46" s="20">
        <v>0</v>
      </c>
      <c r="AS46" s="6">
        <v>9555357.5181796402</v>
      </c>
      <c r="AT46" s="176">
        <v>4000</v>
      </c>
      <c r="AU46" s="176">
        <v>4000</v>
      </c>
      <c r="AV46" s="176">
        <v>4000</v>
      </c>
      <c r="AW46" s="176">
        <v>4000</v>
      </c>
      <c r="AX46" s="176">
        <v>4000</v>
      </c>
      <c r="AY46" s="176">
        <v>4000</v>
      </c>
      <c r="AZ46" s="176">
        <v>4000</v>
      </c>
      <c r="BA46" s="176">
        <v>4000</v>
      </c>
      <c r="BB46" s="176">
        <v>4000</v>
      </c>
      <c r="BC46" s="176">
        <v>4000</v>
      </c>
      <c r="BD46" s="176">
        <v>4000</v>
      </c>
      <c r="BE46" s="176">
        <v>4000</v>
      </c>
      <c r="BF46" s="176">
        <v>4000</v>
      </c>
      <c r="BG46" s="176">
        <v>4000</v>
      </c>
      <c r="BH46" s="176">
        <v>4000</v>
      </c>
      <c r="BI46" s="176">
        <v>4000</v>
      </c>
      <c r="BJ46" s="176">
        <v>4000</v>
      </c>
      <c r="BK46" s="176">
        <v>4000</v>
      </c>
      <c r="BL46" s="176">
        <v>4000</v>
      </c>
      <c r="BM46" s="176">
        <v>4000</v>
      </c>
      <c r="BN46" s="176">
        <v>4000</v>
      </c>
      <c r="BO46" s="176">
        <v>4000</v>
      </c>
      <c r="BP46" s="176">
        <v>4000</v>
      </c>
      <c r="BQ46" s="176">
        <v>4000</v>
      </c>
      <c r="BR46" s="176">
        <v>4000</v>
      </c>
      <c r="BS46" s="176">
        <v>4000</v>
      </c>
      <c r="BT46" s="176">
        <v>4000</v>
      </c>
      <c r="BU46" s="176">
        <v>4000</v>
      </c>
      <c r="BV46" s="176">
        <v>4000</v>
      </c>
      <c r="BW46" s="176">
        <v>4000</v>
      </c>
      <c r="BX46" s="176">
        <v>4000</v>
      </c>
      <c r="BY46" s="176">
        <v>4000</v>
      </c>
      <c r="BZ46" s="176">
        <v>4000</v>
      </c>
      <c r="CA46" s="176">
        <v>4000</v>
      </c>
      <c r="CB46" s="176">
        <v>4000</v>
      </c>
      <c r="CC46" s="176">
        <v>4000</v>
      </c>
      <c r="CD46" s="176">
        <v>4000</v>
      </c>
      <c r="CE46" s="176">
        <v>4000</v>
      </c>
      <c r="CF46" s="176">
        <v>4000</v>
      </c>
      <c r="CG46" s="176">
        <v>4000</v>
      </c>
      <c r="CH46" s="176">
        <v>4000</v>
      </c>
      <c r="CI46" s="176">
        <v>4000</v>
      </c>
      <c r="CJ46" s="176">
        <v>4000</v>
      </c>
      <c r="CK46" s="176">
        <v>4000</v>
      </c>
      <c r="CL46" s="176">
        <v>4000</v>
      </c>
      <c r="CM46" s="176">
        <v>4000</v>
      </c>
      <c r="CN46" s="176">
        <v>4000</v>
      </c>
      <c r="CO46" s="176">
        <v>4000</v>
      </c>
      <c r="CP46" s="176">
        <v>4000</v>
      </c>
      <c r="CQ46" s="176">
        <v>4000</v>
      </c>
      <c r="CR46" s="176">
        <v>4000</v>
      </c>
      <c r="CS46" s="176">
        <v>4000</v>
      </c>
      <c r="CT46" s="176">
        <v>4000</v>
      </c>
      <c r="CU46" s="176">
        <v>4000</v>
      </c>
      <c r="CV46" s="176">
        <v>4000</v>
      </c>
      <c r="CW46" s="176">
        <v>4000</v>
      </c>
      <c r="CX46" s="176">
        <v>4000</v>
      </c>
      <c r="CY46" s="176">
        <v>4000</v>
      </c>
      <c r="CZ46" s="176">
        <v>4000</v>
      </c>
      <c r="DA46" s="176">
        <v>4000</v>
      </c>
      <c r="DB46" s="176">
        <v>4000</v>
      </c>
      <c r="DC46" s="176">
        <v>3802.9881661125755</v>
      </c>
      <c r="DD46" s="176">
        <v>3556.2475701172889</v>
      </c>
      <c r="DE46" s="176">
        <v>3336.1773644098075</v>
      </c>
      <c r="DF46" s="176">
        <v>3139.9275116104991</v>
      </c>
      <c r="DG46" s="176">
        <v>2965.0939299531983</v>
      </c>
      <c r="DH46" s="176">
        <v>2809.6591656912842</v>
      </c>
      <c r="DI46" s="176">
        <v>2671.9425161720269</v>
      </c>
      <c r="DJ46" s="176">
        <v>2550.5568822596083</v>
      </c>
      <c r="DK46" s="176">
        <v>2444.3702541867765</v>
      </c>
      <c r="DL46" s="176">
        <v>2352.4703294008368</v>
      </c>
      <c r="DM46" s="176">
        <v>2274.1312801479098</v>
      </c>
      <c r="DN46" s="176">
        <v>2208.782119024334</v>
      </c>
      <c r="DO46" s="176">
        <v>2155.9764573950697</v>
      </c>
      <c r="DP46" s="176">
        <v>2115.363727803976</v>
      </c>
      <c r="DQ46" s="176">
        <v>2086.6621640934918</v>
      </c>
      <c r="DR46" s="176">
        <v>2069.6340204752346</v>
      </c>
      <c r="DS46" s="176">
        <v>2064.0621259756317</v>
      </c>
      <c r="DT46" s="176">
        <v>2069.737621645776</v>
      </c>
      <c r="DU46" s="176">
        <v>2086.4373213730069</v>
      </c>
      <c r="DV46" s="176">
        <v>2113.9198602345446</v>
      </c>
      <c r="DW46" s="176">
        <v>2151.918747280743</v>
      </c>
      <c r="DX46" s="176">
        <v>2200.1395188145307</v>
      </c>
      <c r="DY46" s="176">
        <v>2258.2590355211787</v>
      </c>
      <c r="DZ46" s="176">
        <v>2325.9272434169106</v>
      </c>
      <c r="EA46" s="176">
        <v>2402.7718273901346</v>
      </c>
      <c r="EB46" s="176">
        <v>2488.4054358906606</v>
      </c>
      <c r="EC46" s="176">
        <v>2582.4345104935583</v>
      </c>
      <c r="ED46" s="176">
        <v>2684.4687088253654</v>
      </c>
      <c r="EE46" s="176">
        <v>2794.1302429387738</v>
      </c>
      <c r="EF46" s="176">
        <v>2911.0628943192041</v>
      </c>
      <c r="EG46" s="176">
        <v>3034.9428941591077</v>
      </c>
      <c r="EH46" s="176">
        <v>3165.4822973538157</v>
      </c>
      <c r="EI46" s="176">
        <v>3302.4606153719701</v>
      </c>
      <c r="EJ46" s="176">
        <v>3445.7792327897964</v>
      </c>
      <c r="EK46" s="176">
        <v>3595.8016802548964</v>
      </c>
      <c r="EL46" s="176">
        <v>3757.6584831180744</v>
      </c>
      <c r="EM46" s="176">
        <v>3909.6351852202042</v>
      </c>
      <c r="EN46" s="176">
        <v>4000</v>
      </c>
      <c r="EO46" s="176">
        <v>4000</v>
      </c>
      <c r="EP46" t="str">
        <f t="shared" si="0"/>
        <v>1y 16d</v>
      </c>
      <c r="ES46" s="258"/>
      <c r="ET46" s="258"/>
      <c r="EU46" s="258"/>
      <c r="EV46" s="258"/>
      <c r="EW46" s="258"/>
      <c r="EX46" s="258"/>
    </row>
    <row r="47" spans="2:154" ht="15" customHeight="1" x14ac:dyDescent="0.25">
      <c r="B47" s="9">
        <v>44</v>
      </c>
      <c r="D47">
        <v>3957524.1768034357</v>
      </c>
      <c r="E47" s="12">
        <v>12296265461.064793</v>
      </c>
      <c r="F47" s="12">
        <v>-5810121401.4634132</v>
      </c>
      <c r="G47" s="12">
        <v>0</v>
      </c>
      <c r="H47" s="12">
        <v>7562054.8931569317</v>
      </c>
      <c r="I47" s="12">
        <v>-6829094209.2732048</v>
      </c>
      <c r="J47" s="12">
        <v>18543446520.555298</v>
      </c>
      <c r="K47" s="12">
        <v>-8837875.3042397201</v>
      </c>
      <c r="L47" s="12">
        <v>2192174.7828230243</v>
      </c>
      <c r="M47" s="12">
        <v>3472416794.199883</v>
      </c>
      <c r="N47" s="12">
        <v>-15525319741.82052</v>
      </c>
      <c r="O47" s="12">
        <v>54088311.504222132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S47" s="6">
        <v>9734226.2796036918</v>
      </c>
      <c r="AT47" s="176">
        <v>4000</v>
      </c>
      <c r="AU47" s="176">
        <v>4000</v>
      </c>
      <c r="AV47" s="176">
        <v>4000</v>
      </c>
      <c r="AW47" s="176">
        <v>4000</v>
      </c>
      <c r="AX47" s="176">
        <v>4000</v>
      </c>
      <c r="AY47" s="176">
        <v>4000</v>
      </c>
      <c r="AZ47" s="176">
        <v>4000</v>
      </c>
      <c r="BA47" s="176">
        <v>4000</v>
      </c>
      <c r="BB47" s="176">
        <v>4000</v>
      </c>
      <c r="BC47" s="176">
        <v>4000</v>
      </c>
      <c r="BD47" s="176">
        <v>4000</v>
      </c>
      <c r="BE47" s="176">
        <v>4000</v>
      </c>
      <c r="BF47" s="176">
        <v>4000</v>
      </c>
      <c r="BG47" s="176">
        <v>4000</v>
      </c>
      <c r="BH47" s="176">
        <v>4000</v>
      </c>
      <c r="BI47" s="176">
        <v>4000</v>
      </c>
      <c r="BJ47" s="176">
        <v>4000</v>
      </c>
      <c r="BK47" s="176">
        <v>4000</v>
      </c>
      <c r="BL47" s="176">
        <v>4000</v>
      </c>
      <c r="BM47" s="176">
        <v>4000</v>
      </c>
      <c r="BN47" s="176">
        <v>4000</v>
      </c>
      <c r="BO47" s="176">
        <v>4000</v>
      </c>
      <c r="BP47" s="176">
        <v>4000</v>
      </c>
      <c r="BQ47" s="176">
        <v>4000</v>
      </c>
      <c r="BR47" s="176">
        <v>4000</v>
      </c>
      <c r="BS47" s="176">
        <v>4000</v>
      </c>
      <c r="BT47" s="176">
        <v>4000</v>
      </c>
      <c r="BU47" s="176">
        <v>4000</v>
      </c>
      <c r="BV47" s="176">
        <v>4000</v>
      </c>
      <c r="BW47" s="176">
        <v>4000</v>
      </c>
      <c r="BX47" s="176">
        <v>4000</v>
      </c>
      <c r="BY47" s="176">
        <v>4000</v>
      </c>
      <c r="BZ47" s="176">
        <v>4000</v>
      </c>
      <c r="CA47" s="176">
        <v>4000</v>
      </c>
      <c r="CB47" s="176">
        <v>4000</v>
      </c>
      <c r="CC47" s="176">
        <v>4000</v>
      </c>
      <c r="CD47" s="176">
        <v>4000</v>
      </c>
      <c r="CE47" s="176">
        <v>4000</v>
      </c>
      <c r="CF47" s="176">
        <v>4000</v>
      </c>
      <c r="CG47" s="176">
        <v>4000</v>
      </c>
      <c r="CH47" s="176">
        <v>4000</v>
      </c>
      <c r="CI47" s="176">
        <v>4000</v>
      </c>
      <c r="CJ47" s="176">
        <v>4000</v>
      </c>
      <c r="CK47" s="176">
        <v>4000</v>
      </c>
      <c r="CL47" s="176">
        <v>4000</v>
      </c>
      <c r="CM47" s="176">
        <v>4000</v>
      </c>
      <c r="CN47" s="176">
        <v>4000</v>
      </c>
      <c r="CO47" s="176">
        <v>4000</v>
      </c>
      <c r="CP47" s="176">
        <v>4000</v>
      </c>
      <c r="CQ47" s="176">
        <v>4000</v>
      </c>
      <c r="CR47" s="176">
        <v>4000</v>
      </c>
      <c r="CS47" s="176">
        <v>4000</v>
      </c>
      <c r="CT47" s="176">
        <v>4000</v>
      </c>
      <c r="CU47" s="176">
        <v>4000</v>
      </c>
      <c r="CV47" s="176">
        <v>4000</v>
      </c>
      <c r="CW47" s="176">
        <v>4000</v>
      </c>
      <c r="CX47" s="176">
        <v>4000</v>
      </c>
      <c r="CY47" s="176">
        <v>4000</v>
      </c>
      <c r="CZ47" s="176">
        <v>4000</v>
      </c>
      <c r="DA47" s="176">
        <v>4000</v>
      </c>
      <c r="DB47" s="176">
        <v>4000</v>
      </c>
      <c r="DC47" s="176">
        <v>4000</v>
      </c>
      <c r="DD47" s="176">
        <v>3755.9521298447862</v>
      </c>
      <c r="DE47" s="176">
        <v>3515.2831447781355</v>
      </c>
      <c r="DF47" s="176">
        <v>3301.3655689095604</v>
      </c>
      <c r="DG47" s="176">
        <v>3111.3829953186937</v>
      </c>
      <c r="DH47" s="176">
        <v>2942.9623813974026</v>
      </c>
      <c r="DI47" s="176">
        <v>2794.1127312711906</v>
      </c>
      <c r="DJ47" s="176">
        <v>2663.1728964219983</v>
      </c>
      <c r="DK47" s="176">
        <v>2548.7660260691823</v>
      </c>
      <c r="DL47" s="176">
        <v>2449.758818317534</v>
      </c>
      <c r="DM47" s="176">
        <v>2365.2242948293115</v>
      </c>
      <c r="DN47" s="176">
        <v>2294.4073102359612</v>
      </c>
      <c r="DO47" s="176">
        <v>2236.6924036060209</v>
      </c>
      <c r="DP47" s="176">
        <v>2191.5739081467837</v>
      </c>
      <c r="DQ47" s="176">
        <v>2158.6284682353098</v>
      </c>
      <c r="DR47" s="176">
        <v>2137.4902827343367</v>
      </c>
      <c r="DS47" s="176">
        <v>2127.8277485624435</v>
      </c>
      <c r="DT47" s="176">
        <v>2129.3323357875561</v>
      </c>
      <c r="DU47" s="176">
        <v>2141.6947710663276</v>
      </c>
      <c r="DV47" s="176">
        <v>2164.6016972855587</v>
      </c>
      <c r="DW47" s="176">
        <v>2197.7281284093738</v>
      </c>
      <c r="DX47" s="176">
        <v>2240.7343887723064</v>
      </c>
      <c r="DY47" s="176">
        <v>2293.2653149882726</v>
      </c>
      <c r="DZ47" s="176">
        <v>2354.9516242028958</v>
      </c>
      <c r="EA47" s="176">
        <v>2425.4136217161472</v>
      </c>
      <c r="EB47" s="176">
        <v>2504.2670547331763</v>
      </c>
      <c r="EC47" s="176">
        <v>2591.1304092362916</v>
      </c>
      <c r="ED47" s="176">
        <v>2685.6327964150578</v>
      </c>
      <c r="EE47" s="176">
        <v>2787.4217713224425</v>
      </c>
      <c r="EF47" s="176">
        <v>2896.1707426256958</v>
      </c>
      <c r="EG47" s="176">
        <v>3011.5859848023129</v>
      </c>
      <c r="EH47" s="176">
        <v>3133.4156679941152</v>
      </c>
      <c r="EI47" s="176">
        <v>3261.45155592223</v>
      </c>
      <c r="EJ47" s="176">
        <v>3395.5595590885559</v>
      </c>
      <c r="EK47" s="176">
        <v>3535.7292766958349</v>
      </c>
      <c r="EL47" s="176">
        <v>3682.3499488394641</v>
      </c>
      <c r="EM47" s="176">
        <v>3838.6512922399202</v>
      </c>
      <c r="EN47" s="176">
        <v>4000</v>
      </c>
      <c r="EO47" s="176">
        <v>4000</v>
      </c>
      <c r="EP47" t="str">
        <f t="shared" si="0"/>
        <v>1y 25d</v>
      </c>
      <c r="ES47" s="258"/>
      <c r="ET47" s="258"/>
      <c r="EU47" s="258"/>
      <c r="EV47" s="258"/>
      <c r="EW47" s="258"/>
      <c r="EX47" s="258"/>
    </row>
    <row r="48" spans="2:154" ht="15" customHeight="1" x14ac:dyDescent="0.25">
      <c r="B48" s="9">
        <v>45</v>
      </c>
      <c r="D48">
        <v>4049559.6227756087</v>
      </c>
      <c r="E48" s="12">
        <v>12636822131.318316</v>
      </c>
      <c r="F48" s="12">
        <v>-5026567557.5030088</v>
      </c>
      <c r="G48" s="12">
        <v>0</v>
      </c>
      <c r="H48" s="12">
        <v>7719465.767341041</v>
      </c>
      <c r="I48" s="12">
        <v>-7970244271.2162924</v>
      </c>
      <c r="J48" s="12">
        <v>18056018396.143223</v>
      </c>
      <c r="K48" s="12">
        <v>-7636214.6497376477</v>
      </c>
      <c r="L48" s="12">
        <v>2255366.5855077631</v>
      </c>
      <c r="M48" s="12">
        <v>4033969845.9649887</v>
      </c>
      <c r="N48" s="12">
        <v>-15505400367.200031</v>
      </c>
      <c r="O48" s="12">
        <v>54604703.834271751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G48" s="208" t="s">
        <v>67</v>
      </c>
      <c r="AH48" s="208"/>
      <c r="AI48" s="208"/>
      <c r="AS48" s="6">
        <v>9913095.0410277434</v>
      </c>
      <c r="AT48" s="176">
        <v>4000</v>
      </c>
      <c r="AU48" s="176">
        <v>4000</v>
      </c>
      <c r="AV48" s="176">
        <v>4000</v>
      </c>
      <c r="AW48" s="176">
        <v>4000</v>
      </c>
      <c r="AX48" s="176">
        <v>4000</v>
      </c>
      <c r="AY48" s="176">
        <v>4000</v>
      </c>
      <c r="AZ48" s="176">
        <v>4000</v>
      </c>
      <c r="BA48" s="176">
        <v>4000</v>
      </c>
      <c r="BB48" s="176">
        <v>4000</v>
      </c>
      <c r="BC48" s="176">
        <v>4000</v>
      </c>
      <c r="BD48" s="176">
        <v>4000</v>
      </c>
      <c r="BE48" s="176">
        <v>4000</v>
      </c>
      <c r="BF48" s="176">
        <v>4000</v>
      </c>
      <c r="BG48" s="176">
        <v>4000</v>
      </c>
      <c r="BH48" s="176">
        <v>4000</v>
      </c>
      <c r="BI48" s="176">
        <v>4000</v>
      </c>
      <c r="BJ48" s="176">
        <v>4000</v>
      </c>
      <c r="BK48" s="176">
        <v>4000</v>
      </c>
      <c r="BL48" s="176">
        <v>4000</v>
      </c>
      <c r="BM48" s="176">
        <v>4000</v>
      </c>
      <c r="BN48" s="176">
        <v>4000</v>
      </c>
      <c r="BO48" s="176">
        <v>4000</v>
      </c>
      <c r="BP48" s="176">
        <v>4000</v>
      </c>
      <c r="BQ48" s="176">
        <v>4000</v>
      </c>
      <c r="BR48" s="176">
        <v>4000</v>
      </c>
      <c r="BS48" s="176">
        <v>4000</v>
      </c>
      <c r="BT48" s="176">
        <v>4000</v>
      </c>
      <c r="BU48" s="176">
        <v>4000</v>
      </c>
      <c r="BV48" s="176">
        <v>4000</v>
      </c>
      <c r="BW48" s="176">
        <v>4000</v>
      </c>
      <c r="BX48" s="176">
        <v>4000</v>
      </c>
      <c r="BY48" s="176">
        <v>4000</v>
      </c>
      <c r="BZ48" s="176">
        <v>4000</v>
      </c>
      <c r="CA48" s="176">
        <v>4000</v>
      </c>
      <c r="CB48" s="176">
        <v>4000</v>
      </c>
      <c r="CC48" s="176">
        <v>4000</v>
      </c>
      <c r="CD48" s="176">
        <v>4000</v>
      </c>
      <c r="CE48" s="176">
        <v>4000</v>
      </c>
      <c r="CF48" s="176">
        <v>4000</v>
      </c>
      <c r="CG48" s="176">
        <v>4000</v>
      </c>
      <c r="CH48" s="176">
        <v>4000</v>
      </c>
      <c r="CI48" s="176">
        <v>4000</v>
      </c>
      <c r="CJ48" s="176">
        <v>4000</v>
      </c>
      <c r="CK48" s="176">
        <v>4000</v>
      </c>
      <c r="CL48" s="176">
        <v>4000</v>
      </c>
      <c r="CM48" s="176">
        <v>4000</v>
      </c>
      <c r="CN48" s="176">
        <v>4000</v>
      </c>
      <c r="CO48" s="176">
        <v>4000</v>
      </c>
      <c r="CP48" s="176">
        <v>4000</v>
      </c>
      <c r="CQ48" s="176">
        <v>4000</v>
      </c>
      <c r="CR48" s="176">
        <v>4000</v>
      </c>
      <c r="CS48" s="176">
        <v>4000</v>
      </c>
      <c r="CT48" s="176">
        <v>4000</v>
      </c>
      <c r="CU48" s="176">
        <v>4000</v>
      </c>
      <c r="CV48" s="176">
        <v>4000</v>
      </c>
      <c r="CW48" s="176">
        <v>4000</v>
      </c>
      <c r="CX48" s="176">
        <v>4000</v>
      </c>
      <c r="CY48" s="176">
        <v>4000</v>
      </c>
      <c r="CZ48" s="176">
        <v>4000</v>
      </c>
      <c r="DA48" s="176">
        <v>4000</v>
      </c>
      <c r="DB48" s="176">
        <v>4000</v>
      </c>
      <c r="DC48" s="176">
        <v>4000</v>
      </c>
      <c r="DD48" s="176">
        <v>3984.1239538101863</v>
      </c>
      <c r="DE48" s="176">
        <v>3719.7413913165601</v>
      </c>
      <c r="DF48" s="176">
        <v>3485.4806744097541</v>
      </c>
      <c r="DG48" s="176">
        <v>3278.0362707858421</v>
      </c>
      <c r="DH48" s="176">
        <v>3094.6168278822347</v>
      </c>
      <c r="DI48" s="176">
        <v>2932.8700473612444</v>
      </c>
      <c r="DJ48" s="176">
        <v>2790.81937951074</v>
      </c>
      <c r="DK48" s="176">
        <v>2666.8097224001617</v>
      </c>
      <c r="DL48" s="176">
        <v>2559.4599059408747</v>
      </c>
      <c r="DM48" s="176">
        <v>2467.6203412336386</v>
      </c>
      <c r="DN48" s="176">
        <v>2390.334752429033</v>
      </c>
      <c r="DO48" s="176">
        <v>2326.8053531001651</v>
      </c>
      <c r="DP48" s="176">
        <v>2276.3611759396872</v>
      </c>
      <c r="DQ48" s="176">
        <v>2238.4295190933035</v>
      </c>
      <c r="DR48" s="176">
        <v>2212.5088913685568</v>
      </c>
      <c r="DS48" s="176">
        <v>2198.1539882038865</v>
      </c>
      <c r="DT48" s="176">
        <v>2194.9477720860132</v>
      </c>
      <c r="DU48" s="176">
        <v>2202.4937103163929</v>
      </c>
      <c r="DV48" s="176">
        <v>2220.4040567345774</v>
      </c>
      <c r="DW48" s="176">
        <v>2248.2932903432966</v>
      </c>
      <c r="DX48" s="176">
        <v>2285.7745473824289</v>
      </c>
      <c r="DY48" s="176">
        <v>2332.4584086432355</v>
      </c>
      <c r="DZ48" s="176">
        <v>2387.9537166179434</v>
      </c>
      <c r="EA48" s="176">
        <v>2451.8703662468897</v>
      </c>
      <c r="EB48" s="176">
        <v>2523.8238946191268</v>
      </c>
      <c r="EC48" s="176">
        <v>2603.4413500380711</v>
      </c>
      <c r="ED48" s="176">
        <v>2690.3677358068107</v>
      </c>
      <c r="EE48" s="176">
        <v>2784.27241593911</v>
      </c>
      <c r="EF48" s="176">
        <v>2884.8551008829054</v>
      </c>
      <c r="EG48" s="176">
        <v>2991.8512787721729</v>
      </c>
      <c r="EH48" s="176">
        <v>3105.0372384650191</v>
      </c>
      <c r="EI48" s="176">
        <v>3224.2371872107196</v>
      </c>
      <c r="EJ48" s="176">
        <v>3349.3230179239854</v>
      </c>
      <c r="EK48" s="176">
        <v>3480.2425282327176</v>
      </c>
      <c r="EL48" s="176">
        <v>3617.0611787841553</v>
      </c>
      <c r="EM48" s="176">
        <v>3760.1807617490022</v>
      </c>
      <c r="EN48" s="176">
        <v>3911.8784809288654</v>
      </c>
      <c r="EO48" s="176">
        <v>4000</v>
      </c>
      <c r="EP48" t="str">
        <f t="shared" si="0"/>
        <v>1y 33d</v>
      </c>
      <c r="ES48" s="258"/>
      <c r="ET48" s="258"/>
      <c r="EU48" s="258"/>
      <c r="EV48" s="258"/>
      <c r="EW48" s="258"/>
      <c r="EX48" s="258"/>
    </row>
    <row r="49" spans="2:154" ht="15" customHeight="1" x14ac:dyDescent="0.25">
      <c r="B49" s="9">
        <v>46</v>
      </c>
      <c r="D49">
        <v>4141595.0687477812</v>
      </c>
      <c r="E49" s="12">
        <v>12927507037.8344</v>
      </c>
      <c r="F49" s="12">
        <v>-4223176147.8134184</v>
      </c>
      <c r="G49" s="12">
        <v>0</v>
      </c>
      <c r="H49" s="12">
        <v>7876521.2757391427</v>
      </c>
      <c r="I49" s="12">
        <v>-9078818460.804306</v>
      </c>
      <c r="J49" s="12">
        <v>17501726439.807507</v>
      </c>
      <c r="K49" s="12">
        <v>-6408522.8249924313</v>
      </c>
      <c r="L49" s="12">
        <v>2319462.0475467006</v>
      </c>
      <c r="M49" s="12">
        <v>4598862439.4119005</v>
      </c>
      <c r="N49" s="12">
        <v>-15467169040.441975</v>
      </c>
      <c r="O49" s="12">
        <v>55064994.632553935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G49" s="21" t="s">
        <v>22</v>
      </c>
      <c r="AH49" s="21" t="s">
        <v>23</v>
      </c>
      <c r="AI49" s="21" t="s">
        <v>26</v>
      </c>
      <c r="AS49" s="6">
        <v>10091963.802451795</v>
      </c>
      <c r="AT49" s="176">
        <v>4000</v>
      </c>
      <c r="AU49" s="176">
        <v>4000</v>
      </c>
      <c r="AV49" s="176">
        <v>4000</v>
      </c>
      <c r="AW49" s="176">
        <v>4000</v>
      </c>
      <c r="AX49" s="176">
        <v>4000</v>
      </c>
      <c r="AY49" s="176">
        <v>4000</v>
      </c>
      <c r="AZ49" s="176">
        <v>4000</v>
      </c>
      <c r="BA49" s="176">
        <v>4000</v>
      </c>
      <c r="BB49" s="176">
        <v>4000</v>
      </c>
      <c r="BC49" s="176">
        <v>4000</v>
      </c>
      <c r="BD49" s="176">
        <v>4000</v>
      </c>
      <c r="BE49" s="176">
        <v>4000</v>
      </c>
      <c r="BF49" s="176">
        <v>4000</v>
      </c>
      <c r="BG49" s="176">
        <v>4000</v>
      </c>
      <c r="BH49" s="176">
        <v>4000</v>
      </c>
      <c r="BI49" s="176">
        <v>4000</v>
      </c>
      <c r="BJ49" s="176">
        <v>4000</v>
      </c>
      <c r="BK49" s="176">
        <v>4000</v>
      </c>
      <c r="BL49" s="176">
        <v>4000</v>
      </c>
      <c r="BM49" s="176">
        <v>4000</v>
      </c>
      <c r="BN49" s="176">
        <v>4000</v>
      </c>
      <c r="BO49" s="176">
        <v>4000</v>
      </c>
      <c r="BP49" s="176">
        <v>4000</v>
      </c>
      <c r="BQ49" s="176">
        <v>4000</v>
      </c>
      <c r="BR49" s="176">
        <v>4000</v>
      </c>
      <c r="BS49" s="176">
        <v>4000</v>
      </c>
      <c r="BT49" s="176">
        <v>4000</v>
      </c>
      <c r="BU49" s="176">
        <v>4000</v>
      </c>
      <c r="BV49" s="176">
        <v>4000</v>
      </c>
      <c r="BW49" s="176">
        <v>4000</v>
      </c>
      <c r="BX49" s="176">
        <v>4000</v>
      </c>
      <c r="BY49" s="176">
        <v>4000</v>
      </c>
      <c r="BZ49" s="176">
        <v>4000</v>
      </c>
      <c r="CA49" s="176">
        <v>4000</v>
      </c>
      <c r="CB49" s="176">
        <v>4000</v>
      </c>
      <c r="CC49" s="176">
        <v>4000</v>
      </c>
      <c r="CD49" s="176">
        <v>4000</v>
      </c>
      <c r="CE49" s="176">
        <v>4000</v>
      </c>
      <c r="CF49" s="176">
        <v>4000</v>
      </c>
      <c r="CG49" s="176">
        <v>4000</v>
      </c>
      <c r="CH49" s="176">
        <v>4000</v>
      </c>
      <c r="CI49" s="176">
        <v>4000</v>
      </c>
      <c r="CJ49" s="176">
        <v>4000</v>
      </c>
      <c r="CK49" s="176">
        <v>4000</v>
      </c>
      <c r="CL49" s="176">
        <v>4000</v>
      </c>
      <c r="CM49" s="176">
        <v>4000</v>
      </c>
      <c r="CN49" s="176">
        <v>4000</v>
      </c>
      <c r="CO49" s="176">
        <v>4000</v>
      </c>
      <c r="CP49" s="176">
        <v>4000</v>
      </c>
      <c r="CQ49" s="176">
        <v>4000</v>
      </c>
      <c r="CR49" s="176">
        <v>4000</v>
      </c>
      <c r="CS49" s="176">
        <v>4000</v>
      </c>
      <c r="CT49" s="176">
        <v>4000</v>
      </c>
      <c r="CU49" s="176">
        <v>4000</v>
      </c>
      <c r="CV49" s="176">
        <v>4000</v>
      </c>
      <c r="CW49" s="176">
        <v>4000</v>
      </c>
      <c r="CX49" s="176">
        <v>4000</v>
      </c>
      <c r="CY49" s="176">
        <v>4000</v>
      </c>
      <c r="CZ49" s="176">
        <v>4000</v>
      </c>
      <c r="DA49" s="176">
        <v>4000</v>
      </c>
      <c r="DB49" s="176">
        <v>4000</v>
      </c>
      <c r="DC49" s="176">
        <v>4000</v>
      </c>
      <c r="DD49" s="176">
        <v>4000</v>
      </c>
      <c r="DE49" s="176">
        <v>3953.2117009887479</v>
      </c>
      <c r="DF49" s="176">
        <v>3695.4184299226335</v>
      </c>
      <c r="DG49" s="176">
        <v>3467.7716824896061</v>
      </c>
      <c r="DH49" s="176">
        <v>3266.9841151773489</v>
      </c>
      <c r="DI49" s="176">
        <v>3090.278704183253</v>
      </c>
      <c r="DJ49" s="176">
        <v>2935.3119314384139</v>
      </c>
      <c r="DK49" s="176">
        <v>2800.1086592337178</v>
      </c>
      <c r="DL49" s="176">
        <v>2683.0061140567523</v>
      </c>
      <c r="DM49" s="176">
        <v>2582.6049849645769</v>
      </c>
      <c r="DN49" s="176">
        <v>2497.7262079775787</v>
      </c>
      <c r="DO49" s="176">
        <v>2427.3724966625869</v>
      </c>
      <c r="DP49" s="176">
        <v>2370.6940677547291</v>
      </c>
      <c r="DQ49" s="176">
        <v>2326.9582968939485</v>
      </c>
      <c r="DR49" s="176">
        <v>2295.5212706227921</v>
      </c>
      <c r="DS49" s="176">
        <v>2275.8127909456325</v>
      </c>
      <c r="DT49" s="176">
        <v>2267.3066717537104</v>
      </c>
      <c r="DU49" s="176">
        <v>2269.5132001372322</v>
      </c>
      <c r="DV49" s="176">
        <v>2281.9665679881527</v>
      </c>
      <c r="DW49" s="176">
        <v>2304.2175615718361</v>
      </c>
      <c r="DX49" s="176">
        <v>2335.8292500686216</v>
      </c>
      <c r="DY49" s="176">
        <v>2376.3750861688741</v>
      </c>
      <c r="DZ49" s="176">
        <v>2425.4389860597676</v>
      </c>
      <c r="EA49" s="176">
        <v>2482.6171659524362</v>
      </c>
      <c r="EB49" s="176">
        <v>2547.5215241491815</v>
      </c>
      <c r="EC49" s="176">
        <v>2619.7841598543155</v>
      </c>
      <c r="ED49" s="176">
        <v>2699.0624500714293</v>
      </c>
      <c r="EE49" s="176">
        <v>2785.0441275987287</v>
      </c>
      <c r="EF49" s="176">
        <v>2877.4519680251933</v>
      </c>
      <c r="EG49" s="176">
        <v>2976.0478885615057</v>
      </c>
      <c r="EH49" s="176">
        <v>3080.6364456070332</v>
      </c>
      <c r="EI49" s="176">
        <v>3191.0679458832687</v>
      </c>
      <c r="EJ49" s="176">
        <v>3307.2436798342437</v>
      </c>
      <c r="EK49" s="176">
        <v>3429.1137226693904</v>
      </c>
      <c r="EL49" s="176">
        <v>3556.7023249450467</v>
      </c>
      <c r="EM49" s="176">
        <v>3690.1415877902737</v>
      </c>
      <c r="EN49" s="176">
        <v>3829.8446519796798</v>
      </c>
      <c r="EO49" s="176">
        <v>3977.5495078139083</v>
      </c>
      <c r="EP49" t="str">
        <f t="shared" si="0"/>
        <v>1y 41d</v>
      </c>
      <c r="ES49" s="258"/>
      <c r="ET49" s="258"/>
      <c r="EU49" s="258"/>
      <c r="EV49" s="258"/>
      <c r="EW49" s="258"/>
      <c r="EX49" s="258"/>
    </row>
    <row r="50" spans="2:154" ht="15" customHeight="1" x14ac:dyDescent="0.25">
      <c r="B50" s="9">
        <v>47</v>
      </c>
      <c r="D50">
        <v>4233630.5147199538</v>
      </c>
      <c r="E50" s="12">
        <v>13167172980.088331</v>
      </c>
      <c r="F50" s="12">
        <v>-3403117791.2540641</v>
      </c>
      <c r="G50" s="12">
        <v>0</v>
      </c>
      <c r="H50" s="12">
        <v>8033279.1701131789</v>
      </c>
      <c r="I50" s="12">
        <v>-10151148663.849613</v>
      </c>
      <c r="J50" s="12">
        <v>16882663405.874043</v>
      </c>
      <c r="K50" s="12">
        <v>-5159055.3001620919</v>
      </c>
      <c r="L50" s="12">
        <v>2384484.6802334115</v>
      </c>
      <c r="M50" s="12">
        <v>5166540129.9295177</v>
      </c>
      <c r="N50" s="12">
        <v>-15410271765.934574</v>
      </c>
      <c r="O50" s="12">
        <v>55467458.742707357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G50" s="20">
        <v>0</v>
      </c>
      <c r="AH50" s="20">
        <v>0</v>
      </c>
      <c r="AI50" s="20">
        <v>0</v>
      </c>
      <c r="AJ50">
        <v>8180928.888888889</v>
      </c>
      <c r="AS50" s="6">
        <v>10270832.563875847</v>
      </c>
      <c r="AT50" s="176">
        <v>4000</v>
      </c>
      <c r="AU50" s="176">
        <v>4000</v>
      </c>
      <c r="AV50" s="176">
        <v>4000</v>
      </c>
      <c r="AW50" s="176">
        <v>4000</v>
      </c>
      <c r="AX50" s="176">
        <v>4000</v>
      </c>
      <c r="AY50" s="176">
        <v>4000</v>
      </c>
      <c r="AZ50" s="176">
        <v>4000</v>
      </c>
      <c r="BA50" s="176">
        <v>4000</v>
      </c>
      <c r="BB50" s="176">
        <v>4000</v>
      </c>
      <c r="BC50" s="176">
        <v>4000</v>
      </c>
      <c r="BD50" s="176">
        <v>4000</v>
      </c>
      <c r="BE50" s="176">
        <v>4000</v>
      </c>
      <c r="BF50" s="176">
        <v>4000</v>
      </c>
      <c r="BG50" s="176">
        <v>4000</v>
      </c>
      <c r="BH50" s="176">
        <v>4000</v>
      </c>
      <c r="BI50" s="176">
        <v>4000</v>
      </c>
      <c r="BJ50" s="176">
        <v>4000</v>
      </c>
      <c r="BK50" s="176">
        <v>4000</v>
      </c>
      <c r="BL50" s="176">
        <v>4000</v>
      </c>
      <c r="BM50" s="176">
        <v>4000</v>
      </c>
      <c r="BN50" s="176">
        <v>4000</v>
      </c>
      <c r="BO50" s="176">
        <v>4000</v>
      </c>
      <c r="BP50" s="176">
        <v>4000</v>
      </c>
      <c r="BQ50" s="176">
        <v>4000</v>
      </c>
      <c r="BR50" s="176">
        <v>4000</v>
      </c>
      <c r="BS50" s="176">
        <v>4000</v>
      </c>
      <c r="BT50" s="176">
        <v>4000</v>
      </c>
      <c r="BU50" s="176">
        <v>4000</v>
      </c>
      <c r="BV50" s="176">
        <v>4000</v>
      </c>
      <c r="BW50" s="176">
        <v>4000</v>
      </c>
      <c r="BX50" s="176">
        <v>4000</v>
      </c>
      <c r="BY50" s="176">
        <v>4000</v>
      </c>
      <c r="BZ50" s="176">
        <v>4000</v>
      </c>
      <c r="CA50" s="176">
        <v>4000</v>
      </c>
      <c r="CB50" s="176">
        <v>4000</v>
      </c>
      <c r="CC50" s="176">
        <v>4000</v>
      </c>
      <c r="CD50" s="176">
        <v>4000</v>
      </c>
      <c r="CE50" s="176">
        <v>4000</v>
      </c>
      <c r="CF50" s="176">
        <v>4000</v>
      </c>
      <c r="CG50" s="176">
        <v>4000</v>
      </c>
      <c r="CH50" s="176">
        <v>4000</v>
      </c>
      <c r="CI50" s="176">
        <v>4000</v>
      </c>
      <c r="CJ50" s="176">
        <v>4000</v>
      </c>
      <c r="CK50" s="176">
        <v>4000</v>
      </c>
      <c r="CL50" s="176">
        <v>4000</v>
      </c>
      <c r="CM50" s="176">
        <v>4000</v>
      </c>
      <c r="CN50" s="176">
        <v>4000</v>
      </c>
      <c r="CO50" s="176">
        <v>4000</v>
      </c>
      <c r="CP50" s="176">
        <v>4000</v>
      </c>
      <c r="CQ50" s="176">
        <v>4000</v>
      </c>
      <c r="CR50" s="176">
        <v>4000</v>
      </c>
      <c r="CS50" s="176">
        <v>4000</v>
      </c>
      <c r="CT50" s="176">
        <v>4000</v>
      </c>
      <c r="CU50" s="176">
        <v>4000</v>
      </c>
      <c r="CV50" s="176">
        <v>4000</v>
      </c>
      <c r="CW50" s="176">
        <v>4000</v>
      </c>
      <c r="CX50" s="176">
        <v>4000</v>
      </c>
      <c r="CY50" s="176">
        <v>4000</v>
      </c>
      <c r="CZ50" s="176">
        <v>4000</v>
      </c>
      <c r="DA50" s="176">
        <v>4000</v>
      </c>
      <c r="DB50" s="176">
        <v>4000</v>
      </c>
      <c r="DC50" s="176">
        <v>4000</v>
      </c>
      <c r="DD50" s="176">
        <v>4000</v>
      </c>
      <c r="DE50" s="176">
        <v>4000</v>
      </c>
      <c r="DF50" s="176">
        <v>3935.116276866107</v>
      </c>
      <c r="DG50" s="176">
        <v>3683.987481491481</v>
      </c>
      <c r="DH50" s="176">
        <v>3463.0129577418302</v>
      </c>
      <c r="DI50" s="176">
        <v>3268.9119629989468</v>
      </c>
      <c r="DJ50" s="176">
        <v>3098.9095412713305</v>
      </c>
      <c r="DK50" s="176">
        <v>2950.6581142615864</v>
      </c>
      <c r="DL50" s="176">
        <v>2822.1708486926937</v>
      </c>
      <c r="DM50" s="176">
        <v>2711.7644301195296</v>
      </c>
      <c r="DN50" s="176">
        <v>2618.0094301788354</v>
      </c>
      <c r="DO50" s="176">
        <v>2539.686972660289</v>
      </c>
      <c r="DP50" s="176">
        <v>2475.7508339781825</v>
      </c>
      <c r="DQ50" s="176">
        <v>2425.2925101917108</v>
      </c>
      <c r="DR50" s="176">
        <v>2387.520270256186</v>
      </c>
      <c r="DS50" s="176">
        <v>2361.7242634537151</v>
      </c>
      <c r="DT50" s="176">
        <v>2347.2637688762834</v>
      </c>
      <c r="DU50" s="176">
        <v>2343.5498306965401</v>
      </c>
      <c r="DV50" s="176">
        <v>2350.0334639808666</v>
      </c>
      <c r="DW50" s="176">
        <v>2366.1973653750815</v>
      </c>
      <c r="DX50" s="176">
        <v>2391.5506322419824</v>
      </c>
      <c r="DY50" s="176">
        <v>2425.6259359684809</v>
      </c>
      <c r="DZ50" s="176">
        <v>2467.9786697253248</v>
      </c>
      <c r="EA50" s="176">
        <v>2518.187740819149</v>
      </c>
      <c r="EB50" s="176">
        <v>2575.8577455005438</v>
      </c>
      <c r="EC50" s="176">
        <v>2640.6221755956931</v>
      </c>
      <c r="ED50" s="176">
        <v>2712.1471759337319</v>
      </c>
      <c r="EE50" s="176">
        <v>2790.1353519528921</v>
      </c>
      <c r="EF50" s="176">
        <v>2874.329238352469</v>
      </c>
      <c r="EG50" s="176">
        <v>2964.5142010623208</v>
      </c>
      <c r="EH50" s="176">
        <v>3060.5206927451263</v>
      </c>
      <c r="EI50" s="176">
        <v>3162.225919315003</v>
      </c>
      <c r="EJ50" s="176">
        <v>3269.5551639536525</v>
      </c>
      <c r="EK50" s="176">
        <v>3382.4852359461461</v>
      </c>
      <c r="EL50" s="176">
        <v>3501.0404233739464</v>
      </c>
      <c r="EM50" s="176">
        <v>3625.3149935910069</v>
      </c>
      <c r="EN50" s="176">
        <v>3755.4995469114356</v>
      </c>
      <c r="EO50" s="176">
        <v>3892.0194077661104</v>
      </c>
      <c r="EP50" t="str">
        <f t="shared" si="0"/>
        <v>1y 49d</v>
      </c>
      <c r="ES50" s="258"/>
      <c r="ET50" s="258"/>
      <c r="EU50" s="258"/>
      <c r="EV50" s="258"/>
      <c r="EW50" s="258"/>
      <c r="EX50" s="258"/>
    </row>
    <row r="51" spans="2:154" x14ac:dyDescent="0.25">
      <c r="B51" s="9">
        <v>48</v>
      </c>
      <c r="D51">
        <v>4325665.9606921263</v>
      </c>
      <c r="E51" s="12">
        <v>13354874106.098984</v>
      </c>
      <c r="F51" s="12">
        <v>-2569628883.5092602</v>
      </c>
      <c r="G51" s="12">
        <v>0</v>
      </c>
      <c r="H51" s="12">
        <v>8189797.8856747877</v>
      </c>
      <c r="I51" s="12">
        <v>-11183692009.763231</v>
      </c>
      <c r="J51" s="12">
        <v>16201094248.728819</v>
      </c>
      <c r="K51" s="12">
        <v>-3892104.2364678178</v>
      </c>
      <c r="L51" s="12">
        <v>2450457.6848890563</v>
      </c>
      <c r="M51" s="12">
        <v>5736419602.7008734</v>
      </c>
      <c r="N51" s="12">
        <v>-15334364591.474499</v>
      </c>
      <c r="O51" s="12">
        <v>55810373.794390827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S51" s="6">
        <v>10449701.325299898</v>
      </c>
      <c r="AT51" s="176">
        <v>4000</v>
      </c>
      <c r="AU51" s="176">
        <v>4000</v>
      </c>
      <c r="AV51" s="176">
        <v>4000</v>
      </c>
      <c r="AW51" s="176">
        <v>4000</v>
      </c>
      <c r="AX51" s="176">
        <v>4000</v>
      </c>
      <c r="AY51" s="176">
        <v>4000</v>
      </c>
      <c r="AZ51" s="176">
        <v>4000</v>
      </c>
      <c r="BA51" s="176">
        <v>4000</v>
      </c>
      <c r="BB51" s="176">
        <v>4000</v>
      </c>
      <c r="BC51" s="176">
        <v>4000</v>
      </c>
      <c r="BD51" s="176">
        <v>4000</v>
      </c>
      <c r="BE51" s="176">
        <v>4000</v>
      </c>
      <c r="BF51" s="176">
        <v>4000</v>
      </c>
      <c r="BG51" s="176">
        <v>4000</v>
      </c>
      <c r="BH51" s="176">
        <v>4000</v>
      </c>
      <c r="BI51" s="176">
        <v>4000</v>
      </c>
      <c r="BJ51" s="176">
        <v>4000</v>
      </c>
      <c r="BK51" s="176">
        <v>4000</v>
      </c>
      <c r="BL51" s="176">
        <v>4000</v>
      </c>
      <c r="BM51" s="176">
        <v>4000</v>
      </c>
      <c r="BN51" s="176">
        <v>4000</v>
      </c>
      <c r="BO51" s="176">
        <v>4000</v>
      </c>
      <c r="BP51" s="176">
        <v>4000</v>
      </c>
      <c r="BQ51" s="176">
        <v>4000</v>
      </c>
      <c r="BR51" s="176">
        <v>4000</v>
      </c>
      <c r="BS51" s="176">
        <v>4000</v>
      </c>
      <c r="BT51" s="176">
        <v>4000</v>
      </c>
      <c r="BU51" s="176">
        <v>4000</v>
      </c>
      <c r="BV51" s="176">
        <v>4000</v>
      </c>
      <c r="BW51" s="176">
        <v>4000</v>
      </c>
      <c r="BX51" s="176">
        <v>4000</v>
      </c>
      <c r="BY51" s="176">
        <v>4000</v>
      </c>
      <c r="BZ51" s="176">
        <v>4000</v>
      </c>
      <c r="CA51" s="176">
        <v>4000</v>
      </c>
      <c r="CB51" s="176">
        <v>4000</v>
      </c>
      <c r="CC51" s="176">
        <v>4000</v>
      </c>
      <c r="CD51" s="176">
        <v>4000</v>
      </c>
      <c r="CE51" s="176">
        <v>4000</v>
      </c>
      <c r="CF51" s="176">
        <v>4000</v>
      </c>
      <c r="CG51" s="176">
        <v>4000</v>
      </c>
      <c r="CH51" s="176">
        <v>4000</v>
      </c>
      <c r="CI51" s="176">
        <v>4000</v>
      </c>
      <c r="CJ51" s="176">
        <v>4000</v>
      </c>
      <c r="CK51" s="176">
        <v>4000</v>
      </c>
      <c r="CL51" s="176">
        <v>4000</v>
      </c>
      <c r="CM51" s="176">
        <v>4000</v>
      </c>
      <c r="CN51" s="176">
        <v>4000</v>
      </c>
      <c r="CO51" s="176">
        <v>4000</v>
      </c>
      <c r="CP51" s="176">
        <v>4000</v>
      </c>
      <c r="CQ51" s="176">
        <v>4000</v>
      </c>
      <c r="CR51" s="176">
        <v>4000</v>
      </c>
      <c r="CS51" s="176">
        <v>4000</v>
      </c>
      <c r="CT51" s="176">
        <v>4000</v>
      </c>
      <c r="CU51" s="176">
        <v>4000</v>
      </c>
      <c r="CV51" s="176">
        <v>4000</v>
      </c>
      <c r="CW51" s="176">
        <v>4000</v>
      </c>
      <c r="CX51" s="176">
        <v>4000</v>
      </c>
      <c r="CY51" s="176">
        <v>4000</v>
      </c>
      <c r="CZ51" s="176">
        <v>4000</v>
      </c>
      <c r="DA51" s="176">
        <v>4000</v>
      </c>
      <c r="DB51" s="176">
        <v>4000</v>
      </c>
      <c r="DC51" s="176">
        <v>4000</v>
      </c>
      <c r="DD51" s="176">
        <v>4000</v>
      </c>
      <c r="DE51" s="176">
        <v>4000</v>
      </c>
      <c r="DF51" s="176">
        <v>4000</v>
      </c>
      <c r="DG51" s="176">
        <v>3930.927165238857</v>
      </c>
      <c r="DH51" s="176">
        <v>3686.3776733530431</v>
      </c>
      <c r="DI51" s="176">
        <v>3471.9686284919353</v>
      </c>
      <c r="DJ51" s="176">
        <v>3284.412848722493</v>
      </c>
      <c r="DK51" s="176">
        <v>3120.9244032604424</v>
      </c>
      <c r="DL51" s="176">
        <v>2979.1388244694836</v>
      </c>
      <c r="DM51" s="176">
        <v>2857.0453754597811</v>
      </c>
      <c r="DN51" s="176">
        <v>2752.9291674947981</v>
      </c>
      <c r="DO51" s="176">
        <v>2665.3214357076558</v>
      </c>
      <c r="DP51" s="176">
        <v>2592.9567433959774</v>
      </c>
      <c r="DQ51" s="176">
        <v>2534.7341254740718</v>
      </c>
      <c r="DR51" s="176">
        <v>2489.6940916091035</v>
      </c>
      <c r="DS51" s="176">
        <v>2456.9803865100266</v>
      </c>
      <c r="DT51" s="176">
        <v>2435.8262510169716</v>
      </c>
      <c r="DU51" s="176">
        <v>2425.5353864228337</v>
      </c>
      <c r="DV51" s="176">
        <v>2425.4688150913762</v>
      </c>
      <c r="DW51" s="176">
        <v>2435.0353145955878</v>
      </c>
      <c r="DX51" s="176">
        <v>2453.6849137688318</v>
      </c>
      <c r="DY51" s="176">
        <v>2480.9049010385052</v>
      </c>
      <c r="DZ51" s="176">
        <v>2516.2178377030823</v>
      </c>
      <c r="EA51" s="176">
        <v>2559.1811777701018</v>
      </c>
      <c r="EB51" s="176">
        <v>2609.3881837908807</v>
      </c>
      <c r="EC51" s="176">
        <v>2666.46981403885</v>
      </c>
      <c r="ED51" s="176">
        <v>2730.0971725045547</v>
      </c>
      <c r="EE51" s="176">
        <v>2799.9840735371804</v>
      </c>
      <c r="EF51" s="176">
        <v>2875.8893391650768</v>
      </c>
      <c r="EG51" s="176">
        <v>2957.6185805472169</v>
      </c>
      <c r="EH51" s="176">
        <v>3045.0253490359073</v>
      </c>
      <c r="EI51" s="176">
        <v>3138.0116509063332</v>
      </c>
      <c r="EJ51" s="176">
        <v>3236.5279242751781</v>
      </c>
      <c r="EK51" s="176">
        <v>3340.5727358515214</v>
      </c>
      <c r="EL51" s="176">
        <v>3450.1945951982239</v>
      </c>
      <c r="EM51" s="176">
        <v>3565.4862706157533</v>
      </c>
      <c r="EN51" s="176">
        <v>3686.6045530769497</v>
      </c>
      <c r="EO51" s="176">
        <v>3813.790371528451</v>
      </c>
      <c r="EP51" t="str">
        <f t="shared" si="0"/>
        <v>1y 58d</v>
      </c>
      <c r="ES51" s="258"/>
      <c r="ET51" s="258"/>
      <c r="EU51" s="258"/>
      <c r="EV51" s="258"/>
      <c r="EW51" s="258"/>
      <c r="EX51" s="258"/>
    </row>
    <row r="52" spans="2:154" x14ac:dyDescent="0.25">
      <c r="B52" s="9">
        <v>49</v>
      </c>
      <c r="D52">
        <v>4417701.4066642988</v>
      </c>
      <c r="E52" s="12">
        <v>13489869645.274481</v>
      </c>
      <c r="F52" s="12">
        <v>-1725998824.5130143</v>
      </c>
      <c r="G52" s="12">
        <v>0</v>
      </c>
      <c r="H52" s="12">
        <v>8346136.4008710654</v>
      </c>
      <c r="I52" s="12">
        <v>-12173035343.798763</v>
      </c>
      <c r="J52" s="12">
        <v>15459450018.105423</v>
      </c>
      <c r="K52" s="12">
        <v>-2611990.6439107163</v>
      </c>
      <c r="L52" s="12">
        <v>2517403.8852694123</v>
      </c>
      <c r="M52" s="12">
        <v>6307888004.7830906</v>
      </c>
      <c r="N52" s="12">
        <v>-15239115471.419764</v>
      </c>
      <c r="O52" s="12">
        <v>56092025.571738496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G52" s="208" t="s">
        <v>68</v>
      </c>
      <c r="AH52" s="208"/>
      <c r="AI52" s="208"/>
      <c r="AS52" s="6">
        <v>10628570.08672395</v>
      </c>
      <c r="AT52" s="176">
        <v>4000</v>
      </c>
      <c r="AU52" s="176">
        <v>4000</v>
      </c>
      <c r="AV52" s="176">
        <v>4000</v>
      </c>
      <c r="AW52" s="176">
        <v>4000</v>
      </c>
      <c r="AX52" s="176">
        <v>4000</v>
      </c>
      <c r="AY52" s="176">
        <v>4000</v>
      </c>
      <c r="AZ52" s="176">
        <v>4000</v>
      </c>
      <c r="BA52" s="176">
        <v>4000</v>
      </c>
      <c r="BB52" s="176">
        <v>4000</v>
      </c>
      <c r="BC52" s="176">
        <v>4000</v>
      </c>
      <c r="BD52" s="176">
        <v>4000</v>
      </c>
      <c r="BE52" s="176">
        <v>4000</v>
      </c>
      <c r="BF52" s="176">
        <v>4000</v>
      </c>
      <c r="BG52" s="176">
        <v>4000</v>
      </c>
      <c r="BH52" s="176">
        <v>4000</v>
      </c>
      <c r="BI52" s="176">
        <v>4000</v>
      </c>
      <c r="BJ52" s="176">
        <v>4000</v>
      </c>
      <c r="BK52" s="176">
        <v>4000</v>
      </c>
      <c r="BL52" s="176">
        <v>4000</v>
      </c>
      <c r="BM52" s="176">
        <v>4000</v>
      </c>
      <c r="BN52" s="176">
        <v>4000</v>
      </c>
      <c r="BO52" s="176">
        <v>4000</v>
      </c>
      <c r="BP52" s="176">
        <v>4000</v>
      </c>
      <c r="BQ52" s="176">
        <v>4000</v>
      </c>
      <c r="BR52" s="176">
        <v>4000</v>
      </c>
      <c r="BS52" s="176">
        <v>4000</v>
      </c>
      <c r="BT52" s="176">
        <v>4000</v>
      </c>
      <c r="BU52" s="176">
        <v>4000</v>
      </c>
      <c r="BV52" s="176">
        <v>4000</v>
      </c>
      <c r="BW52" s="176">
        <v>4000</v>
      </c>
      <c r="BX52" s="176">
        <v>4000</v>
      </c>
      <c r="BY52" s="176">
        <v>4000</v>
      </c>
      <c r="BZ52" s="176">
        <v>4000</v>
      </c>
      <c r="CA52" s="176">
        <v>4000</v>
      </c>
      <c r="CB52" s="176">
        <v>4000</v>
      </c>
      <c r="CC52" s="176">
        <v>4000</v>
      </c>
      <c r="CD52" s="176">
        <v>4000</v>
      </c>
      <c r="CE52" s="176">
        <v>4000</v>
      </c>
      <c r="CF52" s="176">
        <v>4000</v>
      </c>
      <c r="CG52" s="176">
        <v>4000</v>
      </c>
      <c r="CH52" s="176">
        <v>4000</v>
      </c>
      <c r="CI52" s="176">
        <v>4000</v>
      </c>
      <c r="CJ52" s="176">
        <v>4000</v>
      </c>
      <c r="CK52" s="176">
        <v>4000</v>
      </c>
      <c r="CL52" s="176">
        <v>4000</v>
      </c>
      <c r="CM52" s="176">
        <v>4000</v>
      </c>
      <c r="CN52" s="176">
        <v>4000</v>
      </c>
      <c r="CO52" s="176">
        <v>4000</v>
      </c>
      <c r="CP52" s="176">
        <v>4000</v>
      </c>
      <c r="CQ52" s="176">
        <v>4000</v>
      </c>
      <c r="CR52" s="176">
        <v>4000</v>
      </c>
      <c r="CS52" s="176">
        <v>4000</v>
      </c>
      <c r="CT52" s="176">
        <v>4000</v>
      </c>
      <c r="CU52" s="176">
        <v>4000</v>
      </c>
      <c r="CV52" s="176">
        <v>4000</v>
      </c>
      <c r="CW52" s="176">
        <v>4000</v>
      </c>
      <c r="CX52" s="176">
        <v>4000</v>
      </c>
      <c r="CY52" s="176">
        <v>4000</v>
      </c>
      <c r="CZ52" s="176">
        <v>4000</v>
      </c>
      <c r="DA52" s="176">
        <v>4000</v>
      </c>
      <c r="DB52" s="176">
        <v>4000</v>
      </c>
      <c r="DC52" s="176">
        <v>4000</v>
      </c>
      <c r="DD52" s="176">
        <v>4000</v>
      </c>
      <c r="DE52" s="176">
        <v>4000</v>
      </c>
      <c r="DF52" s="176">
        <v>4000</v>
      </c>
      <c r="DG52" s="176">
        <v>4000</v>
      </c>
      <c r="DH52" s="176">
        <v>3941.6587586131473</v>
      </c>
      <c r="DI52" s="176">
        <v>3703.4244774247818</v>
      </c>
      <c r="DJ52" s="176">
        <v>3495.2913619673063</v>
      </c>
      <c r="DK52" s="176">
        <v>3313.95200455964</v>
      </c>
      <c r="DL52" s="176">
        <v>3156.5964978291986</v>
      </c>
      <c r="DM52" s="176">
        <v>3020.8315549783883</v>
      </c>
      <c r="DN52" s="176">
        <v>2904.6121106555593</v>
      </c>
      <c r="DO52" s="176">
        <v>2806.1833003721822</v>
      </c>
      <c r="DP52" s="176">
        <v>2724.0291016869619</v>
      </c>
      <c r="DQ52" s="176">
        <v>2656.8386215348978</v>
      </c>
      <c r="DR52" s="176">
        <v>2603.4591715590286</v>
      </c>
      <c r="DS52" s="176">
        <v>2562.8745353489344</v>
      </c>
      <c r="DT52" s="176">
        <v>2534.1791022478401</v>
      </c>
      <c r="DU52" s="176">
        <v>2516.5586226885753</v>
      </c>
      <c r="DV52" s="176">
        <v>2509.2752376403914</v>
      </c>
      <c r="DW52" s="176">
        <v>2511.6562544652606</v>
      </c>
      <c r="DX52" s="176">
        <v>2523.0861098017785</v>
      </c>
      <c r="DY52" s="176">
        <v>2543.0009476830619</v>
      </c>
      <c r="DZ52" s="176">
        <v>2570.8852764733192</v>
      </c>
      <c r="EA52" s="176">
        <v>2606.27025494488</v>
      </c>
      <c r="EB52" s="176">
        <v>2648.7332521486492</v>
      </c>
      <c r="EC52" s="176">
        <v>2697.8983619996452</v>
      </c>
      <c r="ED52" s="176">
        <v>2753.4375170855105</v>
      </c>
      <c r="EE52" s="176">
        <v>2815.0718032158202</v>
      </c>
      <c r="EF52" s="176">
        <v>2882.5726028473464</v>
      </c>
      <c r="EG52" s="176">
        <v>2955.7622979157977</v>
      </c>
      <c r="EH52" s="176">
        <v>3034.5143887154691</v>
      </c>
      <c r="EI52" s="176">
        <v>3118.7529904334633</v>
      </c>
      <c r="EJ52" s="176">
        <v>3208.4517482870024</v>
      </c>
      <c r="EK52" s="176">
        <v>3303.6322933672891</v>
      </c>
      <c r="EL52" s="176">
        <v>3404.36249634042</v>
      </c>
      <c r="EM52" s="176">
        <v>3510.7568284557528</v>
      </c>
      <c r="EN52" s="176">
        <v>3622.9693027422991</v>
      </c>
      <c r="EO52" s="176">
        <v>3741.2107442258875</v>
      </c>
      <c r="EP52" t="str">
        <f t="shared" si="0"/>
        <v>1y 66d</v>
      </c>
      <c r="ES52" s="258"/>
      <c r="ET52" s="258"/>
      <c r="EU52" s="258"/>
      <c r="EV52" s="258"/>
      <c r="EW52" s="258"/>
      <c r="EX52" s="258"/>
    </row>
    <row r="53" spans="2:154" x14ac:dyDescent="0.25">
      <c r="B53" s="9">
        <v>50</v>
      </c>
      <c r="D53">
        <v>4509736.8526364714</v>
      </c>
      <c r="E53" s="12">
        <v>13571626831.895294</v>
      </c>
      <c r="F53" s="12">
        <v>-875557036.69027209</v>
      </c>
      <c r="G53" s="12">
        <v>0</v>
      </c>
      <c r="H53" s="12">
        <v>8502354.0998901799</v>
      </c>
      <c r="I53" s="12">
        <v>-13115899597.023386</v>
      </c>
      <c r="J53" s="12">
        <v>14660322127.524059</v>
      </c>
      <c r="K53" s="12">
        <v>-1323056.8927681819</v>
      </c>
      <c r="L53" s="12">
        <v>2585345.6548143979</v>
      </c>
      <c r="M53" s="12">
        <v>6880302371.155611</v>
      </c>
      <c r="N53" s="12">
        <v>-15124206251.390472</v>
      </c>
      <c r="O53" s="12">
        <v>56310713.874389224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G53" s="21" t="s">
        <v>22</v>
      </c>
      <c r="AH53" s="21" t="s">
        <v>23</v>
      </c>
      <c r="AI53" s="21" t="s">
        <v>26</v>
      </c>
      <c r="AS53" s="6">
        <v>10807438.848148001</v>
      </c>
      <c r="AT53" s="176">
        <v>4000</v>
      </c>
      <c r="AU53" s="176">
        <v>4000</v>
      </c>
      <c r="AV53" s="176">
        <v>4000</v>
      </c>
      <c r="AW53" s="176">
        <v>4000</v>
      </c>
      <c r="AX53" s="176">
        <v>4000</v>
      </c>
      <c r="AY53" s="176">
        <v>4000</v>
      </c>
      <c r="AZ53" s="176">
        <v>4000</v>
      </c>
      <c r="BA53" s="176">
        <v>4000</v>
      </c>
      <c r="BB53" s="176">
        <v>4000</v>
      </c>
      <c r="BC53" s="176">
        <v>4000</v>
      </c>
      <c r="BD53" s="176">
        <v>4000</v>
      </c>
      <c r="BE53" s="176">
        <v>4000</v>
      </c>
      <c r="BF53" s="176">
        <v>4000</v>
      </c>
      <c r="BG53" s="176">
        <v>4000</v>
      </c>
      <c r="BH53" s="176">
        <v>4000</v>
      </c>
      <c r="BI53" s="176">
        <v>4000</v>
      </c>
      <c r="BJ53" s="176">
        <v>4000</v>
      </c>
      <c r="BK53" s="176">
        <v>4000</v>
      </c>
      <c r="BL53" s="176">
        <v>4000</v>
      </c>
      <c r="BM53" s="176">
        <v>4000</v>
      </c>
      <c r="BN53" s="176">
        <v>4000</v>
      </c>
      <c r="BO53" s="176">
        <v>4000</v>
      </c>
      <c r="BP53" s="176">
        <v>4000</v>
      </c>
      <c r="BQ53" s="176">
        <v>4000</v>
      </c>
      <c r="BR53" s="176">
        <v>4000</v>
      </c>
      <c r="BS53" s="176">
        <v>4000</v>
      </c>
      <c r="BT53" s="176">
        <v>4000</v>
      </c>
      <c r="BU53" s="176">
        <v>4000</v>
      </c>
      <c r="BV53" s="176">
        <v>4000</v>
      </c>
      <c r="BW53" s="176">
        <v>4000</v>
      </c>
      <c r="BX53" s="176">
        <v>4000</v>
      </c>
      <c r="BY53" s="176">
        <v>4000</v>
      </c>
      <c r="BZ53" s="176">
        <v>4000</v>
      </c>
      <c r="CA53" s="176">
        <v>4000</v>
      </c>
      <c r="CB53" s="176">
        <v>4000</v>
      </c>
      <c r="CC53" s="176">
        <v>4000</v>
      </c>
      <c r="CD53" s="176">
        <v>4000</v>
      </c>
      <c r="CE53" s="176">
        <v>4000</v>
      </c>
      <c r="CF53" s="176">
        <v>4000</v>
      </c>
      <c r="CG53" s="176">
        <v>4000</v>
      </c>
      <c r="CH53" s="176">
        <v>4000</v>
      </c>
      <c r="CI53" s="176">
        <v>4000</v>
      </c>
      <c r="CJ53" s="176">
        <v>4000</v>
      </c>
      <c r="CK53" s="176">
        <v>4000</v>
      </c>
      <c r="CL53" s="176">
        <v>4000</v>
      </c>
      <c r="CM53" s="176">
        <v>4000</v>
      </c>
      <c r="CN53" s="176">
        <v>4000</v>
      </c>
      <c r="CO53" s="176">
        <v>4000</v>
      </c>
      <c r="CP53" s="176">
        <v>4000</v>
      </c>
      <c r="CQ53" s="176">
        <v>4000</v>
      </c>
      <c r="CR53" s="176">
        <v>4000</v>
      </c>
      <c r="CS53" s="176">
        <v>4000</v>
      </c>
      <c r="CT53" s="176">
        <v>4000</v>
      </c>
      <c r="CU53" s="176">
        <v>4000</v>
      </c>
      <c r="CV53" s="176">
        <v>4000</v>
      </c>
      <c r="CW53" s="176">
        <v>4000</v>
      </c>
      <c r="CX53" s="176">
        <v>4000</v>
      </c>
      <c r="CY53" s="176">
        <v>4000</v>
      </c>
      <c r="CZ53" s="176">
        <v>4000</v>
      </c>
      <c r="DA53" s="176">
        <v>4000</v>
      </c>
      <c r="DB53" s="176">
        <v>4000</v>
      </c>
      <c r="DC53" s="176">
        <v>4000</v>
      </c>
      <c r="DD53" s="176">
        <v>4000</v>
      </c>
      <c r="DE53" s="176">
        <v>4000</v>
      </c>
      <c r="DF53" s="176">
        <v>4000</v>
      </c>
      <c r="DG53" s="176">
        <v>4000</v>
      </c>
      <c r="DH53" s="176">
        <v>4000</v>
      </c>
      <c r="DI53" s="176">
        <v>3968.2301369669904</v>
      </c>
      <c r="DJ53" s="176">
        <v>3735.8490851891102</v>
      </c>
      <c r="DK53" s="176">
        <v>3533.5024288452332</v>
      </c>
      <c r="DL53" s="176">
        <v>3357.8487523722415</v>
      </c>
      <c r="DM53" s="176">
        <v>3206.0420122651203</v>
      </c>
      <c r="DN53" s="176">
        <v>3075.649856430372</v>
      </c>
      <c r="DO53" s="176">
        <v>2964.584938357104</v>
      </c>
      <c r="DP53" s="176">
        <v>2871.0448917470167</v>
      </c>
      <c r="DQ53" s="176">
        <v>2793.4726717181188</v>
      </c>
      <c r="DR53" s="176">
        <v>2730.5031988646797</v>
      </c>
      <c r="DS53" s="176">
        <v>2680.9381276065142</v>
      </c>
      <c r="DT53" s="176">
        <v>2643.7163600105105</v>
      </c>
      <c r="DU53" s="176">
        <v>2617.8919457078027</v>
      </c>
      <c r="DV53" s="176">
        <v>2602.6166709899903</v>
      </c>
      <c r="DW53" s="176">
        <v>2597.1266905381544</v>
      </c>
      <c r="DX53" s="176">
        <v>2600.7325663697479</v>
      </c>
      <c r="DY53" s="176">
        <v>2612.8120951457013</v>
      </c>
      <c r="DZ53" s="176">
        <v>2632.8053474888902</v>
      </c>
      <c r="EA53" s="176">
        <v>2660.2114210957016</v>
      </c>
      <c r="EB53" s="176">
        <v>2694.5865058240288</v>
      </c>
      <c r="EC53" s="176">
        <v>2735.5429294772762</v>
      </c>
      <c r="ED53" s="176">
        <v>2782.7488634896199</v>
      </c>
      <c r="EE53" s="176">
        <v>2835.9283387553269</v>
      </c>
      <c r="EF53" s="176">
        <v>2894.8612180527671</v>
      </c>
      <c r="EG53" s="176">
        <v>2959.3828349806827</v>
      </c>
      <c r="EH53" s="176">
        <v>3029.3831207286948</v>
      </c>
      <c r="EI53" s="176">
        <v>3104.8051504375435</v>
      </c>
      <c r="EJ53" s="176">
        <v>3185.6431220327072</v>
      </c>
      <c r="EK53" s="176">
        <v>3271.9398386985599</v>
      </c>
      <c r="EL53" s="176">
        <v>3363.7838299510349</v>
      </c>
      <c r="EM53" s="176">
        <v>3461.3063611016096</v>
      </c>
      <c r="EN53" s="176">
        <v>3564.6805383825254</v>
      </c>
      <c r="EO53" s="176">
        <v>3674.1131594807493</v>
      </c>
      <c r="EP53" t="str">
        <f t="shared" si="0"/>
        <v>1y 74d</v>
      </c>
      <c r="ES53" s="258"/>
      <c r="ET53" s="258"/>
      <c r="EU53" s="258"/>
      <c r="EV53" s="258"/>
      <c r="EW53" s="258"/>
      <c r="EX53" s="258"/>
    </row>
    <row r="54" spans="2:154" x14ac:dyDescent="0.25">
      <c r="B54" s="9">
        <v>51</v>
      </c>
      <c r="D54">
        <v>4601772.2986086439</v>
      </c>
      <c r="E54" s="12">
        <v>13599823007.697136</v>
      </c>
      <c r="F54" s="12">
        <v>-21659825.247674342</v>
      </c>
      <c r="G54" s="12">
        <v>0</v>
      </c>
      <c r="H54" s="12">
        <v>8658510.6372498721</v>
      </c>
      <c r="I54" s="12">
        <v>-14009144138.299789</v>
      </c>
      <c r="J54" s="12">
        <v>13806456965.591459</v>
      </c>
      <c r="K54" s="12">
        <v>-29659.494381808956</v>
      </c>
      <c r="L54" s="12">
        <v>2654304.8386656623</v>
      </c>
      <c r="M54" s="12">
        <v>7452989158.627079</v>
      </c>
      <c r="N54" s="12">
        <v>-14989334773.493214</v>
      </c>
      <c r="O54" s="12">
        <v>56464758.882135287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G54" s="20">
        <v>0</v>
      </c>
      <c r="AH54" s="20">
        <v>0</v>
      </c>
      <c r="AI54" s="20">
        <v>0</v>
      </c>
      <c r="AS54" s="6">
        <v>10986307.609572053</v>
      </c>
      <c r="AT54" s="176">
        <v>4000</v>
      </c>
      <c r="AU54" s="176">
        <v>4000</v>
      </c>
      <c r="AV54" s="176">
        <v>4000</v>
      </c>
      <c r="AW54" s="176">
        <v>4000</v>
      </c>
      <c r="AX54" s="176">
        <v>4000</v>
      </c>
      <c r="AY54" s="176">
        <v>4000</v>
      </c>
      <c r="AZ54" s="176">
        <v>4000</v>
      </c>
      <c r="BA54" s="176">
        <v>4000</v>
      </c>
      <c r="BB54" s="176">
        <v>4000</v>
      </c>
      <c r="BC54" s="176">
        <v>4000</v>
      </c>
      <c r="BD54" s="176">
        <v>4000</v>
      </c>
      <c r="BE54" s="176">
        <v>4000</v>
      </c>
      <c r="BF54" s="176">
        <v>4000</v>
      </c>
      <c r="BG54" s="176">
        <v>4000</v>
      </c>
      <c r="BH54" s="176">
        <v>4000</v>
      </c>
      <c r="BI54" s="176">
        <v>4000</v>
      </c>
      <c r="BJ54" s="176">
        <v>4000</v>
      </c>
      <c r="BK54" s="176">
        <v>4000</v>
      </c>
      <c r="BL54" s="176">
        <v>4000</v>
      </c>
      <c r="BM54" s="176">
        <v>4000</v>
      </c>
      <c r="BN54" s="176">
        <v>4000</v>
      </c>
      <c r="BO54" s="176">
        <v>4000</v>
      </c>
      <c r="BP54" s="176">
        <v>4000</v>
      </c>
      <c r="BQ54" s="176">
        <v>4000</v>
      </c>
      <c r="BR54" s="176">
        <v>4000</v>
      </c>
      <c r="BS54" s="176">
        <v>4000</v>
      </c>
      <c r="BT54" s="176">
        <v>4000</v>
      </c>
      <c r="BU54" s="176">
        <v>4000</v>
      </c>
      <c r="BV54" s="176">
        <v>4000</v>
      </c>
      <c r="BW54" s="176">
        <v>4000</v>
      </c>
      <c r="BX54" s="176">
        <v>4000</v>
      </c>
      <c r="BY54" s="176">
        <v>4000</v>
      </c>
      <c r="BZ54" s="176">
        <v>4000</v>
      </c>
      <c r="CA54" s="176">
        <v>4000</v>
      </c>
      <c r="CB54" s="176">
        <v>4000</v>
      </c>
      <c r="CC54" s="176">
        <v>4000</v>
      </c>
      <c r="CD54" s="176">
        <v>4000</v>
      </c>
      <c r="CE54" s="176">
        <v>4000</v>
      </c>
      <c r="CF54" s="176">
        <v>4000</v>
      </c>
      <c r="CG54" s="176">
        <v>4000</v>
      </c>
      <c r="CH54" s="176">
        <v>4000</v>
      </c>
      <c r="CI54" s="176">
        <v>4000</v>
      </c>
      <c r="CJ54" s="176">
        <v>4000</v>
      </c>
      <c r="CK54" s="176">
        <v>4000</v>
      </c>
      <c r="CL54" s="176">
        <v>4000</v>
      </c>
      <c r="CM54" s="176">
        <v>4000</v>
      </c>
      <c r="CN54" s="176">
        <v>4000</v>
      </c>
      <c r="CO54" s="176">
        <v>4000</v>
      </c>
      <c r="CP54" s="176">
        <v>4000</v>
      </c>
      <c r="CQ54" s="176">
        <v>4000</v>
      </c>
      <c r="CR54" s="176">
        <v>4000</v>
      </c>
      <c r="CS54" s="176">
        <v>4000</v>
      </c>
      <c r="CT54" s="176">
        <v>4000</v>
      </c>
      <c r="CU54" s="176">
        <v>4000</v>
      </c>
      <c r="CV54" s="176">
        <v>4000</v>
      </c>
      <c r="CW54" s="176">
        <v>4000</v>
      </c>
      <c r="CX54" s="176">
        <v>4000</v>
      </c>
      <c r="CY54" s="176">
        <v>4000</v>
      </c>
      <c r="CZ54" s="176">
        <v>4000</v>
      </c>
      <c r="DA54" s="176">
        <v>4000</v>
      </c>
      <c r="DB54" s="176">
        <v>4000</v>
      </c>
      <c r="DC54" s="176">
        <v>4000</v>
      </c>
      <c r="DD54" s="176">
        <v>4000</v>
      </c>
      <c r="DE54" s="176">
        <v>4000</v>
      </c>
      <c r="DF54" s="176">
        <v>4000</v>
      </c>
      <c r="DG54" s="176">
        <v>4000</v>
      </c>
      <c r="DH54" s="176">
        <v>4000</v>
      </c>
      <c r="DI54" s="176">
        <v>4000</v>
      </c>
      <c r="DJ54" s="176">
        <v>4000</v>
      </c>
      <c r="DK54" s="176">
        <v>3784.235115614988</v>
      </c>
      <c r="DL54" s="176">
        <v>3586.9701530341054</v>
      </c>
      <c r="DM54" s="176">
        <v>3416.2578062768453</v>
      </c>
      <c r="DN54" s="176">
        <v>3269.2052631897363</v>
      </c>
      <c r="DO54" s="176">
        <v>3143.3309208060264</v>
      </c>
      <c r="DP54" s="176">
        <v>3036.5042505193187</v>
      </c>
      <c r="DQ54" s="176">
        <v>2946.8760233073881</v>
      </c>
      <c r="DR54" s="176">
        <v>2872.8388720490038</v>
      </c>
      <c r="DS54" s="176">
        <v>2812.9861008267435</v>
      </c>
      <c r="DT54" s="176">
        <v>2766.0796170997405</v>
      </c>
      <c r="DU54" s="176">
        <v>2731.0240250172128</v>
      </c>
      <c r="DV54" s="176">
        <v>2706.8460049040632</v>
      </c>
      <c r="DW54" s="176">
        <v>2692.6781820505739</v>
      </c>
      <c r="DX54" s="176">
        <v>2687.7467435934159</v>
      </c>
      <c r="DY54" s="176">
        <v>2691.3621119077043</v>
      </c>
      <c r="DZ54" s="176">
        <v>2702.9120421507632</v>
      </c>
      <c r="EA54" s="176">
        <v>2721.8565914026176</v>
      </c>
      <c r="EB54" s="176">
        <v>2747.7245046063408</v>
      </c>
      <c r="EC54" s="176">
        <v>2780.1106547914846</v>
      </c>
      <c r="ED54" s="176">
        <v>2818.6742281359734</v>
      </c>
      <c r="EE54" s="176">
        <v>2863.1373468182628</v>
      </c>
      <c r="EF54" s="176">
        <v>2913.2838079105068</v>
      </c>
      <c r="EG54" s="176">
        <v>2968.9576385342407</v>
      </c>
      <c r="EH54" s="176">
        <v>3030.0612472291273</v>
      </c>
      <c r="EI54" s="176">
        <v>3096.5530604982951</v>
      </c>
      <c r="EJ54" s="176">
        <v>3168.4446289928096</v>
      </c>
      <c r="EK54" s="176">
        <v>3245.7972512863785</v>
      </c>
      <c r="EL54" s="176">
        <v>3328.7182061925778</v>
      </c>
      <c r="EM54" s="176">
        <v>3417.3567346658583</v>
      </c>
      <c r="EN54" s="176">
        <v>3511.9020236333799</v>
      </c>
      <c r="EO54" s="176">
        <v>3612.5711869006241</v>
      </c>
      <c r="EP54" t="str">
        <f t="shared" si="0"/>
        <v>1y 83d</v>
      </c>
      <c r="ES54" s="258"/>
      <c r="ET54" s="258"/>
      <c r="EU54" s="258"/>
      <c r="EV54" s="258"/>
      <c r="EW54" s="258"/>
      <c r="EX54" s="258"/>
    </row>
    <row r="55" spans="2:154" x14ac:dyDescent="0.25">
      <c r="B55" s="9">
        <v>52</v>
      </c>
      <c r="D55">
        <v>4693807.7445808118</v>
      </c>
      <c r="E55" s="12">
        <v>13574346895.255716</v>
      </c>
      <c r="F55" s="12">
        <v>832322867.62986696</v>
      </c>
      <c r="G55" s="12">
        <v>0</v>
      </c>
      <c r="H55" s="12">
        <v>8814665.8037984837</v>
      </c>
      <c r="I55" s="12">
        <v>-14849771186.695179</v>
      </c>
      <c r="J55" s="12">
        <v>12900750810.14953</v>
      </c>
      <c r="K55" s="12">
        <v>1263837.9362055291</v>
      </c>
      <c r="L55" s="12">
        <v>2724302.6704131733</v>
      </c>
      <c r="M55" s="12">
        <v>8025243902.217001</v>
      </c>
      <c r="N55" s="12">
        <v>-14834217099.818335</v>
      </c>
      <c r="O55" s="12">
        <v>56552508.030996606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S55" s="6">
        <v>11165176.370996105</v>
      </c>
      <c r="AT55" s="176">
        <v>4000</v>
      </c>
      <c r="AU55" s="176">
        <v>4000</v>
      </c>
      <c r="AV55" s="176">
        <v>4000</v>
      </c>
      <c r="AW55" s="176">
        <v>4000</v>
      </c>
      <c r="AX55" s="176">
        <v>4000</v>
      </c>
      <c r="AY55" s="176">
        <v>4000</v>
      </c>
      <c r="AZ55" s="176">
        <v>4000</v>
      </c>
      <c r="BA55" s="176">
        <v>4000</v>
      </c>
      <c r="BB55" s="176">
        <v>4000</v>
      </c>
      <c r="BC55" s="176">
        <v>4000</v>
      </c>
      <c r="BD55" s="176">
        <v>4000</v>
      </c>
      <c r="BE55" s="176">
        <v>4000</v>
      </c>
      <c r="BF55" s="176">
        <v>4000</v>
      </c>
      <c r="BG55" s="176">
        <v>4000</v>
      </c>
      <c r="BH55" s="176">
        <v>4000</v>
      </c>
      <c r="BI55" s="176">
        <v>4000</v>
      </c>
      <c r="BJ55" s="176">
        <v>4000</v>
      </c>
      <c r="BK55" s="176">
        <v>4000</v>
      </c>
      <c r="BL55" s="176">
        <v>4000</v>
      </c>
      <c r="BM55" s="176">
        <v>4000</v>
      </c>
      <c r="BN55" s="176">
        <v>4000</v>
      </c>
      <c r="BO55" s="176">
        <v>4000</v>
      </c>
      <c r="BP55" s="176">
        <v>4000</v>
      </c>
      <c r="BQ55" s="176">
        <v>4000</v>
      </c>
      <c r="BR55" s="176">
        <v>4000</v>
      </c>
      <c r="BS55" s="176">
        <v>4000</v>
      </c>
      <c r="BT55" s="176">
        <v>4000</v>
      </c>
      <c r="BU55" s="176">
        <v>4000</v>
      </c>
      <c r="BV55" s="176">
        <v>4000</v>
      </c>
      <c r="BW55" s="176">
        <v>4000</v>
      </c>
      <c r="BX55" s="176">
        <v>4000</v>
      </c>
      <c r="BY55" s="176">
        <v>4000</v>
      </c>
      <c r="BZ55" s="176">
        <v>4000</v>
      </c>
      <c r="CA55" s="176">
        <v>4000</v>
      </c>
      <c r="CB55" s="176">
        <v>4000</v>
      </c>
      <c r="CC55" s="176">
        <v>4000</v>
      </c>
      <c r="CD55" s="176">
        <v>4000</v>
      </c>
      <c r="CE55" s="176">
        <v>4000</v>
      </c>
      <c r="CF55" s="176">
        <v>4000</v>
      </c>
      <c r="CG55" s="176">
        <v>4000</v>
      </c>
      <c r="CH55" s="176">
        <v>4000</v>
      </c>
      <c r="CI55" s="176">
        <v>4000</v>
      </c>
      <c r="CJ55" s="176">
        <v>4000</v>
      </c>
      <c r="CK55" s="176">
        <v>4000</v>
      </c>
      <c r="CL55" s="176">
        <v>4000</v>
      </c>
      <c r="CM55" s="176">
        <v>4000</v>
      </c>
      <c r="CN55" s="176">
        <v>4000</v>
      </c>
      <c r="CO55" s="176">
        <v>4000</v>
      </c>
      <c r="CP55" s="176">
        <v>4000</v>
      </c>
      <c r="CQ55" s="176">
        <v>4000</v>
      </c>
      <c r="CR55" s="176">
        <v>4000</v>
      </c>
      <c r="CS55" s="176">
        <v>4000</v>
      </c>
      <c r="CT55" s="176">
        <v>4000</v>
      </c>
      <c r="CU55" s="176">
        <v>4000</v>
      </c>
      <c r="CV55" s="176">
        <v>4000</v>
      </c>
      <c r="CW55" s="176">
        <v>4000</v>
      </c>
      <c r="CX55" s="176">
        <v>4000</v>
      </c>
      <c r="CY55" s="176">
        <v>4000</v>
      </c>
      <c r="CZ55" s="176">
        <v>4000</v>
      </c>
      <c r="DA55" s="176">
        <v>4000</v>
      </c>
      <c r="DB55" s="176">
        <v>4000</v>
      </c>
      <c r="DC55" s="176">
        <v>4000</v>
      </c>
      <c r="DD55" s="176">
        <v>4000</v>
      </c>
      <c r="DE55" s="176">
        <v>4000</v>
      </c>
      <c r="DF55" s="176">
        <v>4000</v>
      </c>
      <c r="DG55" s="176">
        <v>4000</v>
      </c>
      <c r="DH55" s="176">
        <v>4000</v>
      </c>
      <c r="DI55" s="176">
        <v>4000</v>
      </c>
      <c r="DJ55" s="176">
        <v>4000</v>
      </c>
      <c r="DK55" s="176">
        <v>4000</v>
      </c>
      <c r="DL55" s="176">
        <v>3849.0018659645093</v>
      </c>
      <c r="DM55" s="176">
        <v>3655.8860621993799</v>
      </c>
      <c r="DN55" s="176">
        <v>3489.1493216422814</v>
      </c>
      <c r="DO55" s="176">
        <v>3345.8410417069804</v>
      </c>
      <c r="DP55" s="176">
        <v>3223.4339320115309</v>
      </c>
      <c r="DQ55" s="176">
        <v>3119.7417157673804</v>
      </c>
      <c r="DR55" s="176">
        <v>3032.8711970298068</v>
      </c>
      <c r="DS55" s="176">
        <v>2961.1734141933684</v>
      </c>
      <c r="DT55" s="176">
        <v>2903.2054815961646</v>
      </c>
      <c r="DU55" s="176">
        <v>2857.6996657074737</v>
      </c>
      <c r="DV55" s="176">
        <v>2823.5385732924883</v>
      </c>
      <c r="DW55" s="176">
        <v>2799.7354641813313</v>
      </c>
      <c r="DX55" s="176">
        <v>2785.4188062133817</v>
      </c>
      <c r="DY55" s="176">
        <v>2779.8202783050365</v>
      </c>
      <c r="DZ55" s="176">
        <v>2782.2655119938281</v>
      </c>
      <c r="EA55" s="176">
        <v>2792.1669526451765</v>
      </c>
      <c r="EB55" s="176">
        <v>2809.018323147875</v>
      </c>
      <c r="EC55" s="176">
        <v>2832.3902774926455</v>
      </c>
      <c r="ED55" s="176">
        <v>2861.9269170917132</v>
      </c>
      <c r="EE55" s="176">
        <v>2897.3428857326353</v>
      </c>
      <c r="EF55" s="176">
        <v>2938.4207605085562</v>
      </c>
      <c r="EG55" s="176">
        <v>2985.008452008562</v>
      </c>
      <c r="EH55" s="176">
        <v>3037.0163619855352</v>
      </c>
      <c r="EI55" s="176">
        <v>3094.4141314617691</v>
      </c>
      <c r="EJ55" s="176">
        <v>3157.2269161431414</v>
      </c>
      <c r="EK55" s="176">
        <v>3225.5312105378289</v>
      </c>
      <c r="EL55" s="176">
        <v>3299.4502934824218</v>
      </c>
      <c r="EM55" s="176">
        <v>3379.149399378216</v>
      </c>
      <c r="EN55" s="176">
        <v>3464.8307580992446</v>
      </c>
      <c r="EO55" s="176">
        <v>3556.7306667700491</v>
      </c>
      <c r="EP55" t="str">
        <f t="shared" si="0"/>
        <v>1y 91d</v>
      </c>
      <c r="ES55" s="258"/>
      <c r="ET55" s="258"/>
      <c r="EU55" s="258"/>
      <c r="EV55" s="258"/>
      <c r="EW55" s="258"/>
      <c r="EX55" s="258"/>
    </row>
    <row r="56" spans="2:154" x14ac:dyDescent="0.25">
      <c r="B56" s="9">
        <v>53</v>
      </c>
      <c r="D56">
        <v>4785843.1905529844</v>
      </c>
      <c r="E56" s="12">
        <v>13495299037.147923</v>
      </c>
      <c r="F56" s="12">
        <v>1683020762.4008973</v>
      </c>
      <c r="G56" s="12">
        <v>0</v>
      </c>
      <c r="H56" s="12">
        <v>8970879.3934359383</v>
      </c>
      <c r="I56" s="12">
        <v>-15634930356.167444</v>
      </c>
      <c r="J56" s="12">
        <v>11946244996.193602</v>
      </c>
      <c r="K56" s="12">
        <v>2553071.6251586382</v>
      </c>
      <c r="L56" s="12">
        <v>2795359.6835725899</v>
      </c>
      <c r="M56" s="12">
        <v>8596331009.2871265</v>
      </c>
      <c r="N56" s="12">
        <v>-14658589850.583225</v>
      </c>
      <c r="O56" s="12">
        <v>56572343.404733442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G56" s="208" t="s">
        <v>69</v>
      </c>
      <c r="AH56" s="208"/>
      <c r="AI56" s="208"/>
      <c r="AS56" s="6">
        <v>11344045.132420156</v>
      </c>
      <c r="AT56" s="176">
        <v>4000</v>
      </c>
      <c r="AU56" s="176">
        <v>4000</v>
      </c>
      <c r="AV56" s="176">
        <v>4000</v>
      </c>
      <c r="AW56" s="176">
        <v>4000</v>
      </c>
      <c r="AX56" s="176">
        <v>4000</v>
      </c>
      <c r="AY56" s="176">
        <v>4000</v>
      </c>
      <c r="AZ56" s="176">
        <v>4000</v>
      </c>
      <c r="BA56" s="176">
        <v>4000</v>
      </c>
      <c r="BB56" s="176">
        <v>4000</v>
      </c>
      <c r="BC56" s="176">
        <v>4000</v>
      </c>
      <c r="BD56" s="176">
        <v>4000</v>
      </c>
      <c r="BE56" s="176">
        <v>4000</v>
      </c>
      <c r="BF56" s="176">
        <v>4000</v>
      </c>
      <c r="BG56" s="176">
        <v>4000</v>
      </c>
      <c r="BH56" s="176">
        <v>4000</v>
      </c>
      <c r="BI56" s="176">
        <v>4000</v>
      </c>
      <c r="BJ56" s="176">
        <v>4000</v>
      </c>
      <c r="BK56" s="176">
        <v>4000</v>
      </c>
      <c r="BL56" s="176">
        <v>4000</v>
      </c>
      <c r="BM56" s="176">
        <v>4000</v>
      </c>
      <c r="BN56" s="176">
        <v>4000</v>
      </c>
      <c r="BO56" s="176">
        <v>4000</v>
      </c>
      <c r="BP56" s="176">
        <v>4000</v>
      </c>
      <c r="BQ56" s="176">
        <v>4000</v>
      </c>
      <c r="BR56" s="176">
        <v>4000</v>
      </c>
      <c r="BS56" s="176">
        <v>4000</v>
      </c>
      <c r="BT56" s="176">
        <v>4000</v>
      </c>
      <c r="BU56" s="176">
        <v>4000</v>
      </c>
      <c r="BV56" s="176">
        <v>4000</v>
      </c>
      <c r="BW56" s="176">
        <v>4000</v>
      </c>
      <c r="BX56" s="176">
        <v>4000</v>
      </c>
      <c r="BY56" s="176">
        <v>4000</v>
      </c>
      <c r="BZ56" s="176">
        <v>4000</v>
      </c>
      <c r="CA56" s="176">
        <v>4000</v>
      </c>
      <c r="CB56" s="176">
        <v>4000</v>
      </c>
      <c r="CC56" s="176">
        <v>4000</v>
      </c>
      <c r="CD56" s="176">
        <v>4000</v>
      </c>
      <c r="CE56" s="176">
        <v>4000</v>
      </c>
      <c r="CF56" s="176">
        <v>4000</v>
      </c>
      <c r="CG56" s="176">
        <v>4000</v>
      </c>
      <c r="CH56" s="176">
        <v>4000</v>
      </c>
      <c r="CI56" s="176">
        <v>4000</v>
      </c>
      <c r="CJ56" s="176">
        <v>4000</v>
      </c>
      <c r="CK56" s="176">
        <v>4000</v>
      </c>
      <c r="CL56" s="176">
        <v>4000</v>
      </c>
      <c r="CM56" s="176">
        <v>4000</v>
      </c>
      <c r="CN56" s="176">
        <v>4000</v>
      </c>
      <c r="CO56" s="176">
        <v>4000</v>
      </c>
      <c r="CP56" s="176">
        <v>4000</v>
      </c>
      <c r="CQ56" s="176">
        <v>4000</v>
      </c>
      <c r="CR56" s="176">
        <v>4000</v>
      </c>
      <c r="CS56" s="176">
        <v>4000</v>
      </c>
      <c r="CT56" s="176">
        <v>4000</v>
      </c>
      <c r="CU56" s="176">
        <v>4000</v>
      </c>
      <c r="CV56" s="176">
        <v>4000</v>
      </c>
      <c r="CW56" s="176">
        <v>4000</v>
      </c>
      <c r="CX56" s="176">
        <v>4000</v>
      </c>
      <c r="CY56" s="176">
        <v>4000</v>
      </c>
      <c r="CZ56" s="176">
        <v>4000</v>
      </c>
      <c r="DA56" s="176">
        <v>4000</v>
      </c>
      <c r="DB56" s="176">
        <v>4000</v>
      </c>
      <c r="DC56" s="176">
        <v>4000</v>
      </c>
      <c r="DD56" s="176">
        <v>4000</v>
      </c>
      <c r="DE56" s="176">
        <v>4000</v>
      </c>
      <c r="DF56" s="176">
        <v>4000</v>
      </c>
      <c r="DG56" s="176">
        <v>4000</v>
      </c>
      <c r="DH56" s="176">
        <v>4000</v>
      </c>
      <c r="DI56" s="176">
        <v>4000</v>
      </c>
      <c r="DJ56" s="176">
        <v>4000</v>
      </c>
      <c r="DK56" s="176">
        <v>4000</v>
      </c>
      <c r="DL56" s="176">
        <v>4000</v>
      </c>
      <c r="DM56" s="176">
        <v>3930.3732133076173</v>
      </c>
      <c r="DN56" s="176">
        <v>3740.2356474735629</v>
      </c>
      <c r="DO56" s="176">
        <v>3576.28441016223</v>
      </c>
      <c r="DP56" s="176">
        <v>3435.5073971650509</v>
      </c>
      <c r="DQ56" s="176">
        <v>3315.3175461084052</v>
      </c>
      <c r="DR56" s="176">
        <v>3213.4819570829723</v>
      </c>
      <c r="DS56" s="176">
        <v>3128.065407469895</v>
      </c>
      <c r="DT56" s="176">
        <v>3057.3841958798494</v>
      </c>
      <c r="DU56" s="176">
        <v>2999.9686431289756</v>
      </c>
      <c r="DV56" s="176">
        <v>2954.5328230248078</v>
      </c>
      <c r="DW56" s="176">
        <v>2919.9502941133997</v>
      </c>
      <c r="DX56" s="176">
        <v>2895.2347644465326</v>
      </c>
      <c r="DY56" s="176">
        <v>2879.5247557707298</v>
      </c>
      <c r="DZ56" s="176">
        <v>2872.0714518416717</v>
      </c>
      <c r="EA56" s="176">
        <v>2872.2290270940966</v>
      </c>
      <c r="EB56" s="176">
        <v>2879.4468635132621</v>
      </c>
      <c r="EC56" s="176">
        <v>2893.2631764522434</v>
      </c>
      <c r="ED56" s="176">
        <v>2913.2996755689978</v>
      </c>
      <c r="EE56" s="176">
        <v>2939.2569665447677</v>
      </c>
      <c r="EF56" s="176">
        <v>2970.9104365813582</v>
      </c>
      <c r="EG56" s="176">
        <v>3008.1063681175838</v>
      </c>
      <c r="EH56" s="176">
        <v>3050.7580258731405</v>
      </c>
      <c r="EI56" s="176">
        <v>3098.8415015532032</v>
      </c>
      <c r="EJ56" s="176">
        <v>3152.3911855448719</v>
      </c>
      <c r="EK56" s="176">
        <v>3211.4948351547137</v>
      </c>
      <c r="EL56" s="176">
        <v>3276.2882871976635</v>
      </c>
      <c r="EM56" s="176">
        <v>3346.949906240005</v>
      </c>
      <c r="EN56" s="176">
        <v>3423.6948825788841</v>
      </c>
      <c r="EO56" s="176">
        <v>3506.7695225534208</v>
      </c>
      <c r="EP56" t="str">
        <f t="shared" si="0"/>
        <v>1y 99d</v>
      </c>
      <c r="ES56" s="258"/>
      <c r="ET56" s="258"/>
      <c r="EU56" s="258"/>
      <c r="EV56" s="258"/>
      <c r="EW56" s="258"/>
      <c r="EX56" s="258"/>
    </row>
    <row r="57" spans="2:154" x14ac:dyDescent="0.25">
      <c r="B57" s="9">
        <v>54</v>
      </c>
      <c r="D57">
        <v>4877878.6365251569</v>
      </c>
      <c r="E57" s="12">
        <v>13362991399.156172</v>
      </c>
      <c r="F57" s="12">
        <v>2527076543.121778</v>
      </c>
      <c r="G57" s="12">
        <v>0</v>
      </c>
      <c r="H57" s="12">
        <v>9127211.0698508266</v>
      </c>
      <c r="I57" s="12">
        <v>-16361923397.150747</v>
      </c>
      <c r="J57" s="12">
        <v>10946121280.055868</v>
      </c>
      <c r="K57" s="12">
        <v>3833684.5826880145</v>
      </c>
      <c r="L57" s="12">
        <v>2867495.6178416526</v>
      </c>
      <c r="M57" s="12">
        <v>9165483707.2459202</v>
      </c>
      <c r="N57" s="12">
        <v>-14462212651.772821</v>
      </c>
      <c r="O57" s="12">
        <v>56522689.641427815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G57" s="21" t="s">
        <v>22</v>
      </c>
      <c r="AH57" s="21" t="s">
        <v>23</v>
      </c>
      <c r="AI57" s="21" t="s">
        <v>26</v>
      </c>
      <c r="AS57" s="6">
        <v>11522913.893844208</v>
      </c>
      <c r="AT57" s="176">
        <v>4000</v>
      </c>
      <c r="AU57" s="176">
        <v>4000</v>
      </c>
      <c r="AV57" s="176">
        <v>4000</v>
      </c>
      <c r="AW57" s="176">
        <v>4000</v>
      </c>
      <c r="AX57" s="176">
        <v>4000</v>
      </c>
      <c r="AY57" s="176">
        <v>4000</v>
      </c>
      <c r="AZ57" s="176">
        <v>4000</v>
      </c>
      <c r="BA57" s="176">
        <v>4000</v>
      </c>
      <c r="BB57" s="176">
        <v>4000</v>
      </c>
      <c r="BC57" s="176">
        <v>4000</v>
      </c>
      <c r="BD57" s="176">
        <v>4000</v>
      </c>
      <c r="BE57" s="176">
        <v>4000</v>
      </c>
      <c r="BF57" s="176">
        <v>4000</v>
      </c>
      <c r="BG57" s="176">
        <v>4000</v>
      </c>
      <c r="BH57" s="176">
        <v>4000</v>
      </c>
      <c r="BI57" s="176">
        <v>4000</v>
      </c>
      <c r="BJ57" s="176">
        <v>4000</v>
      </c>
      <c r="BK57" s="176">
        <v>4000</v>
      </c>
      <c r="BL57" s="176">
        <v>4000</v>
      </c>
      <c r="BM57" s="176">
        <v>4000</v>
      </c>
      <c r="BN57" s="176">
        <v>4000</v>
      </c>
      <c r="BO57" s="176">
        <v>4000</v>
      </c>
      <c r="BP57" s="176">
        <v>4000</v>
      </c>
      <c r="BQ57" s="176">
        <v>4000</v>
      </c>
      <c r="BR57" s="176">
        <v>4000</v>
      </c>
      <c r="BS57" s="176">
        <v>4000</v>
      </c>
      <c r="BT57" s="176">
        <v>4000</v>
      </c>
      <c r="BU57" s="176">
        <v>4000</v>
      </c>
      <c r="BV57" s="176">
        <v>4000</v>
      </c>
      <c r="BW57" s="176">
        <v>4000</v>
      </c>
      <c r="BX57" s="176">
        <v>4000</v>
      </c>
      <c r="BY57" s="176">
        <v>4000</v>
      </c>
      <c r="BZ57" s="176">
        <v>4000</v>
      </c>
      <c r="CA57" s="176">
        <v>4000</v>
      </c>
      <c r="CB57" s="176">
        <v>4000</v>
      </c>
      <c r="CC57" s="176">
        <v>4000</v>
      </c>
      <c r="CD57" s="176">
        <v>4000</v>
      </c>
      <c r="CE57" s="176">
        <v>4000</v>
      </c>
      <c r="CF57" s="176">
        <v>4000</v>
      </c>
      <c r="CG57" s="176">
        <v>4000</v>
      </c>
      <c r="CH57" s="176">
        <v>4000</v>
      </c>
      <c r="CI57" s="176">
        <v>4000</v>
      </c>
      <c r="CJ57" s="176">
        <v>4000</v>
      </c>
      <c r="CK57" s="176">
        <v>4000</v>
      </c>
      <c r="CL57" s="176">
        <v>4000</v>
      </c>
      <c r="CM57" s="176">
        <v>4000</v>
      </c>
      <c r="CN57" s="176">
        <v>4000</v>
      </c>
      <c r="CO57" s="176">
        <v>4000</v>
      </c>
      <c r="CP57" s="176">
        <v>4000</v>
      </c>
      <c r="CQ57" s="176">
        <v>4000</v>
      </c>
      <c r="CR57" s="176">
        <v>4000</v>
      </c>
      <c r="CS57" s="176">
        <v>4000</v>
      </c>
      <c r="CT57" s="176">
        <v>4000</v>
      </c>
      <c r="CU57" s="176">
        <v>4000</v>
      </c>
      <c r="CV57" s="176">
        <v>4000</v>
      </c>
      <c r="CW57" s="176">
        <v>4000</v>
      </c>
      <c r="CX57" s="176">
        <v>4000</v>
      </c>
      <c r="CY57" s="176">
        <v>4000</v>
      </c>
      <c r="CZ57" s="176">
        <v>4000</v>
      </c>
      <c r="DA57" s="176">
        <v>4000</v>
      </c>
      <c r="DB57" s="176">
        <v>4000</v>
      </c>
      <c r="DC57" s="176">
        <v>4000</v>
      </c>
      <c r="DD57" s="176">
        <v>4000</v>
      </c>
      <c r="DE57" s="176">
        <v>4000</v>
      </c>
      <c r="DF57" s="176">
        <v>4000</v>
      </c>
      <c r="DG57" s="176">
        <v>4000</v>
      </c>
      <c r="DH57" s="176">
        <v>4000</v>
      </c>
      <c r="DI57" s="176">
        <v>4000</v>
      </c>
      <c r="DJ57" s="176">
        <v>4000</v>
      </c>
      <c r="DK57" s="176">
        <v>4000</v>
      </c>
      <c r="DL57" s="176">
        <v>4000</v>
      </c>
      <c r="DM57" s="176">
        <v>4000</v>
      </c>
      <c r="DN57" s="176">
        <v>4000</v>
      </c>
      <c r="DO57" s="176">
        <v>3839.7767853929818</v>
      </c>
      <c r="DP57" s="176">
        <v>3677.2007997243309</v>
      </c>
      <c r="DQ57" s="176">
        <v>3537.5348420688019</v>
      </c>
      <c r="DR57" s="176">
        <v>3418.136072809275</v>
      </c>
      <c r="DS57" s="176">
        <v>3316.7256752690291</v>
      </c>
      <c r="DT57" s="176">
        <v>3231.3322417467116</v>
      </c>
      <c r="DU57" s="176">
        <v>3160.2456783303005</v>
      </c>
      <c r="DV57" s="176">
        <v>3101.9798311046179</v>
      </c>
      <c r="DW57" s="176">
        <v>3055.2423008677888</v>
      </c>
      <c r="DX57" s="176">
        <v>3018.9101371926868</v>
      </c>
      <c r="DY57" s="176">
        <v>2992.0102913178243</v>
      </c>
      <c r="DZ57" s="176">
        <v>2973.7038689043793</v>
      </c>
      <c r="EA57" s="176">
        <v>2963.273366191348</v>
      </c>
      <c r="EB57" s="176">
        <v>2960.1122037051291</v>
      </c>
      <c r="EC57" s="176">
        <v>2963.715995608607</v>
      </c>
      <c r="ED57" s="176">
        <v>2973.6751104395407</v>
      </c>
      <c r="EE57" s="176">
        <v>2989.6681827118973</v>
      </c>
      <c r="EF57" s="176">
        <v>3011.4563095500394</v>
      </c>
      <c r="EG57" s="176">
        <v>3038.8777000117711</v>
      </c>
      <c r="EH57" s="176">
        <v>3071.8425449969582</v>
      </c>
      <c r="EI57" s="176">
        <v>3110.3278763829348</v>
      </c>
      <c r="EJ57" s="176">
        <v>3154.3722229209329</v>
      </c>
      <c r="EK57" s="176">
        <v>3204.0699547674508</v>
      </c>
      <c r="EL57" s="176">
        <v>3259.5653081586715</v>
      </c>
      <c r="EM57" s="176">
        <v>3321.0461581875861</v>
      </c>
      <c r="EN57" s="176">
        <v>3388.7376466044034</v>
      </c>
      <c r="EO57" s="176">
        <v>3462.8957870531394</v>
      </c>
      <c r="EP57" t="str">
        <f t="shared" si="0"/>
        <v>1y 107d</v>
      </c>
    </row>
    <row r="58" spans="2:154" x14ac:dyDescent="0.25">
      <c r="B58" s="9">
        <v>55</v>
      </c>
      <c r="D58">
        <v>4969914.0824973295</v>
      </c>
      <c r="E58" s="12">
        <v>13177946139.082008</v>
      </c>
      <c r="F58" s="12">
        <v>3361159107.2384124</v>
      </c>
      <c r="G58" s="12">
        <v>0</v>
      </c>
      <c r="H58" s="12">
        <v>9283720.2325697318</v>
      </c>
      <c r="I58" s="12">
        <v>-17028209191.774885</v>
      </c>
      <c r="J58" s="12">
        <v>9903697334.5885296</v>
      </c>
      <c r="K58" s="12">
        <v>5101333.6342071341</v>
      </c>
      <c r="L58" s="12">
        <v>2940729.3202362224</v>
      </c>
      <c r="M58" s="12">
        <v>9731904161.0925159</v>
      </c>
      <c r="N58" s="12">
        <v>-14244870685.453915</v>
      </c>
      <c r="O58" s="12">
        <v>56402022.349776283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G58" s="20">
        <v>0</v>
      </c>
      <c r="AH58" s="20">
        <v>0</v>
      </c>
      <c r="AI58" s="20">
        <v>0</v>
      </c>
      <c r="AS58" s="6">
        <v>11701782.655268259</v>
      </c>
      <c r="AT58" s="176">
        <v>4000</v>
      </c>
      <c r="AU58" s="176">
        <v>4000</v>
      </c>
      <c r="AV58" s="176">
        <v>4000</v>
      </c>
      <c r="AW58" s="176">
        <v>4000</v>
      </c>
      <c r="AX58" s="176">
        <v>4000</v>
      </c>
      <c r="AY58" s="176">
        <v>4000</v>
      </c>
      <c r="AZ58" s="176">
        <v>4000</v>
      </c>
      <c r="BA58" s="176">
        <v>4000</v>
      </c>
      <c r="BB58" s="176">
        <v>4000</v>
      </c>
      <c r="BC58" s="176">
        <v>4000</v>
      </c>
      <c r="BD58" s="176">
        <v>4000</v>
      </c>
      <c r="BE58" s="176">
        <v>4000</v>
      </c>
      <c r="BF58" s="176">
        <v>4000</v>
      </c>
      <c r="BG58" s="176">
        <v>4000</v>
      </c>
      <c r="BH58" s="176">
        <v>4000</v>
      </c>
      <c r="BI58" s="176">
        <v>4000</v>
      </c>
      <c r="BJ58" s="176">
        <v>4000</v>
      </c>
      <c r="BK58" s="176">
        <v>4000</v>
      </c>
      <c r="BL58" s="176">
        <v>4000</v>
      </c>
      <c r="BM58" s="176">
        <v>4000</v>
      </c>
      <c r="BN58" s="176">
        <v>4000</v>
      </c>
      <c r="BO58" s="176">
        <v>4000</v>
      </c>
      <c r="BP58" s="176">
        <v>4000</v>
      </c>
      <c r="BQ58" s="176">
        <v>4000</v>
      </c>
      <c r="BR58" s="176">
        <v>4000</v>
      </c>
      <c r="BS58" s="176">
        <v>4000</v>
      </c>
      <c r="BT58" s="176">
        <v>4000</v>
      </c>
      <c r="BU58" s="176">
        <v>4000</v>
      </c>
      <c r="BV58" s="176">
        <v>4000</v>
      </c>
      <c r="BW58" s="176">
        <v>4000</v>
      </c>
      <c r="BX58" s="176">
        <v>4000</v>
      </c>
      <c r="BY58" s="176">
        <v>4000</v>
      </c>
      <c r="BZ58" s="176">
        <v>4000</v>
      </c>
      <c r="CA58" s="176">
        <v>4000</v>
      </c>
      <c r="CB58" s="176">
        <v>4000</v>
      </c>
      <c r="CC58" s="176">
        <v>4000</v>
      </c>
      <c r="CD58" s="176">
        <v>4000</v>
      </c>
      <c r="CE58" s="176">
        <v>4000</v>
      </c>
      <c r="CF58" s="176">
        <v>4000</v>
      </c>
      <c r="CG58" s="176">
        <v>4000</v>
      </c>
      <c r="CH58" s="176">
        <v>4000</v>
      </c>
      <c r="CI58" s="176">
        <v>4000</v>
      </c>
      <c r="CJ58" s="176">
        <v>4000</v>
      </c>
      <c r="CK58" s="176">
        <v>4000</v>
      </c>
      <c r="CL58" s="176">
        <v>4000</v>
      </c>
      <c r="CM58" s="176">
        <v>4000</v>
      </c>
      <c r="CN58" s="176">
        <v>4000</v>
      </c>
      <c r="CO58" s="176">
        <v>4000</v>
      </c>
      <c r="CP58" s="176">
        <v>4000</v>
      </c>
      <c r="CQ58" s="176">
        <v>4000</v>
      </c>
      <c r="CR58" s="176">
        <v>4000</v>
      </c>
      <c r="CS58" s="176">
        <v>4000</v>
      </c>
      <c r="CT58" s="176">
        <v>4000</v>
      </c>
      <c r="CU58" s="176">
        <v>4000</v>
      </c>
      <c r="CV58" s="176">
        <v>4000</v>
      </c>
      <c r="CW58" s="176">
        <v>4000</v>
      </c>
      <c r="CX58" s="176">
        <v>4000</v>
      </c>
      <c r="CY58" s="176">
        <v>4000</v>
      </c>
      <c r="CZ58" s="176">
        <v>4000</v>
      </c>
      <c r="DA58" s="176">
        <v>4000</v>
      </c>
      <c r="DB58" s="176">
        <v>4000</v>
      </c>
      <c r="DC58" s="176">
        <v>4000</v>
      </c>
      <c r="DD58" s="176">
        <v>4000</v>
      </c>
      <c r="DE58" s="176">
        <v>4000</v>
      </c>
      <c r="DF58" s="176">
        <v>4000</v>
      </c>
      <c r="DG58" s="176">
        <v>4000</v>
      </c>
      <c r="DH58" s="176">
        <v>4000</v>
      </c>
      <c r="DI58" s="176">
        <v>4000</v>
      </c>
      <c r="DJ58" s="176">
        <v>4000</v>
      </c>
      <c r="DK58" s="176">
        <v>4000</v>
      </c>
      <c r="DL58" s="176">
        <v>4000</v>
      </c>
      <c r="DM58" s="176">
        <v>4000</v>
      </c>
      <c r="DN58" s="176">
        <v>4000</v>
      </c>
      <c r="DO58" s="176">
        <v>4000</v>
      </c>
      <c r="DP58" s="176">
        <v>3953.9930890606292</v>
      </c>
      <c r="DQ58" s="176">
        <v>3791.1724258552049</v>
      </c>
      <c r="DR58" s="176">
        <v>3651.0159629203927</v>
      </c>
      <c r="DS58" s="176">
        <v>3530.8261720776054</v>
      </c>
      <c r="DT58" s="176">
        <v>3428.2825572569845</v>
      </c>
      <c r="DU58" s="176">
        <v>3341.3843347045849</v>
      </c>
      <c r="DV58" s="176">
        <v>3268.4037992050471</v>
      </c>
      <c r="DW58" s="176">
        <v>3207.8484680183128</v>
      </c>
      <c r="DX58" s="176">
        <v>3158.4303840312205</v>
      </c>
      <c r="DY58" s="176">
        <v>3119.0412104991401</v>
      </c>
      <c r="DZ58" s="176">
        <v>3088.7319644271465</v>
      </c>
      <c r="EA58" s="176">
        <v>3066.6964199216991</v>
      </c>
      <c r="EB58" s="176">
        <v>3052.2573733093923</v>
      </c>
      <c r="EC58" s="176">
        <v>3044.8551047803157</v>
      </c>
      <c r="ED58" s="176">
        <v>3044.0375016570847</v>
      </c>
      <c r="EE58" s="176">
        <v>3049.4514270404225</v>
      </c>
      <c r="EF58" s="176">
        <v>3060.8350186199004</v>
      </c>
      <c r="EG58" s="176">
        <v>3078.0106732868589</v>
      </c>
      <c r="EH58" s="176">
        <v>3100.8785036715153</v>
      </c>
      <c r="EI58" s="176">
        <v>3129.4100507480985</v>
      </c>
      <c r="EJ58" s="176">
        <v>3163.6420350446715</v>
      </c>
      <c r="EK58" s="176">
        <v>3203.6699659798433</v>
      </c>
      <c r="EL58" s="176">
        <v>3249.6415138491434</v>
      </c>
      <c r="EM58" s="176">
        <v>3301.7496515618855</v>
      </c>
      <c r="EN58" s="176">
        <v>3360.2256515709823</v>
      </c>
      <c r="EO58" s="176">
        <v>3425.3320599936687</v>
      </c>
      <c r="EP58" t="str">
        <f t="shared" si="0"/>
        <v>1y 116d</v>
      </c>
    </row>
    <row r="59" spans="2:154" x14ac:dyDescent="0.25">
      <c r="B59" s="9">
        <v>56</v>
      </c>
      <c r="D59">
        <v>5061949.528469502</v>
      </c>
      <c r="E59" s="13">
        <v>12940893546.027809</v>
      </c>
      <c r="F59" s="13">
        <v>4181976711.9263067</v>
      </c>
      <c r="G59" s="13">
        <v>0</v>
      </c>
      <c r="H59" s="13">
        <v>9440465.8816253431</v>
      </c>
      <c r="I59" s="13">
        <v>-17631409050.947777</v>
      </c>
      <c r="J59" s="12">
        <v>8822422302.9550915</v>
      </c>
      <c r="K59" s="12">
        <v>6351696.6292792149</v>
      </c>
      <c r="L59" s="12">
        <v>3015078.6412649569</v>
      </c>
      <c r="M59" s="12">
        <v>10294763777.345406</v>
      </c>
      <c r="N59" s="12">
        <v>-14006377334.125557</v>
      </c>
      <c r="O59" s="12">
        <v>56208877.024124064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S59" s="6">
        <v>11880651.416692311</v>
      </c>
      <c r="AT59" s="176">
        <v>4000</v>
      </c>
      <c r="AU59" s="176">
        <v>4000</v>
      </c>
      <c r="AV59" s="176">
        <v>4000</v>
      </c>
      <c r="AW59" s="176">
        <v>4000</v>
      </c>
      <c r="AX59" s="176">
        <v>4000</v>
      </c>
      <c r="AY59" s="176">
        <v>4000</v>
      </c>
      <c r="AZ59" s="176">
        <v>4000</v>
      </c>
      <c r="BA59" s="176">
        <v>4000</v>
      </c>
      <c r="BB59" s="176">
        <v>4000</v>
      </c>
      <c r="BC59" s="176">
        <v>4000</v>
      </c>
      <c r="BD59" s="176">
        <v>4000</v>
      </c>
      <c r="BE59" s="176">
        <v>4000</v>
      </c>
      <c r="BF59" s="176">
        <v>4000</v>
      </c>
      <c r="BG59" s="176">
        <v>4000</v>
      </c>
      <c r="BH59" s="176">
        <v>4000</v>
      </c>
      <c r="BI59" s="176">
        <v>4000</v>
      </c>
      <c r="BJ59" s="176">
        <v>4000</v>
      </c>
      <c r="BK59" s="176">
        <v>4000</v>
      </c>
      <c r="BL59" s="176">
        <v>4000</v>
      </c>
      <c r="BM59" s="176">
        <v>4000</v>
      </c>
      <c r="BN59" s="176">
        <v>4000</v>
      </c>
      <c r="BO59" s="176">
        <v>4000</v>
      </c>
      <c r="BP59" s="176">
        <v>4000</v>
      </c>
      <c r="BQ59" s="176">
        <v>4000</v>
      </c>
      <c r="BR59" s="176">
        <v>4000</v>
      </c>
      <c r="BS59" s="176">
        <v>4000</v>
      </c>
      <c r="BT59" s="176">
        <v>4000</v>
      </c>
      <c r="BU59" s="176">
        <v>4000</v>
      </c>
      <c r="BV59" s="176">
        <v>4000</v>
      </c>
      <c r="BW59" s="176">
        <v>4000</v>
      </c>
      <c r="BX59" s="176">
        <v>4000</v>
      </c>
      <c r="BY59" s="176">
        <v>4000</v>
      </c>
      <c r="BZ59" s="176">
        <v>4000</v>
      </c>
      <c r="CA59" s="176">
        <v>4000</v>
      </c>
      <c r="CB59" s="176">
        <v>4000</v>
      </c>
      <c r="CC59" s="176">
        <v>4000</v>
      </c>
      <c r="CD59" s="176">
        <v>4000</v>
      </c>
      <c r="CE59" s="176">
        <v>4000</v>
      </c>
      <c r="CF59" s="176">
        <v>4000</v>
      </c>
      <c r="CG59" s="176">
        <v>4000</v>
      </c>
      <c r="CH59" s="176">
        <v>4000</v>
      </c>
      <c r="CI59" s="176">
        <v>4000</v>
      </c>
      <c r="CJ59" s="176">
        <v>4000</v>
      </c>
      <c r="CK59" s="176">
        <v>4000</v>
      </c>
      <c r="CL59" s="176">
        <v>4000</v>
      </c>
      <c r="CM59" s="176">
        <v>4000</v>
      </c>
      <c r="CN59" s="176">
        <v>4000</v>
      </c>
      <c r="CO59" s="176">
        <v>4000</v>
      </c>
      <c r="CP59" s="176">
        <v>4000</v>
      </c>
      <c r="CQ59" s="176">
        <v>4000</v>
      </c>
      <c r="CR59" s="176">
        <v>4000</v>
      </c>
      <c r="CS59" s="176">
        <v>4000</v>
      </c>
      <c r="CT59" s="176">
        <v>4000</v>
      </c>
      <c r="CU59" s="176">
        <v>4000</v>
      </c>
      <c r="CV59" s="176">
        <v>4000</v>
      </c>
      <c r="CW59" s="176">
        <v>4000</v>
      </c>
      <c r="CX59" s="176">
        <v>4000</v>
      </c>
      <c r="CY59" s="176">
        <v>4000</v>
      </c>
      <c r="CZ59" s="176">
        <v>4000</v>
      </c>
      <c r="DA59" s="176">
        <v>4000</v>
      </c>
      <c r="DB59" s="176">
        <v>4000</v>
      </c>
      <c r="DC59" s="176">
        <v>4000</v>
      </c>
      <c r="DD59" s="176">
        <v>4000</v>
      </c>
      <c r="DE59" s="176">
        <v>4000</v>
      </c>
      <c r="DF59" s="176">
        <v>4000</v>
      </c>
      <c r="DG59" s="176">
        <v>4000</v>
      </c>
      <c r="DH59" s="176">
        <v>4000</v>
      </c>
      <c r="DI59" s="176">
        <v>4000</v>
      </c>
      <c r="DJ59" s="176">
        <v>4000</v>
      </c>
      <c r="DK59" s="176">
        <v>4000</v>
      </c>
      <c r="DL59" s="176">
        <v>4000</v>
      </c>
      <c r="DM59" s="176">
        <v>4000</v>
      </c>
      <c r="DN59" s="176">
        <v>4000</v>
      </c>
      <c r="DO59" s="176">
        <v>4000</v>
      </c>
      <c r="DP59" s="176">
        <v>4000</v>
      </c>
      <c r="DQ59" s="176">
        <v>4000</v>
      </c>
      <c r="DR59" s="176">
        <v>3917.1917588909823</v>
      </c>
      <c r="DS59" s="176">
        <v>3774.7855915177593</v>
      </c>
      <c r="DT59" s="176">
        <v>3652.0969954050811</v>
      </c>
      <c r="DU59" s="176">
        <v>3546.768372639784</v>
      </c>
      <c r="DV59" s="176">
        <v>3456.7762235173946</v>
      </c>
      <c r="DW59" s="176">
        <v>3380.3833082127358</v>
      </c>
      <c r="DX59" s="176">
        <v>3316.0996812879057</v>
      </c>
      <c r="DY59" s="176">
        <v>3262.6509104814154</v>
      </c>
      <c r="DZ59" s="176">
        <v>3218.9520678913004</v>
      </c>
      <c r="EA59" s="176">
        <v>3184.0863187911632</v>
      </c>
      <c r="EB59" s="176">
        <v>3157.2871353976097</v>
      </c>
      <c r="EC59" s="176">
        <v>3137.9233359612699</v>
      </c>
      <c r="ED59" s="176">
        <v>3125.4862999232691</v>
      </c>
      <c r="EE59" s="176">
        <v>3119.5788429335462</v>
      </c>
      <c r="EF59" s="176">
        <v>3119.9053533137712</v>
      </c>
      <c r="EG59" s="176">
        <v>3126.2628898403536</v>
      </c>
      <c r="EH59" s="176">
        <v>3138.5330087870652</v>
      </c>
      <c r="EI59" s="176">
        <v>3156.6741165175786</v>
      </c>
      <c r="EJ59" s="176">
        <v>3180.7141397507585</v>
      </c>
      <c r="EK59" s="176">
        <v>3210.7433012882038</v>
      </c>
      <c r="EL59" s="176">
        <v>3246.9068247939822</v>
      </c>
      <c r="EM59" s="176">
        <v>3289.3974802980415</v>
      </c>
      <c r="EN59" s="176">
        <v>3338.447990991112</v>
      </c>
      <c r="EO59" s="176">
        <v>3394.3234045943473</v>
      </c>
      <c r="EP59" t="str">
        <f t="shared" si="0"/>
        <v>1y 124d</v>
      </c>
    </row>
    <row r="60" spans="2:154" x14ac:dyDescent="0.25">
      <c r="B60" s="9">
        <v>57</v>
      </c>
      <c r="D60">
        <v>5153984.9744416745</v>
      </c>
      <c r="E60" s="12">
        <v>12652769158.279327</v>
      </c>
      <c r="F60" s="12">
        <v>4986289965.0956526</v>
      </c>
      <c r="G60" s="12">
        <v>0</v>
      </c>
      <c r="H60" s="12">
        <v>9597506.480171768</v>
      </c>
      <c r="I60" s="12">
        <v>-18169312352.371212</v>
      </c>
      <c r="J60" s="12">
        <v>7705872332.2077093</v>
      </c>
      <c r="K60" s="12">
        <v>7580479.9159038886</v>
      </c>
      <c r="L60" s="12">
        <v>3090560.3263660115</v>
      </c>
      <c r="M60" s="12">
        <v>10853203711.0208</v>
      </c>
      <c r="N60" s="12">
        <v>-13746576908.51158</v>
      </c>
      <c r="O60" s="12">
        <v>55941858.44103203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S60" s="6">
        <v>12059520.178116363</v>
      </c>
      <c r="AT60" s="176">
        <v>4000</v>
      </c>
      <c r="AU60" s="176">
        <v>4000</v>
      </c>
      <c r="AV60" s="176">
        <v>4000</v>
      </c>
      <c r="AW60" s="176">
        <v>4000</v>
      </c>
      <c r="AX60" s="176">
        <v>4000</v>
      </c>
      <c r="AY60" s="176">
        <v>4000</v>
      </c>
      <c r="AZ60" s="176">
        <v>4000</v>
      </c>
      <c r="BA60" s="176">
        <v>4000</v>
      </c>
      <c r="BB60" s="176">
        <v>4000</v>
      </c>
      <c r="BC60" s="176">
        <v>4000</v>
      </c>
      <c r="BD60" s="176">
        <v>4000</v>
      </c>
      <c r="BE60" s="176">
        <v>4000</v>
      </c>
      <c r="BF60" s="176">
        <v>4000</v>
      </c>
      <c r="BG60" s="176">
        <v>4000</v>
      </c>
      <c r="BH60" s="176">
        <v>4000</v>
      </c>
      <c r="BI60" s="176">
        <v>4000</v>
      </c>
      <c r="BJ60" s="176">
        <v>4000</v>
      </c>
      <c r="BK60" s="176">
        <v>4000</v>
      </c>
      <c r="BL60" s="176">
        <v>4000</v>
      </c>
      <c r="BM60" s="176">
        <v>4000</v>
      </c>
      <c r="BN60" s="176">
        <v>4000</v>
      </c>
      <c r="BO60" s="176">
        <v>4000</v>
      </c>
      <c r="BP60" s="176">
        <v>4000</v>
      </c>
      <c r="BQ60" s="176">
        <v>4000</v>
      </c>
      <c r="BR60" s="176">
        <v>4000</v>
      </c>
      <c r="BS60" s="176">
        <v>4000</v>
      </c>
      <c r="BT60" s="176">
        <v>4000</v>
      </c>
      <c r="BU60" s="176">
        <v>4000</v>
      </c>
      <c r="BV60" s="176">
        <v>4000</v>
      </c>
      <c r="BW60" s="176">
        <v>4000</v>
      </c>
      <c r="BX60" s="176">
        <v>4000</v>
      </c>
      <c r="BY60" s="176">
        <v>4000</v>
      </c>
      <c r="BZ60" s="176">
        <v>4000</v>
      </c>
      <c r="CA60" s="176">
        <v>4000</v>
      </c>
      <c r="CB60" s="176">
        <v>4000</v>
      </c>
      <c r="CC60" s="176">
        <v>4000</v>
      </c>
      <c r="CD60" s="176">
        <v>4000</v>
      </c>
      <c r="CE60" s="176">
        <v>4000</v>
      </c>
      <c r="CF60" s="176">
        <v>4000</v>
      </c>
      <c r="CG60" s="176">
        <v>4000</v>
      </c>
      <c r="CH60" s="176">
        <v>4000</v>
      </c>
      <c r="CI60" s="176">
        <v>4000</v>
      </c>
      <c r="CJ60" s="176">
        <v>4000</v>
      </c>
      <c r="CK60" s="176">
        <v>4000</v>
      </c>
      <c r="CL60" s="176">
        <v>4000</v>
      </c>
      <c r="CM60" s="176">
        <v>4000</v>
      </c>
      <c r="CN60" s="176">
        <v>4000</v>
      </c>
      <c r="CO60" s="176">
        <v>4000</v>
      </c>
      <c r="CP60" s="176">
        <v>4000</v>
      </c>
      <c r="CQ60" s="176">
        <v>4000</v>
      </c>
      <c r="CR60" s="176">
        <v>4000</v>
      </c>
      <c r="CS60" s="176">
        <v>4000</v>
      </c>
      <c r="CT60" s="176">
        <v>4000</v>
      </c>
      <c r="CU60" s="176">
        <v>4000</v>
      </c>
      <c r="CV60" s="176">
        <v>4000</v>
      </c>
      <c r="CW60" s="176">
        <v>4000</v>
      </c>
      <c r="CX60" s="176">
        <v>4000</v>
      </c>
      <c r="CY60" s="176">
        <v>4000</v>
      </c>
      <c r="CZ60" s="176">
        <v>4000</v>
      </c>
      <c r="DA60" s="176">
        <v>4000</v>
      </c>
      <c r="DB60" s="176">
        <v>4000</v>
      </c>
      <c r="DC60" s="176">
        <v>4000</v>
      </c>
      <c r="DD60" s="176">
        <v>4000</v>
      </c>
      <c r="DE60" s="176">
        <v>4000</v>
      </c>
      <c r="DF60" s="176">
        <v>4000</v>
      </c>
      <c r="DG60" s="176">
        <v>4000</v>
      </c>
      <c r="DH60" s="176">
        <v>4000</v>
      </c>
      <c r="DI60" s="176">
        <v>4000</v>
      </c>
      <c r="DJ60" s="176">
        <v>4000</v>
      </c>
      <c r="DK60" s="176">
        <v>4000</v>
      </c>
      <c r="DL60" s="176">
        <v>4000</v>
      </c>
      <c r="DM60" s="176">
        <v>4000</v>
      </c>
      <c r="DN60" s="176">
        <v>4000</v>
      </c>
      <c r="DO60" s="176">
        <v>4000</v>
      </c>
      <c r="DP60" s="176">
        <v>4000</v>
      </c>
      <c r="DQ60" s="176">
        <v>4000</v>
      </c>
      <c r="DR60" s="176">
        <v>4000</v>
      </c>
      <c r="DS60" s="176">
        <v>4000</v>
      </c>
      <c r="DT60" s="176">
        <v>3907.4068796131141</v>
      </c>
      <c r="DU60" s="176">
        <v>3780.4250274003371</v>
      </c>
      <c r="DV60" s="176">
        <v>3670.6071383402978</v>
      </c>
      <c r="DW60" s="176">
        <v>3575.912316285292</v>
      </c>
      <c r="DX60" s="176">
        <v>3494.6000162388045</v>
      </c>
      <c r="DY60" s="176">
        <v>3425.1893684636043</v>
      </c>
      <c r="DZ60" s="176">
        <v>3366.425799162012</v>
      </c>
      <c r="EA60" s="176">
        <v>3317.2534964714223</v>
      </c>
      <c r="EB60" s="176">
        <v>3276.7925261836954</v>
      </c>
      <c r="EC60" s="176">
        <v>3244.3196172643393</v>
      </c>
      <c r="ED60" s="176">
        <v>3219.2518190196279</v>
      </c>
      <c r="EE60" s="176">
        <v>3201.1323865325608</v>
      </c>
      <c r="EF60" s="176">
        <v>3189.6183850091561</v>
      </c>
      <c r="EG60" s="176">
        <v>3184.4696202448436</v>
      </c>
      <c r="EH60" s="176">
        <v>3185.53859881892</v>
      </c>
      <c r="EI60" s="176">
        <v>3192.7612883245829</v>
      </c>
      <c r="EJ60" s="176">
        <v>3206.1484755415613</v>
      </c>
      <c r="EK60" s="176">
        <v>3225.7775151633764</v>
      </c>
      <c r="EL60" s="176">
        <v>3251.784255963521</v>
      </c>
      <c r="EM60" s="176">
        <v>3284.3549681454651</v>
      </c>
      <c r="EN60" s="176">
        <v>3323.7181898447484</v>
      </c>
      <c r="EO60" s="176">
        <v>3370.1365285909396</v>
      </c>
      <c r="EP60" t="str">
        <f t="shared" si="0"/>
        <v>1y 132d</v>
      </c>
    </row>
    <row r="61" spans="2:154" x14ac:dyDescent="0.25">
      <c r="B61" s="9">
        <v>58</v>
      </c>
      <c r="D61">
        <v>5246020.4204138471</v>
      </c>
      <c r="E61" s="12">
        <v>12314710071.163496</v>
      </c>
      <c r="F61" s="12">
        <v>5770924609.7919617</v>
      </c>
      <c r="G61" s="12">
        <v>0</v>
      </c>
      <c r="H61" s="12">
        <v>9754899.8144082762</v>
      </c>
      <c r="I61" s="12">
        <v>-18639882548.769592</v>
      </c>
      <c r="J61" s="12">
        <v>6557746002.0957289</v>
      </c>
      <c r="K61" s="12">
        <v>8783426.1647901628</v>
      </c>
      <c r="L61" s="12">
        <v>3167189.9028993389</v>
      </c>
      <c r="M61" s="12">
        <v>11406335592.230513</v>
      </c>
      <c r="N61" s="12">
        <v>-13465347446.122683</v>
      </c>
      <c r="O61" s="12">
        <v>55599650.513309419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S61" s="6">
        <v>12238388.939540414</v>
      </c>
      <c r="AT61" s="176">
        <v>4000</v>
      </c>
      <c r="AU61" s="176">
        <v>4000</v>
      </c>
      <c r="AV61" s="176">
        <v>4000</v>
      </c>
      <c r="AW61" s="176">
        <v>4000</v>
      </c>
      <c r="AX61" s="176">
        <v>4000</v>
      </c>
      <c r="AY61" s="176">
        <v>4000</v>
      </c>
      <c r="AZ61" s="176">
        <v>4000</v>
      </c>
      <c r="BA61" s="176">
        <v>4000</v>
      </c>
      <c r="BB61" s="176">
        <v>4000</v>
      </c>
      <c r="BC61" s="176">
        <v>4000</v>
      </c>
      <c r="BD61" s="176">
        <v>4000</v>
      </c>
      <c r="BE61" s="176">
        <v>4000</v>
      </c>
      <c r="BF61" s="176">
        <v>4000</v>
      </c>
      <c r="BG61" s="176">
        <v>4000</v>
      </c>
      <c r="BH61" s="176">
        <v>4000</v>
      </c>
      <c r="BI61" s="176">
        <v>4000</v>
      </c>
      <c r="BJ61" s="176">
        <v>4000</v>
      </c>
      <c r="BK61" s="176">
        <v>4000</v>
      </c>
      <c r="BL61" s="176">
        <v>4000</v>
      </c>
      <c r="BM61" s="176">
        <v>4000</v>
      </c>
      <c r="BN61" s="176">
        <v>4000</v>
      </c>
      <c r="BO61" s="176">
        <v>4000</v>
      </c>
      <c r="BP61" s="176">
        <v>4000</v>
      </c>
      <c r="BQ61" s="176">
        <v>4000</v>
      </c>
      <c r="BR61" s="176">
        <v>4000</v>
      </c>
      <c r="BS61" s="176">
        <v>4000</v>
      </c>
      <c r="BT61" s="176">
        <v>4000</v>
      </c>
      <c r="BU61" s="176">
        <v>4000</v>
      </c>
      <c r="BV61" s="176">
        <v>4000</v>
      </c>
      <c r="BW61" s="176">
        <v>4000</v>
      </c>
      <c r="BX61" s="176">
        <v>4000</v>
      </c>
      <c r="BY61" s="176">
        <v>4000</v>
      </c>
      <c r="BZ61" s="176">
        <v>4000</v>
      </c>
      <c r="CA61" s="176">
        <v>4000</v>
      </c>
      <c r="CB61" s="176">
        <v>4000</v>
      </c>
      <c r="CC61" s="176">
        <v>4000</v>
      </c>
      <c r="CD61" s="176">
        <v>4000</v>
      </c>
      <c r="CE61" s="176">
        <v>4000</v>
      </c>
      <c r="CF61" s="176">
        <v>4000</v>
      </c>
      <c r="CG61" s="176">
        <v>4000</v>
      </c>
      <c r="CH61" s="176">
        <v>4000</v>
      </c>
      <c r="CI61" s="176">
        <v>4000</v>
      </c>
      <c r="CJ61" s="176">
        <v>4000</v>
      </c>
      <c r="CK61" s="176">
        <v>4000</v>
      </c>
      <c r="CL61" s="176">
        <v>4000</v>
      </c>
      <c r="CM61" s="176">
        <v>4000</v>
      </c>
      <c r="CN61" s="176">
        <v>4000</v>
      </c>
      <c r="CO61" s="176">
        <v>4000</v>
      </c>
      <c r="CP61" s="176">
        <v>4000</v>
      </c>
      <c r="CQ61" s="176">
        <v>4000</v>
      </c>
      <c r="CR61" s="176">
        <v>4000</v>
      </c>
      <c r="CS61" s="176">
        <v>4000</v>
      </c>
      <c r="CT61" s="176">
        <v>4000</v>
      </c>
      <c r="CU61" s="176">
        <v>4000</v>
      </c>
      <c r="CV61" s="176">
        <v>4000</v>
      </c>
      <c r="CW61" s="176">
        <v>4000</v>
      </c>
      <c r="CX61" s="176">
        <v>4000</v>
      </c>
      <c r="CY61" s="176">
        <v>4000</v>
      </c>
      <c r="CZ61" s="176">
        <v>4000</v>
      </c>
      <c r="DA61" s="176">
        <v>4000</v>
      </c>
      <c r="DB61" s="176">
        <v>4000</v>
      </c>
      <c r="DC61" s="176">
        <v>4000</v>
      </c>
      <c r="DD61" s="176">
        <v>4000</v>
      </c>
      <c r="DE61" s="176">
        <v>4000</v>
      </c>
      <c r="DF61" s="176">
        <v>4000</v>
      </c>
      <c r="DG61" s="176">
        <v>4000</v>
      </c>
      <c r="DH61" s="176">
        <v>4000</v>
      </c>
      <c r="DI61" s="176">
        <v>4000</v>
      </c>
      <c r="DJ61" s="176">
        <v>4000</v>
      </c>
      <c r="DK61" s="176">
        <v>4000</v>
      </c>
      <c r="DL61" s="176">
        <v>4000</v>
      </c>
      <c r="DM61" s="176">
        <v>4000</v>
      </c>
      <c r="DN61" s="176">
        <v>4000</v>
      </c>
      <c r="DO61" s="176">
        <v>4000</v>
      </c>
      <c r="DP61" s="176">
        <v>4000</v>
      </c>
      <c r="DQ61" s="176">
        <v>4000</v>
      </c>
      <c r="DR61" s="176">
        <v>4000</v>
      </c>
      <c r="DS61" s="176">
        <v>4000</v>
      </c>
      <c r="DT61" s="176">
        <v>4000</v>
      </c>
      <c r="DU61" s="176">
        <v>4000</v>
      </c>
      <c r="DV61" s="176">
        <v>3914.0576640585696</v>
      </c>
      <c r="DW61" s="176">
        <v>3798.041921367259</v>
      </c>
      <c r="DX61" s="176">
        <v>3697.0630543770289</v>
      </c>
      <c r="DY61" s="176">
        <v>3609.380544744954</v>
      </c>
      <c r="DZ61" s="176">
        <v>3533.5259086317219</v>
      </c>
      <c r="EA61" s="176">
        <v>3468.2672876171828</v>
      </c>
      <c r="EB61" s="176">
        <v>3412.5800619566508</v>
      </c>
      <c r="EC61" s="176">
        <v>3365.6222620315989</v>
      </c>
      <c r="ED61" s="176">
        <v>3326.7137802996522</v>
      </c>
      <c r="EE61" s="176">
        <v>3295.3185744843313</v>
      </c>
      <c r="EF61" s="176">
        <v>3271.0292108161811</v>
      </c>
      <c r="EG61" s="176">
        <v>3253.5532311137795</v>
      </c>
      <c r="EH61" s="176">
        <v>3242.7009438187624</v>
      </c>
      <c r="EI61" s="176">
        <v>3238.3743352754182</v>
      </c>
      <c r="EJ61" s="176">
        <v>3240.5568647925174</v>
      </c>
      <c r="EK61" s="176">
        <v>3249.3039356926629</v>
      </c>
      <c r="EL61" s="176">
        <v>3264.7338300232177</v>
      </c>
      <c r="EM61" s="176">
        <v>3287.0188899796822</v>
      </c>
      <c r="EN61" s="176">
        <v>3316.3767703274152</v>
      </c>
      <c r="EO61" s="176">
        <v>3353.0616896997562</v>
      </c>
      <c r="EP61" t="str">
        <f t="shared" si="0"/>
        <v>1y 141d</v>
      </c>
    </row>
    <row r="62" spans="2:154" x14ac:dyDescent="0.25">
      <c r="B62" s="9">
        <v>59</v>
      </c>
      <c r="D62">
        <v>5338055.8663860196</v>
      </c>
      <c r="E62" s="12">
        <v>11928050449.452656</v>
      </c>
      <c r="F62" s="12">
        <v>6532784051.5380907</v>
      </c>
      <c r="G62" s="12">
        <v>0</v>
      </c>
      <c r="H62" s="12">
        <v>9912702.8502171542</v>
      </c>
      <c r="I62" s="12">
        <v>-19041263565.167103</v>
      </c>
      <c r="J62" s="12">
        <v>5381859559.5809231</v>
      </c>
      <c r="K62" s="12">
        <v>9956322.6243077405</v>
      </c>
      <c r="L62" s="12">
        <v>3244981.5630641798</v>
      </c>
      <c r="M62" s="12">
        <v>11953242488.648117</v>
      </c>
      <c r="N62" s="12">
        <v>-13162603565.725521</v>
      </c>
      <c r="O62" s="12">
        <v>55181026.569989718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S62" s="6">
        <v>12417257.700964466</v>
      </c>
      <c r="AT62" s="176">
        <v>3975.4659798488715</v>
      </c>
      <c r="AU62" s="176">
        <v>4000</v>
      </c>
      <c r="AV62" s="176">
        <v>4000</v>
      </c>
      <c r="AW62" s="176">
        <v>4000</v>
      </c>
      <c r="AX62" s="176">
        <v>4000</v>
      </c>
      <c r="AY62" s="176">
        <v>4000</v>
      </c>
      <c r="AZ62" s="176">
        <v>4000</v>
      </c>
      <c r="BA62" s="176">
        <v>4000</v>
      </c>
      <c r="BB62" s="176">
        <v>4000</v>
      </c>
      <c r="BC62" s="176">
        <v>4000</v>
      </c>
      <c r="BD62" s="176">
        <v>4000</v>
      </c>
      <c r="BE62" s="176">
        <v>4000</v>
      </c>
      <c r="BF62" s="176">
        <v>4000</v>
      </c>
      <c r="BG62" s="176">
        <v>4000</v>
      </c>
      <c r="BH62" s="176">
        <v>4000</v>
      </c>
      <c r="BI62" s="176">
        <v>4000</v>
      </c>
      <c r="BJ62" s="176">
        <v>4000</v>
      </c>
      <c r="BK62" s="176">
        <v>4000</v>
      </c>
      <c r="BL62" s="176">
        <v>4000</v>
      </c>
      <c r="BM62" s="176">
        <v>4000</v>
      </c>
      <c r="BN62" s="176">
        <v>4000</v>
      </c>
      <c r="BO62" s="176">
        <v>4000</v>
      </c>
      <c r="BP62" s="176">
        <v>4000</v>
      </c>
      <c r="BQ62" s="176">
        <v>4000</v>
      </c>
      <c r="BR62" s="176">
        <v>4000</v>
      </c>
      <c r="BS62" s="176">
        <v>4000</v>
      </c>
      <c r="BT62" s="176">
        <v>4000</v>
      </c>
      <c r="BU62" s="176">
        <v>4000</v>
      </c>
      <c r="BV62" s="176">
        <v>4000</v>
      </c>
      <c r="BW62" s="176">
        <v>4000</v>
      </c>
      <c r="BX62" s="176">
        <v>4000</v>
      </c>
      <c r="BY62" s="176">
        <v>4000</v>
      </c>
      <c r="BZ62" s="176">
        <v>4000</v>
      </c>
      <c r="CA62" s="176">
        <v>4000</v>
      </c>
      <c r="CB62" s="176">
        <v>4000</v>
      </c>
      <c r="CC62" s="176">
        <v>4000</v>
      </c>
      <c r="CD62" s="176">
        <v>4000</v>
      </c>
      <c r="CE62" s="176">
        <v>4000</v>
      </c>
      <c r="CF62" s="176">
        <v>4000</v>
      </c>
      <c r="CG62" s="176">
        <v>4000</v>
      </c>
      <c r="CH62" s="176">
        <v>4000</v>
      </c>
      <c r="CI62" s="176">
        <v>4000</v>
      </c>
      <c r="CJ62" s="176">
        <v>4000</v>
      </c>
      <c r="CK62" s="176">
        <v>4000</v>
      </c>
      <c r="CL62" s="176">
        <v>4000</v>
      </c>
      <c r="CM62" s="176">
        <v>4000</v>
      </c>
      <c r="CN62" s="176">
        <v>4000</v>
      </c>
      <c r="CO62" s="176">
        <v>4000</v>
      </c>
      <c r="CP62" s="176">
        <v>4000</v>
      </c>
      <c r="CQ62" s="176">
        <v>4000</v>
      </c>
      <c r="CR62" s="176">
        <v>4000</v>
      </c>
      <c r="CS62" s="176">
        <v>4000</v>
      </c>
      <c r="CT62" s="176">
        <v>4000</v>
      </c>
      <c r="CU62" s="176">
        <v>4000</v>
      </c>
      <c r="CV62" s="176">
        <v>4000</v>
      </c>
      <c r="CW62" s="176">
        <v>4000</v>
      </c>
      <c r="CX62" s="176">
        <v>4000</v>
      </c>
      <c r="CY62" s="176">
        <v>4000</v>
      </c>
      <c r="CZ62" s="176">
        <v>4000</v>
      </c>
      <c r="DA62" s="176">
        <v>4000</v>
      </c>
      <c r="DB62" s="176">
        <v>4000</v>
      </c>
      <c r="DC62" s="176">
        <v>4000</v>
      </c>
      <c r="DD62" s="176">
        <v>4000</v>
      </c>
      <c r="DE62" s="176">
        <v>4000</v>
      </c>
      <c r="DF62" s="176">
        <v>4000</v>
      </c>
      <c r="DG62" s="176">
        <v>4000</v>
      </c>
      <c r="DH62" s="176">
        <v>4000</v>
      </c>
      <c r="DI62" s="176">
        <v>4000</v>
      </c>
      <c r="DJ62" s="176">
        <v>4000</v>
      </c>
      <c r="DK62" s="176">
        <v>4000</v>
      </c>
      <c r="DL62" s="176">
        <v>4000</v>
      </c>
      <c r="DM62" s="176">
        <v>4000</v>
      </c>
      <c r="DN62" s="176">
        <v>4000</v>
      </c>
      <c r="DO62" s="176">
        <v>4000</v>
      </c>
      <c r="DP62" s="176">
        <v>4000</v>
      </c>
      <c r="DQ62" s="176">
        <v>4000</v>
      </c>
      <c r="DR62" s="176">
        <v>4000</v>
      </c>
      <c r="DS62" s="176">
        <v>4000</v>
      </c>
      <c r="DT62" s="176">
        <v>4000</v>
      </c>
      <c r="DU62" s="176">
        <v>4000</v>
      </c>
      <c r="DV62" s="176">
        <v>4000</v>
      </c>
      <c r="DW62" s="176">
        <v>4000</v>
      </c>
      <c r="DX62" s="176">
        <v>3927.1577931280308</v>
      </c>
      <c r="DY62" s="176">
        <v>3818.3919897787555</v>
      </c>
      <c r="DZ62" s="176">
        <v>3722.9915732853678</v>
      </c>
      <c r="EA62" s="176">
        <v>3639.4998804510024</v>
      </c>
      <c r="EB62" s="176">
        <v>3566.7066988602314</v>
      </c>
      <c r="EC62" s="176">
        <v>3503.6167906149976</v>
      </c>
      <c r="ED62" s="176">
        <v>3449.4234531695965</v>
      </c>
      <c r="EE62" s="176">
        <v>3403.4860861178195</v>
      </c>
      <c r="EF62" s="176">
        <v>3365.3109276704395</v>
      </c>
      <c r="EG62" s="176">
        <v>3334.5342866081892</v>
      </c>
      <c r="EH62" s="176">
        <v>3310.9077328814546</v>
      </c>
      <c r="EI62" s="176">
        <v>3294.2848281961251</v>
      </c>
      <c r="EJ62" s="176">
        <v>3284.6090762081185</v>
      </c>
      <c r="EK62" s="176">
        <v>3281.9028419992665</v>
      </c>
      <c r="EL62" s="176">
        <v>3286.2570222932823</v>
      </c>
      <c r="EM62" s="176">
        <v>3297.8212464561302</v>
      </c>
      <c r="EN62" s="176">
        <v>3316.7943880695157</v>
      </c>
      <c r="EO62" s="176">
        <v>3343.4152164685584</v>
      </c>
      <c r="EP62" t="str">
        <f t="shared" si="0"/>
        <v>1y 149d</v>
      </c>
    </row>
    <row r="63" spans="2:154" x14ac:dyDescent="0.25">
      <c r="B63" s="9">
        <v>60</v>
      </c>
      <c r="D63">
        <v>5430091.3123581922</v>
      </c>
      <c r="E63" s="12">
        <v>11494316262.025721</v>
      </c>
      <c r="F63" s="12">
        <v>7268861579.1779394</v>
      </c>
      <c r="G63" s="12">
        <v>0</v>
      </c>
      <c r="H63" s="12">
        <v>10070971.585977256</v>
      </c>
      <c r="I63" s="12">
        <v>-19371786592.948757</v>
      </c>
      <c r="J63" s="12">
        <v>4182141865.388166</v>
      </c>
      <c r="K63" s="12">
        <v>11095009.881758934</v>
      </c>
      <c r="L63" s="12">
        <v>3323948.0431924579</v>
      </c>
      <c r="M63" s="12">
        <v>12492980119.511276</v>
      </c>
      <c r="N63" s="12">
        <v>-12838299360.575045</v>
      </c>
      <c r="O63" s="12">
        <v>54684860.022707015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S63" s="6">
        <v>12596126.462388517</v>
      </c>
      <c r="AT63" s="176">
        <v>3906.6774642712294</v>
      </c>
      <c r="AU63" s="176">
        <v>4000</v>
      </c>
      <c r="AV63" s="176">
        <v>4000</v>
      </c>
      <c r="AW63" s="176">
        <v>4000</v>
      </c>
      <c r="AX63" s="176">
        <v>4000</v>
      </c>
      <c r="AY63" s="176">
        <v>4000</v>
      </c>
      <c r="AZ63" s="176">
        <v>4000</v>
      </c>
      <c r="BA63" s="176">
        <v>4000</v>
      </c>
      <c r="BB63" s="176">
        <v>4000</v>
      </c>
      <c r="BC63" s="176">
        <v>4000</v>
      </c>
      <c r="BD63" s="176">
        <v>4000</v>
      </c>
      <c r="BE63" s="176">
        <v>4000</v>
      </c>
      <c r="BF63" s="176">
        <v>4000</v>
      </c>
      <c r="BG63" s="176">
        <v>4000</v>
      </c>
      <c r="BH63" s="176">
        <v>4000</v>
      </c>
      <c r="BI63" s="176">
        <v>4000</v>
      </c>
      <c r="BJ63" s="176">
        <v>4000</v>
      </c>
      <c r="BK63" s="176">
        <v>4000</v>
      </c>
      <c r="BL63" s="176">
        <v>4000</v>
      </c>
      <c r="BM63" s="176">
        <v>4000</v>
      </c>
      <c r="BN63" s="176">
        <v>4000</v>
      </c>
      <c r="BO63" s="176">
        <v>4000</v>
      </c>
      <c r="BP63" s="176">
        <v>4000</v>
      </c>
      <c r="BQ63" s="176">
        <v>4000</v>
      </c>
      <c r="BR63" s="176">
        <v>4000</v>
      </c>
      <c r="BS63" s="176">
        <v>4000</v>
      </c>
      <c r="BT63" s="176">
        <v>4000</v>
      </c>
      <c r="BU63" s="176">
        <v>4000</v>
      </c>
      <c r="BV63" s="176">
        <v>4000</v>
      </c>
      <c r="BW63" s="176">
        <v>4000</v>
      </c>
      <c r="BX63" s="176">
        <v>4000</v>
      </c>
      <c r="BY63" s="176">
        <v>4000</v>
      </c>
      <c r="BZ63" s="176">
        <v>4000</v>
      </c>
      <c r="CA63" s="176">
        <v>4000</v>
      </c>
      <c r="CB63" s="176">
        <v>4000</v>
      </c>
      <c r="CC63" s="176">
        <v>4000</v>
      </c>
      <c r="CD63" s="176">
        <v>4000</v>
      </c>
      <c r="CE63" s="176">
        <v>4000</v>
      </c>
      <c r="CF63" s="176">
        <v>4000</v>
      </c>
      <c r="CG63" s="176">
        <v>4000</v>
      </c>
      <c r="CH63" s="176">
        <v>4000</v>
      </c>
      <c r="CI63" s="176">
        <v>4000</v>
      </c>
      <c r="CJ63" s="176">
        <v>4000</v>
      </c>
      <c r="CK63" s="176">
        <v>4000</v>
      </c>
      <c r="CL63" s="176">
        <v>4000</v>
      </c>
      <c r="CM63" s="176">
        <v>4000</v>
      </c>
      <c r="CN63" s="176">
        <v>4000</v>
      </c>
      <c r="CO63" s="176">
        <v>4000</v>
      </c>
      <c r="CP63" s="176">
        <v>4000</v>
      </c>
      <c r="CQ63" s="176">
        <v>4000</v>
      </c>
      <c r="CR63" s="176">
        <v>4000</v>
      </c>
      <c r="CS63" s="176">
        <v>4000</v>
      </c>
      <c r="CT63" s="176">
        <v>4000</v>
      </c>
      <c r="CU63" s="176">
        <v>4000</v>
      </c>
      <c r="CV63" s="176">
        <v>4000</v>
      </c>
      <c r="CW63" s="176">
        <v>4000</v>
      </c>
      <c r="CX63" s="176">
        <v>4000</v>
      </c>
      <c r="CY63" s="176">
        <v>4000</v>
      </c>
      <c r="CZ63" s="176">
        <v>4000</v>
      </c>
      <c r="DA63" s="176">
        <v>4000</v>
      </c>
      <c r="DB63" s="176">
        <v>4000</v>
      </c>
      <c r="DC63" s="176">
        <v>4000</v>
      </c>
      <c r="DD63" s="176">
        <v>4000</v>
      </c>
      <c r="DE63" s="176">
        <v>4000</v>
      </c>
      <c r="DF63" s="176">
        <v>4000</v>
      </c>
      <c r="DG63" s="176">
        <v>4000</v>
      </c>
      <c r="DH63" s="176">
        <v>4000</v>
      </c>
      <c r="DI63" s="176">
        <v>4000</v>
      </c>
      <c r="DJ63" s="176">
        <v>4000</v>
      </c>
      <c r="DK63" s="176">
        <v>4000</v>
      </c>
      <c r="DL63" s="176">
        <v>4000</v>
      </c>
      <c r="DM63" s="176">
        <v>4000</v>
      </c>
      <c r="DN63" s="176">
        <v>4000</v>
      </c>
      <c r="DO63" s="176">
        <v>4000</v>
      </c>
      <c r="DP63" s="176">
        <v>4000</v>
      </c>
      <c r="DQ63" s="176">
        <v>4000</v>
      </c>
      <c r="DR63" s="176">
        <v>4000</v>
      </c>
      <c r="DS63" s="176">
        <v>4000</v>
      </c>
      <c r="DT63" s="176">
        <v>4000</v>
      </c>
      <c r="DU63" s="176">
        <v>4000</v>
      </c>
      <c r="DV63" s="176">
        <v>4000</v>
      </c>
      <c r="DW63" s="176">
        <v>4000</v>
      </c>
      <c r="DX63" s="176">
        <v>4000</v>
      </c>
      <c r="DY63" s="176">
        <v>4000</v>
      </c>
      <c r="DZ63" s="176">
        <v>3937.9953041155832</v>
      </c>
      <c r="EA63" s="176">
        <v>3833.6792963155804</v>
      </c>
      <c r="EB63" s="176">
        <v>3741.5218497356245</v>
      </c>
      <c r="EC63" s="176">
        <v>3660.3293126914541</v>
      </c>
      <c r="ED63" s="176">
        <v>3589.1302218539695</v>
      </c>
      <c r="EE63" s="176">
        <v>3527.146926778948</v>
      </c>
      <c r="EF63" s="176">
        <v>3473.7714852117042</v>
      </c>
      <c r="EG63" s="176">
        <v>3428.5449489984144</v>
      </c>
      <c r="EH63" s="176">
        <v>3391.1393285601253</v>
      </c>
      <c r="EI63" s="176">
        <v>3361.3416662915001</v>
      </c>
      <c r="EJ63" s="176">
        <v>3339.0397720711871</v>
      </c>
      <c r="EK63" s="176">
        <v>3324.209277194494</v>
      </c>
      <c r="EL63" s="176">
        <v>3316.9017381957801</v>
      </c>
      <c r="EM63" s="176">
        <v>3317.2335589941504</v>
      </c>
      <c r="EN63" s="176">
        <v>3325.3755040086917</v>
      </c>
      <c r="EO63" s="176">
        <v>3341.5425827629388</v>
      </c>
      <c r="EP63" t="str">
        <f t="shared" si="0"/>
        <v>1y 157d</v>
      </c>
    </row>
    <row r="64" spans="2:154" x14ac:dyDescent="0.25">
      <c r="B64" s="9">
        <v>61</v>
      </c>
      <c r="D64">
        <v>5522126.7583303647</v>
      </c>
      <c r="E64" s="12">
        <v>11015219259.566166</v>
      </c>
      <c r="F64" s="12">
        <v>7976252230.9917431</v>
      </c>
      <c r="G64" s="12">
        <v>0</v>
      </c>
      <c r="H64" s="12">
        <v>10229760.901083235</v>
      </c>
      <c r="I64" s="12">
        <v>-19629977276.684589</v>
      </c>
      <c r="J64" s="12">
        <v>2962628955.6774778</v>
      </c>
      <c r="K64" s="12">
        <v>12195391.200406468</v>
      </c>
      <c r="L64" s="12">
        <v>3404100.4999548369</v>
      </c>
      <c r="M64" s="12">
        <v>13024578335.952188</v>
      </c>
      <c r="N64" s="12">
        <v>-12492431310.924887</v>
      </c>
      <c r="O64" s="12">
        <v>54110135.370407879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S64" s="6">
        <v>12774995.223812569</v>
      </c>
      <c r="AT64" s="176">
        <v>3844.8960035084988</v>
      </c>
      <c r="AU64" s="176">
        <v>3932.2638411371745</v>
      </c>
      <c r="AV64" s="176">
        <v>4000</v>
      </c>
      <c r="AW64" s="176">
        <v>4000</v>
      </c>
      <c r="AX64" s="176">
        <v>4000</v>
      </c>
      <c r="AY64" s="176">
        <v>4000</v>
      </c>
      <c r="AZ64" s="176">
        <v>4000</v>
      </c>
      <c r="BA64" s="176">
        <v>4000</v>
      </c>
      <c r="BB64" s="176">
        <v>4000</v>
      </c>
      <c r="BC64" s="176">
        <v>4000</v>
      </c>
      <c r="BD64" s="176">
        <v>4000</v>
      </c>
      <c r="BE64" s="176">
        <v>4000</v>
      </c>
      <c r="BF64" s="176">
        <v>4000</v>
      </c>
      <c r="BG64" s="176">
        <v>4000</v>
      </c>
      <c r="BH64" s="176">
        <v>4000</v>
      </c>
      <c r="BI64" s="176">
        <v>4000</v>
      </c>
      <c r="BJ64" s="176">
        <v>4000</v>
      </c>
      <c r="BK64" s="176">
        <v>4000</v>
      </c>
      <c r="BL64" s="176">
        <v>4000</v>
      </c>
      <c r="BM64" s="176">
        <v>4000</v>
      </c>
      <c r="BN64" s="176">
        <v>4000</v>
      </c>
      <c r="BO64" s="176">
        <v>4000</v>
      </c>
      <c r="BP64" s="176">
        <v>4000</v>
      </c>
      <c r="BQ64" s="176">
        <v>4000</v>
      </c>
      <c r="BR64" s="176">
        <v>4000</v>
      </c>
      <c r="BS64" s="176">
        <v>4000</v>
      </c>
      <c r="BT64" s="176">
        <v>4000</v>
      </c>
      <c r="BU64" s="176">
        <v>4000</v>
      </c>
      <c r="BV64" s="176">
        <v>4000</v>
      </c>
      <c r="BW64" s="176">
        <v>4000</v>
      </c>
      <c r="BX64" s="176">
        <v>4000</v>
      </c>
      <c r="BY64" s="176">
        <v>4000</v>
      </c>
      <c r="BZ64" s="176">
        <v>4000</v>
      </c>
      <c r="CA64" s="176">
        <v>4000</v>
      </c>
      <c r="CB64" s="176">
        <v>4000</v>
      </c>
      <c r="CC64" s="176">
        <v>4000</v>
      </c>
      <c r="CD64" s="176">
        <v>4000</v>
      </c>
      <c r="CE64" s="176">
        <v>4000</v>
      </c>
      <c r="CF64" s="176">
        <v>4000</v>
      </c>
      <c r="CG64" s="176">
        <v>4000</v>
      </c>
      <c r="CH64" s="176">
        <v>4000</v>
      </c>
      <c r="CI64" s="176">
        <v>4000</v>
      </c>
      <c r="CJ64" s="176">
        <v>4000</v>
      </c>
      <c r="CK64" s="176">
        <v>4000</v>
      </c>
      <c r="CL64" s="176">
        <v>4000</v>
      </c>
      <c r="CM64" s="176">
        <v>4000</v>
      </c>
      <c r="CN64" s="176">
        <v>4000</v>
      </c>
      <c r="CO64" s="176">
        <v>4000</v>
      </c>
      <c r="CP64" s="176">
        <v>4000</v>
      </c>
      <c r="CQ64" s="176">
        <v>4000</v>
      </c>
      <c r="CR64" s="176">
        <v>4000</v>
      </c>
      <c r="CS64" s="176">
        <v>4000</v>
      </c>
      <c r="CT64" s="176">
        <v>4000</v>
      </c>
      <c r="CU64" s="176">
        <v>4000</v>
      </c>
      <c r="CV64" s="176">
        <v>4000</v>
      </c>
      <c r="CW64" s="176">
        <v>4000</v>
      </c>
      <c r="CX64" s="176">
        <v>4000</v>
      </c>
      <c r="CY64" s="176">
        <v>4000</v>
      </c>
      <c r="CZ64" s="176">
        <v>4000</v>
      </c>
      <c r="DA64" s="176">
        <v>4000</v>
      </c>
      <c r="DB64" s="176">
        <v>4000</v>
      </c>
      <c r="DC64" s="176">
        <v>4000</v>
      </c>
      <c r="DD64" s="176">
        <v>4000</v>
      </c>
      <c r="DE64" s="176">
        <v>4000</v>
      </c>
      <c r="DF64" s="176">
        <v>4000</v>
      </c>
      <c r="DG64" s="176">
        <v>4000</v>
      </c>
      <c r="DH64" s="176">
        <v>4000</v>
      </c>
      <c r="DI64" s="176">
        <v>4000</v>
      </c>
      <c r="DJ64" s="176">
        <v>4000</v>
      </c>
      <c r="DK64" s="176">
        <v>4000</v>
      </c>
      <c r="DL64" s="176">
        <v>4000</v>
      </c>
      <c r="DM64" s="176">
        <v>4000</v>
      </c>
      <c r="DN64" s="176">
        <v>4000</v>
      </c>
      <c r="DO64" s="176">
        <v>4000</v>
      </c>
      <c r="DP64" s="176">
        <v>4000</v>
      </c>
      <c r="DQ64" s="176">
        <v>4000</v>
      </c>
      <c r="DR64" s="176">
        <v>4000</v>
      </c>
      <c r="DS64" s="176">
        <v>4000</v>
      </c>
      <c r="DT64" s="176">
        <v>4000</v>
      </c>
      <c r="DU64" s="176">
        <v>4000</v>
      </c>
      <c r="DV64" s="176">
        <v>4000</v>
      </c>
      <c r="DW64" s="176">
        <v>4000</v>
      </c>
      <c r="DX64" s="176">
        <v>4000</v>
      </c>
      <c r="DY64" s="176">
        <v>4000</v>
      </c>
      <c r="DZ64" s="176">
        <v>4000</v>
      </c>
      <c r="EA64" s="176">
        <v>4000</v>
      </c>
      <c r="EB64" s="176">
        <v>3939.7180222789866</v>
      </c>
      <c r="EC64" s="176">
        <v>3838.0666958464581</v>
      </c>
      <c r="ED64" s="176">
        <v>3747.813542638728</v>
      </c>
      <c r="EE64" s="176">
        <v>3668.0019245129679</v>
      </c>
      <c r="EF64" s="176">
        <v>3597.8740688421371</v>
      </c>
      <c r="EG64" s="176">
        <v>3536.8452791131103</v>
      </c>
      <c r="EH64" s="176">
        <v>3484.481784196254</v>
      </c>
      <c r="EI64" s="176">
        <v>3440.4814636336564</v>
      </c>
      <c r="EJ64" s="176">
        <v>3404.6568369930083</v>
      </c>
      <c r="EK64" s="176">
        <v>3376.9198360213668</v>
      </c>
      <c r="EL64" s="176">
        <v>3357.2679890523441</v>
      </c>
      <c r="EM64" s="176">
        <v>3345.7717295337566</v>
      </c>
      <c r="EN64" s="176">
        <v>3342.5625845296345</v>
      </c>
      <c r="EO64" s="176">
        <v>3347.8220114757059</v>
      </c>
      <c r="EP64" t="str">
        <f t="shared" si="0"/>
        <v>1y 165d</v>
      </c>
    </row>
    <row r="65" spans="2:146" x14ac:dyDescent="0.25">
      <c r="B65" s="9">
        <v>62</v>
      </c>
      <c r="D65">
        <v>5614162.2043025373</v>
      </c>
      <c r="E65" s="12">
        <v>10492650219.064095</v>
      </c>
      <c r="F65" s="12">
        <v>8652164259.2528458</v>
      </c>
      <c r="G65" s="12">
        <v>0</v>
      </c>
      <c r="H65" s="12">
        <v>10389124.399780903</v>
      </c>
      <c r="I65" s="12">
        <v>-19814563277.289944</v>
      </c>
      <c r="J65" s="12">
        <v>1727458119.6868727</v>
      </c>
      <c r="K65" s="12">
        <v>13253442.494256863</v>
      </c>
      <c r="L65" s="12">
        <v>3485448.3841060116</v>
      </c>
      <c r="M65" s="12">
        <v>13547042881.264156</v>
      </c>
      <c r="N65" s="12">
        <v>-12125041193.952587</v>
      </c>
      <c r="O65" s="12">
        <v>53455959.485374585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S65" s="6">
        <v>12953863.985236621</v>
      </c>
      <c r="AT65" s="176">
        <v>3790.3810378997182</v>
      </c>
      <c r="AU65" s="176">
        <v>3868.7050816155433</v>
      </c>
      <c r="AV65" s="176">
        <v>3954.2622598363714</v>
      </c>
      <c r="AW65" s="176">
        <v>4000</v>
      </c>
      <c r="AX65" s="176">
        <v>4000</v>
      </c>
      <c r="AY65" s="176">
        <v>4000</v>
      </c>
      <c r="AZ65" s="176">
        <v>4000</v>
      </c>
      <c r="BA65" s="176">
        <v>4000</v>
      </c>
      <c r="BB65" s="176">
        <v>4000</v>
      </c>
      <c r="BC65" s="176">
        <v>4000</v>
      </c>
      <c r="BD65" s="176">
        <v>4000</v>
      </c>
      <c r="BE65" s="176">
        <v>4000</v>
      </c>
      <c r="BF65" s="176">
        <v>4000</v>
      </c>
      <c r="BG65" s="176">
        <v>4000</v>
      </c>
      <c r="BH65" s="176">
        <v>4000</v>
      </c>
      <c r="BI65" s="176">
        <v>4000</v>
      </c>
      <c r="BJ65" s="176">
        <v>4000</v>
      </c>
      <c r="BK65" s="176">
        <v>4000</v>
      </c>
      <c r="BL65" s="176">
        <v>4000</v>
      </c>
      <c r="BM65" s="176">
        <v>4000</v>
      </c>
      <c r="BN65" s="176">
        <v>4000</v>
      </c>
      <c r="BO65" s="176">
        <v>4000</v>
      </c>
      <c r="BP65" s="176">
        <v>4000</v>
      </c>
      <c r="BQ65" s="176">
        <v>4000</v>
      </c>
      <c r="BR65" s="176">
        <v>4000</v>
      </c>
      <c r="BS65" s="176">
        <v>4000</v>
      </c>
      <c r="BT65" s="176">
        <v>4000</v>
      </c>
      <c r="BU65" s="176">
        <v>4000</v>
      </c>
      <c r="BV65" s="176">
        <v>4000</v>
      </c>
      <c r="BW65" s="176">
        <v>4000</v>
      </c>
      <c r="BX65" s="176">
        <v>4000</v>
      </c>
      <c r="BY65" s="176">
        <v>4000</v>
      </c>
      <c r="BZ65" s="176">
        <v>4000</v>
      </c>
      <c r="CA65" s="176">
        <v>4000</v>
      </c>
      <c r="CB65" s="176">
        <v>4000</v>
      </c>
      <c r="CC65" s="176">
        <v>4000</v>
      </c>
      <c r="CD65" s="176">
        <v>4000</v>
      </c>
      <c r="CE65" s="176">
        <v>4000</v>
      </c>
      <c r="CF65" s="176">
        <v>4000</v>
      </c>
      <c r="CG65" s="176">
        <v>4000</v>
      </c>
      <c r="CH65" s="176">
        <v>4000</v>
      </c>
      <c r="CI65" s="176">
        <v>4000</v>
      </c>
      <c r="CJ65" s="176">
        <v>4000</v>
      </c>
      <c r="CK65" s="176">
        <v>4000</v>
      </c>
      <c r="CL65" s="176">
        <v>4000</v>
      </c>
      <c r="CM65" s="176">
        <v>4000</v>
      </c>
      <c r="CN65" s="176">
        <v>4000</v>
      </c>
      <c r="CO65" s="176">
        <v>4000</v>
      </c>
      <c r="CP65" s="176">
        <v>4000</v>
      </c>
      <c r="CQ65" s="176">
        <v>4000</v>
      </c>
      <c r="CR65" s="176">
        <v>4000</v>
      </c>
      <c r="CS65" s="176">
        <v>4000</v>
      </c>
      <c r="CT65" s="176">
        <v>4000</v>
      </c>
      <c r="CU65" s="176">
        <v>4000</v>
      </c>
      <c r="CV65" s="176">
        <v>4000</v>
      </c>
      <c r="CW65" s="176">
        <v>4000</v>
      </c>
      <c r="CX65" s="176">
        <v>4000</v>
      </c>
      <c r="CY65" s="176">
        <v>4000</v>
      </c>
      <c r="CZ65" s="176">
        <v>4000</v>
      </c>
      <c r="DA65" s="176">
        <v>4000</v>
      </c>
      <c r="DB65" s="176">
        <v>4000</v>
      </c>
      <c r="DC65" s="176">
        <v>4000</v>
      </c>
      <c r="DD65" s="176">
        <v>4000</v>
      </c>
      <c r="DE65" s="176">
        <v>4000</v>
      </c>
      <c r="DF65" s="176">
        <v>4000</v>
      </c>
      <c r="DG65" s="176">
        <v>4000</v>
      </c>
      <c r="DH65" s="176">
        <v>4000</v>
      </c>
      <c r="DI65" s="176">
        <v>4000</v>
      </c>
      <c r="DJ65" s="176">
        <v>4000</v>
      </c>
      <c r="DK65" s="176">
        <v>4000</v>
      </c>
      <c r="DL65" s="176">
        <v>4000</v>
      </c>
      <c r="DM65" s="176">
        <v>4000</v>
      </c>
      <c r="DN65" s="176">
        <v>4000</v>
      </c>
      <c r="DO65" s="176">
        <v>4000</v>
      </c>
      <c r="DP65" s="176">
        <v>4000</v>
      </c>
      <c r="DQ65" s="176">
        <v>4000</v>
      </c>
      <c r="DR65" s="176">
        <v>4000</v>
      </c>
      <c r="DS65" s="176">
        <v>4000</v>
      </c>
      <c r="DT65" s="176">
        <v>4000</v>
      </c>
      <c r="DU65" s="176">
        <v>4000</v>
      </c>
      <c r="DV65" s="176">
        <v>4000</v>
      </c>
      <c r="DW65" s="176">
        <v>4000</v>
      </c>
      <c r="DX65" s="176">
        <v>4000</v>
      </c>
      <c r="DY65" s="176">
        <v>4000</v>
      </c>
      <c r="DZ65" s="176">
        <v>4000</v>
      </c>
      <c r="EA65" s="176">
        <v>4000</v>
      </c>
      <c r="EB65" s="176">
        <v>4000</v>
      </c>
      <c r="EC65" s="176">
        <v>4000</v>
      </c>
      <c r="ED65" s="176">
        <v>3927.7214389005785</v>
      </c>
      <c r="EE65" s="176">
        <v>3827.9714597583643</v>
      </c>
      <c r="EF65" s="176">
        <v>3739.2617240031545</v>
      </c>
      <c r="EG65" s="176">
        <v>3660.8430250239076</v>
      </c>
      <c r="EH65" s="176">
        <v>3592.1427617630243</v>
      </c>
      <c r="EI65" s="176">
        <v>3532.7413373101053</v>
      </c>
      <c r="EJ65" s="176">
        <v>3482.3516365339929</v>
      </c>
      <c r="EK65" s="176">
        <v>3440.8009222116948</v>
      </c>
      <c r="EL65" s="176">
        <v>3408.0146308492258</v>
      </c>
      <c r="EM65" s="176">
        <v>3384.001670251092</v>
      </c>
      <c r="EN65" s="176">
        <v>3368.8409123409319</v>
      </c>
      <c r="EO65" s="176">
        <v>3362.6686273553273</v>
      </c>
      <c r="EP65" t="str">
        <f t="shared" si="0"/>
        <v>1y 174d</v>
      </c>
    </row>
    <row r="66" spans="2:146" x14ac:dyDescent="0.25">
      <c r="B66" s="9">
        <v>63</v>
      </c>
      <c r="D66">
        <v>5706197.6502747098</v>
      </c>
      <c r="E66" s="12">
        <v>9928671481.7832851</v>
      </c>
      <c r="F66" s="12">
        <v>9293930147.9805317</v>
      </c>
      <c r="G66" s="12">
        <v>0</v>
      </c>
      <c r="H66" s="12">
        <v>10549114.250022741</v>
      </c>
      <c r="I66" s="12">
        <v>-19924482182.062538</v>
      </c>
      <c r="J66" s="12">
        <v>480861393.07741129</v>
      </c>
      <c r="K66" s="12">
        <v>14265222.99386861</v>
      </c>
      <c r="L66" s="12">
        <v>3567999.3124889317</v>
      </c>
      <c r="M66" s="12">
        <v>14059357443.180925</v>
      </c>
      <c r="N66" s="12">
        <v>-11736218966.866695</v>
      </c>
      <c r="O66" s="12">
        <v>52721573.114243031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S66" s="6">
        <v>13132732.746660672</v>
      </c>
      <c r="AT66" s="176">
        <v>3743.4145673007165</v>
      </c>
      <c r="AU66" s="176">
        <v>3812.4594363417987</v>
      </c>
      <c r="AV66" s="176">
        <v>3889.0252375635373</v>
      </c>
      <c r="AW66" s="176">
        <v>3973.3619465326201</v>
      </c>
      <c r="AX66" s="176">
        <v>4000</v>
      </c>
      <c r="AY66" s="176">
        <v>4000</v>
      </c>
      <c r="AZ66" s="176">
        <v>4000</v>
      </c>
      <c r="BA66" s="176">
        <v>4000</v>
      </c>
      <c r="BB66" s="176">
        <v>4000</v>
      </c>
      <c r="BC66" s="176">
        <v>4000</v>
      </c>
      <c r="BD66" s="176">
        <v>4000</v>
      </c>
      <c r="BE66" s="176">
        <v>4000</v>
      </c>
      <c r="BF66" s="176">
        <v>4000</v>
      </c>
      <c r="BG66" s="176">
        <v>4000</v>
      </c>
      <c r="BH66" s="176">
        <v>4000</v>
      </c>
      <c r="BI66" s="176">
        <v>4000</v>
      </c>
      <c r="BJ66" s="176">
        <v>4000</v>
      </c>
      <c r="BK66" s="176">
        <v>4000</v>
      </c>
      <c r="BL66" s="176">
        <v>4000</v>
      </c>
      <c r="BM66" s="176">
        <v>4000</v>
      </c>
      <c r="BN66" s="176">
        <v>4000</v>
      </c>
      <c r="BO66" s="176">
        <v>4000</v>
      </c>
      <c r="BP66" s="176">
        <v>4000</v>
      </c>
      <c r="BQ66" s="176">
        <v>4000</v>
      </c>
      <c r="BR66" s="176">
        <v>4000</v>
      </c>
      <c r="BS66" s="176">
        <v>4000</v>
      </c>
      <c r="BT66" s="176">
        <v>4000</v>
      </c>
      <c r="BU66" s="176">
        <v>4000</v>
      </c>
      <c r="BV66" s="176">
        <v>4000</v>
      </c>
      <c r="BW66" s="176">
        <v>4000</v>
      </c>
      <c r="BX66" s="176">
        <v>4000</v>
      </c>
      <c r="BY66" s="176">
        <v>4000</v>
      </c>
      <c r="BZ66" s="176">
        <v>4000</v>
      </c>
      <c r="CA66" s="176">
        <v>4000</v>
      </c>
      <c r="CB66" s="176">
        <v>4000</v>
      </c>
      <c r="CC66" s="176">
        <v>4000</v>
      </c>
      <c r="CD66" s="176">
        <v>4000</v>
      </c>
      <c r="CE66" s="176">
        <v>4000</v>
      </c>
      <c r="CF66" s="176">
        <v>4000</v>
      </c>
      <c r="CG66" s="176">
        <v>4000</v>
      </c>
      <c r="CH66" s="176">
        <v>4000</v>
      </c>
      <c r="CI66" s="176">
        <v>4000</v>
      </c>
      <c r="CJ66" s="176">
        <v>4000</v>
      </c>
      <c r="CK66" s="176">
        <v>4000</v>
      </c>
      <c r="CL66" s="176">
        <v>4000</v>
      </c>
      <c r="CM66" s="176">
        <v>4000</v>
      </c>
      <c r="CN66" s="176">
        <v>4000</v>
      </c>
      <c r="CO66" s="176">
        <v>4000</v>
      </c>
      <c r="CP66" s="176">
        <v>4000</v>
      </c>
      <c r="CQ66" s="176">
        <v>4000</v>
      </c>
      <c r="CR66" s="176">
        <v>4000</v>
      </c>
      <c r="CS66" s="176">
        <v>4000</v>
      </c>
      <c r="CT66" s="176">
        <v>4000</v>
      </c>
      <c r="CU66" s="176">
        <v>4000</v>
      </c>
      <c r="CV66" s="176">
        <v>4000</v>
      </c>
      <c r="CW66" s="176">
        <v>4000</v>
      </c>
      <c r="CX66" s="176">
        <v>4000</v>
      </c>
      <c r="CY66" s="176">
        <v>4000</v>
      </c>
      <c r="CZ66" s="176">
        <v>4000</v>
      </c>
      <c r="DA66" s="176">
        <v>4000</v>
      </c>
      <c r="DB66" s="176">
        <v>4000</v>
      </c>
      <c r="DC66" s="176">
        <v>4000</v>
      </c>
      <c r="DD66" s="176">
        <v>4000</v>
      </c>
      <c r="DE66" s="176">
        <v>4000</v>
      </c>
      <c r="DF66" s="176">
        <v>4000</v>
      </c>
      <c r="DG66" s="176">
        <v>4000</v>
      </c>
      <c r="DH66" s="176">
        <v>4000</v>
      </c>
      <c r="DI66" s="176">
        <v>4000</v>
      </c>
      <c r="DJ66" s="176">
        <v>4000</v>
      </c>
      <c r="DK66" s="176">
        <v>4000</v>
      </c>
      <c r="DL66" s="176">
        <v>4000</v>
      </c>
      <c r="DM66" s="176">
        <v>4000</v>
      </c>
      <c r="DN66" s="176">
        <v>4000</v>
      </c>
      <c r="DO66" s="176">
        <v>4000</v>
      </c>
      <c r="DP66" s="176">
        <v>4000</v>
      </c>
      <c r="DQ66" s="176">
        <v>4000</v>
      </c>
      <c r="DR66" s="176">
        <v>4000</v>
      </c>
      <c r="DS66" s="176">
        <v>4000</v>
      </c>
      <c r="DT66" s="176">
        <v>4000</v>
      </c>
      <c r="DU66" s="176">
        <v>4000</v>
      </c>
      <c r="DV66" s="176">
        <v>4000</v>
      </c>
      <c r="DW66" s="176">
        <v>4000</v>
      </c>
      <c r="DX66" s="176">
        <v>4000</v>
      </c>
      <c r="DY66" s="176">
        <v>4000</v>
      </c>
      <c r="DZ66" s="176">
        <v>4000</v>
      </c>
      <c r="EA66" s="176">
        <v>4000</v>
      </c>
      <c r="EB66" s="176">
        <v>4000</v>
      </c>
      <c r="EC66" s="176">
        <v>4000</v>
      </c>
      <c r="ED66" s="176">
        <v>4000</v>
      </c>
      <c r="EE66" s="176">
        <v>4000</v>
      </c>
      <c r="EF66" s="176">
        <v>3899.787061195243</v>
      </c>
      <c r="EG66" s="176">
        <v>3802.1175536514006</v>
      </c>
      <c r="EH66" s="176">
        <v>3715.4708788247635</v>
      </c>
      <c r="EI66" s="176">
        <v>3639.274569975456</v>
      </c>
      <c r="EJ66" s="176">
        <v>3573.1116832935018</v>
      </c>
      <c r="EK66" s="176">
        <v>3516.698972237748</v>
      </c>
      <c r="EL66" s="176">
        <v>3469.8676334860693</v>
      </c>
      <c r="EM66" s="176">
        <v>3432.5460680073588</v>
      </c>
      <c r="EN66" s="176">
        <v>3404.7442338930632</v>
      </c>
      <c r="EO66" s="176">
        <v>3386.5392694445322</v>
      </c>
      <c r="EP66" t="str">
        <f t="shared" si="0"/>
        <v>1y 182d</v>
      </c>
    </row>
    <row r="67" spans="2:146" x14ac:dyDescent="0.25">
      <c r="B67" s="9">
        <v>64</v>
      </c>
      <c r="D67">
        <v>5798233.0962468833</v>
      </c>
      <c r="E67" s="12">
        <v>9325508814.1424084</v>
      </c>
      <c r="F67" s="12">
        <v>9899017140.4069386</v>
      </c>
      <c r="G67" s="12">
        <v>0</v>
      </c>
      <c r="H67" s="12">
        <v>10709781.017153939</v>
      </c>
      <c r="I67" s="12">
        <v>-19958889718.518131</v>
      </c>
      <c r="J67" s="12">
        <v>-772841633.15359521</v>
      </c>
      <c r="K67" s="12">
        <v>15226886.646357674</v>
      </c>
      <c r="L67" s="12">
        <v>3651758.9391125031</v>
      </c>
      <c r="M67" s="12">
        <v>14560486008.360334</v>
      </c>
      <c r="N67" s="12">
        <v>-11326105596.6366</v>
      </c>
      <c r="O67" s="12">
        <v>51906362.518182166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S67" s="6">
        <v>13311601.508084724</v>
      </c>
      <c r="AT67" s="176">
        <v>3704.3004291009775</v>
      </c>
      <c r="AU67" s="176">
        <v>3763.7872582954133</v>
      </c>
      <c r="AV67" s="176">
        <v>3831.1122207618628</v>
      </c>
      <c r="AW67" s="176">
        <v>3906.5214975002091</v>
      </c>
      <c r="AX67" s="176">
        <v>3990.2602455974147</v>
      </c>
      <c r="AY67" s="176">
        <v>4000</v>
      </c>
      <c r="AZ67" s="176">
        <v>4000</v>
      </c>
      <c r="BA67" s="176">
        <v>4000</v>
      </c>
      <c r="BB67" s="176">
        <v>4000</v>
      </c>
      <c r="BC67" s="176">
        <v>4000</v>
      </c>
      <c r="BD67" s="176">
        <v>4000</v>
      </c>
      <c r="BE67" s="176">
        <v>4000</v>
      </c>
      <c r="BF67" s="176">
        <v>4000</v>
      </c>
      <c r="BG67" s="176">
        <v>4000</v>
      </c>
      <c r="BH67" s="176">
        <v>4000</v>
      </c>
      <c r="BI67" s="176">
        <v>4000</v>
      </c>
      <c r="BJ67" s="176">
        <v>4000</v>
      </c>
      <c r="BK67" s="176">
        <v>4000</v>
      </c>
      <c r="BL67" s="176">
        <v>4000</v>
      </c>
      <c r="BM67" s="176">
        <v>4000</v>
      </c>
      <c r="BN67" s="176">
        <v>4000</v>
      </c>
      <c r="BO67" s="176">
        <v>4000</v>
      </c>
      <c r="BP67" s="176">
        <v>4000</v>
      </c>
      <c r="BQ67" s="176">
        <v>4000</v>
      </c>
      <c r="BR67" s="176">
        <v>4000</v>
      </c>
      <c r="BS67" s="176">
        <v>4000</v>
      </c>
      <c r="BT67" s="176">
        <v>4000</v>
      </c>
      <c r="BU67" s="176">
        <v>4000</v>
      </c>
      <c r="BV67" s="176">
        <v>4000</v>
      </c>
      <c r="BW67" s="176">
        <v>4000</v>
      </c>
      <c r="BX67" s="176">
        <v>4000</v>
      </c>
      <c r="BY67" s="176">
        <v>4000</v>
      </c>
      <c r="BZ67" s="176">
        <v>4000</v>
      </c>
      <c r="CA67" s="176">
        <v>4000</v>
      </c>
      <c r="CB67" s="176">
        <v>4000</v>
      </c>
      <c r="CC67" s="176">
        <v>4000</v>
      </c>
      <c r="CD67" s="176">
        <v>4000</v>
      </c>
      <c r="CE67" s="176">
        <v>4000</v>
      </c>
      <c r="CF67" s="176">
        <v>4000</v>
      </c>
      <c r="CG67" s="176">
        <v>4000</v>
      </c>
      <c r="CH67" s="176">
        <v>4000</v>
      </c>
      <c r="CI67" s="176">
        <v>4000</v>
      </c>
      <c r="CJ67" s="176">
        <v>4000</v>
      </c>
      <c r="CK67" s="176">
        <v>4000</v>
      </c>
      <c r="CL67" s="176">
        <v>4000</v>
      </c>
      <c r="CM67" s="176">
        <v>4000</v>
      </c>
      <c r="CN67" s="176">
        <v>4000</v>
      </c>
      <c r="CO67" s="176">
        <v>4000</v>
      </c>
      <c r="CP67" s="176">
        <v>4000</v>
      </c>
      <c r="CQ67" s="176">
        <v>4000</v>
      </c>
      <c r="CR67" s="176">
        <v>4000</v>
      </c>
      <c r="CS67" s="176">
        <v>4000</v>
      </c>
      <c r="CT67" s="176">
        <v>4000</v>
      </c>
      <c r="CU67" s="176">
        <v>4000</v>
      </c>
      <c r="CV67" s="176">
        <v>4000</v>
      </c>
      <c r="CW67" s="176">
        <v>4000</v>
      </c>
      <c r="CX67" s="176">
        <v>4000</v>
      </c>
      <c r="CY67" s="176">
        <v>4000</v>
      </c>
      <c r="CZ67" s="176">
        <v>4000</v>
      </c>
      <c r="DA67" s="176">
        <v>4000</v>
      </c>
      <c r="DB67" s="176">
        <v>4000</v>
      </c>
      <c r="DC67" s="176">
        <v>4000</v>
      </c>
      <c r="DD67" s="176">
        <v>4000</v>
      </c>
      <c r="DE67" s="176">
        <v>4000</v>
      </c>
      <c r="DF67" s="176">
        <v>4000</v>
      </c>
      <c r="DG67" s="176">
        <v>4000</v>
      </c>
      <c r="DH67" s="176">
        <v>4000</v>
      </c>
      <c r="DI67" s="176">
        <v>4000</v>
      </c>
      <c r="DJ67" s="176">
        <v>4000</v>
      </c>
      <c r="DK67" s="176">
        <v>4000</v>
      </c>
      <c r="DL67" s="176">
        <v>4000</v>
      </c>
      <c r="DM67" s="176">
        <v>4000</v>
      </c>
      <c r="DN67" s="176">
        <v>4000</v>
      </c>
      <c r="DO67" s="176">
        <v>4000</v>
      </c>
      <c r="DP67" s="176">
        <v>4000</v>
      </c>
      <c r="DQ67" s="176">
        <v>4000</v>
      </c>
      <c r="DR67" s="176">
        <v>4000</v>
      </c>
      <c r="DS67" s="176">
        <v>4000</v>
      </c>
      <c r="DT67" s="176">
        <v>4000</v>
      </c>
      <c r="DU67" s="176">
        <v>4000</v>
      </c>
      <c r="DV67" s="176">
        <v>4000</v>
      </c>
      <c r="DW67" s="176">
        <v>4000</v>
      </c>
      <c r="DX67" s="176">
        <v>4000</v>
      </c>
      <c r="DY67" s="176">
        <v>4000</v>
      </c>
      <c r="DZ67" s="176">
        <v>4000</v>
      </c>
      <c r="EA67" s="176">
        <v>4000</v>
      </c>
      <c r="EB67" s="176">
        <v>4000</v>
      </c>
      <c r="EC67" s="176">
        <v>4000</v>
      </c>
      <c r="ED67" s="176">
        <v>4000</v>
      </c>
      <c r="EE67" s="176">
        <v>4000</v>
      </c>
      <c r="EF67" s="176">
        <v>4000</v>
      </c>
      <c r="EG67" s="176">
        <v>3962.4487128640094</v>
      </c>
      <c r="EH67" s="176">
        <v>3855.9790930166946</v>
      </c>
      <c r="EI67" s="176">
        <v>3761.3696266649831</v>
      </c>
      <c r="EJ67" s="176">
        <v>3678.0361274488537</v>
      </c>
      <c r="EK67" s="176">
        <v>3605.5530620123454</v>
      </c>
      <c r="EL67" s="176">
        <v>3543.6303198182609</v>
      </c>
      <c r="EM67" s="176">
        <v>3492.0927096086784</v>
      </c>
      <c r="EN67" s="176">
        <v>3450.8615906443115</v>
      </c>
      <c r="EO67" s="176">
        <v>3419.938193875756</v>
      </c>
      <c r="EP67" t="str">
        <f t="shared" si="0"/>
        <v>1y 190d</v>
      </c>
    </row>
    <row r="68" spans="2:146" x14ac:dyDescent="0.25">
      <c r="B68" s="9">
        <v>65</v>
      </c>
      <c r="D68">
        <v>5890268.5422190549</v>
      </c>
      <c r="E68" s="12">
        <v>8685542623.631834</v>
      </c>
      <c r="F68" s="12">
        <v>10465037234.610912</v>
      </c>
      <c r="G68" s="12">
        <v>0</v>
      </c>
      <c r="H68" s="12">
        <v>10871173.492359076</v>
      </c>
      <c r="I68" s="12">
        <v>-19917168214.805519</v>
      </c>
      <c r="J68" s="12">
        <v>-2029251786.7981761</v>
      </c>
      <c r="K68" s="12">
        <v>16134694.281252921</v>
      </c>
      <c r="L68" s="12">
        <v>3736730.826212808</v>
      </c>
      <c r="M68" s="12">
        <v>15049375526.996744</v>
      </c>
      <c r="N68" s="12">
        <v>-10894895807.55793</v>
      </c>
      <c r="O68" s="12">
        <v>51009871.166808926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S68" s="6">
        <v>13490470.269508775</v>
      </c>
      <c r="AT68" s="176">
        <v>3673.3753884282642</v>
      </c>
      <c r="AU68" s="176">
        <v>3722.9700262046435</v>
      </c>
      <c r="AV68" s="176">
        <v>3780.7628685045152</v>
      </c>
      <c r="AW68" s="176">
        <v>3846.9838932417979</v>
      </c>
      <c r="AX68" s="176">
        <v>3921.8704772803512</v>
      </c>
      <c r="AY68" s="176">
        <v>4000</v>
      </c>
      <c r="AZ68" s="176">
        <v>4000</v>
      </c>
      <c r="BA68" s="176">
        <v>4000</v>
      </c>
      <c r="BB68" s="176">
        <v>4000</v>
      </c>
      <c r="BC68" s="176">
        <v>4000</v>
      </c>
      <c r="BD68" s="176">
        <v>4000</v>
      </c>
      <c r="BE68" s="176">
        <v>4000</v>
      </c>
      <c r="BF68" s="176">
        <v>4000</v>
      </c>
      <c r="BG68" s="176">
        <v>4000</v>
      </c>
      <c r="BH68" s="176">
        <v>4000</v>
      </c>
      <c r="BI68" s="176">
        <v>4000</v>
      </c>
      <c r="BJ68" s="176">
        <v>4000</v>
      </c>
      <c r="BK68" s="176">
        <v>4000</v>
      </c>
      <c r="BL68" s="176">
        <v>4000</v>
      </c>
      <c r="BM68" s="176">
        <v>4000</v>
      </c>
      <c r="BN68" s="176">
        <v>4000</v>
      </c>
      <c r="BO68" s="176">
        <v>4000</v>
      </c>
      <c r="BP68" s="176">
        <v>4000</v>
      </c>
      <c r="BQ68" s="176">
        <v>4000</v>
      </c>
      <c r="BR68" s="176">
        <v>4000</v>
      </c>
      <c r="BS68" s="176">
        <v>4000</v>
      </c>
      <c r="BT68" s="176">
        <v>4000</v>
      </c>
      <c r="BU68" s="176">
        <v>4000</v>
      </c>
      <c r="BV68" s="176">
        <v>4000</v>
      </c>
      <c r="BW68" s="176">
        <v>4000</v>
      </c>
      <c r="BX68" s="176">
        <v>4000</v>
      </c>
      <c r="BY68" s="176">
        <v>4000</v>
      </c>
      <c r="BZ68" s="176">
        <v>4000</v>
      </c>
      <c r="CA68" s="176">
        <v>4000</v>
      </c>
      <c r="CB68" s="176">
        <v>4000</v>
      </c>
      <c r="CC68" s="176">
        <v>4000</v>
      </c>
      <c r="CD68" s="176">
        <v>4000</v>
      </c>
      <c r="CE68" s="176">
        <v>4000</v>
      </c>
      <c r="CF68" s="176">
        <v>4000</v>
      </c>
      <c r="CG68" s="176">
        <v>4000</v>
      </c>
      <c r="CH68" s="176">
        <v>4000</v>
      </c>
      <c r="CI68" s="176">
        <v>4000</v>
      </c>
      <c r="CJ68" s="176">
        <v>4000</v>
      </c>
      <c r="CK68" s="176">
        <v>4000</v>
      </c>
      <c r="CL68" s="176">
        <v>4000</v>
      </c>
      <c r="CM68" s="176">
        <v>4000</v>
      </c>
      <c r="CN68" s="176">
        <v>4000</v>
      </c>
      <c r="CO68" s="176">
        <v>4000</v>
      </c>
      <c r="CP68" s="176">
        <v>4000</v>
      </c>
      <c r="CQ68" s="176">
        <v>4000</v>
      </c>
      <c r="CR68" s="176">
        <v>4000</v>
      </c>
      <c r="CS68" s="176">
        <v>4000</v>
      </c>
      <c r="CT68" s="176">
        <v>4000</v>
      </c>
      <c r="CU68" s="176">
        <v>4000</v>
      </c>
      <c r="CV68" s="176">
        <v>4000</v>
      </c>
      <c r="CW68" s="176">
        <v>4000</v>
      </c>
      <c r="CX68" s="176">
        <v>4000</v>
      </c>
      <c r="CY68" s="176">
        <v>4000</v>
      </c>
      <c r="CZ68" s="176">
        <v>4000</v>
      </c>
      <c r="DA68" s="176">
        <v>4000</v>
      </c>
      <c r="DB68" s="176">
        <v>4000</v>
      </c>
      <c r="DC68" s="176">
        <v>4000</v>
      </c>
      <c r="DD68" s="176">
        <v>4000</v>
      </c>
      <c r="DE68" s="176">
        <v>4000</v>
      </c>
      <c r="DF68" s="176">
        <v>4000</v>
      </c>
      <c r="DG68" s="176">
        <v>4000</v>
      </c>
      <c r="DH68" s="176">
        <v>4000</v>
      </c>
      <c r="DI68" s="176">
        <v>4000</v>
      </c>
      <c r="DJ68" s="176">
        <v>4000</v>
      </c>
      <c r="DK68" s="176">
        <v>4000</v>
      </c>
      <c r="DL68" s="176">
        <v>4000</v>
      </c>
      <c r="DM68" s="176">
        <v>4000</v>
      </c>
      <c r="DN68" s="176">
        <v>4000</v>
      </c>
      <c r="DO68" s="176">
        <v>4000</v>
      </c>
      <c r="DP68" s="176">
        <v>4000</v>
      </c>
      <c r="DQ68" s="176">
        <v>4000</v>
      </c>
      <c r="DR68" s="176">
        <v>4000</v>
      </c>
      <c r="DS68" s="176">
        <v>4000</v>
      </c>
      <c r="DT68" s="176">
        <v>4000</v>
      </c>
      <c r="DU68" s="176">
        <v>4000</v>
      </c>
      <c r="DV68" s="176">
        <v>4000</v>
      </c>
      <c r="DW68" s="176">
        <v>4000</v>
      </c>
      <c r="DX68" s="176">
        <v>4000</v>
      </c>
      <c r="DY68" s="176">
        <v>4000</v>
      </c>
      <c r="DZ68" s="176">
        <v>4000</v>
      </c>
      <c r="EA68" s="176">
        <v>4000</v>
      </c>
      <c r="EB68" s="176">
        <v>4000</v>
      </c>
      <c r="EC68" s="176">
        <v>4000</v>
      </c>
      <c r="ED68" s="176">
        <v>4000</v>
      </c>
      <c r="EE68" s="176">
        <v>4000</v>
      </c>
      <c r="EF68" s="176">
        <v>4000</v>
      </c>
      <c r="EG68" s="176">
        <v>4000</v>
      </c>
      <c r="EH68" s="176">
        <v>4000</v>
      </c>
      <c r="EI68" s="176">
        <v>3900.4731001851101</v>
      </c>
      <c r="EJ68" s="176">
        <v>3798.3545171396131</v>
      </c>
      <c r="EK68" s="176">
        <v>3708.4102723647184</v>
      </c>
      <c r="EL68" s="176">
        <v>3630.1959414830289</v>
      </c>
      <c r="EM68" s="176">
        <v>3563.404754546722</v>
      </c>
      <c r="EN68" s="176">
        <v>3507.8457155310325</v>
      </c>
      <c r="EO68" s="176">
        <v>3463.4239879034712</v>
      </c>
      <c r="EP68" t="str">
        <f t="shared" ref="EP68:EP102" si="1">ROUNDDOWN(AS68/$EX$4, 0) &amp; "y " &amp; ROUND(MOD(AS68, $EX$4)/$EX$5, 0) &amp; "d"</f>
        <v>1y 198d</v>
      </c>
    </row>
    <row r="69" spans="2:146" x14ac:dyDescent="0.25">
      <c r="B69" s="9">
        <v>66</v>
      </c>
      <c r="D69">
        <v>5982303.9881912274</v>
      </c>
      <c r="E69" s="12">
        <v>8011298564.4327602</v>
      </c>
      <c r="F69" s="12">
        <v>10989756607.870609</v>
      </c>
      <c r="G69" s="12">
        <v>0</v>
      </c>
      <c r="H69" s="12">
        <v>11033338.515932597</v>
      </c>
      <c r="I69" s="12">
        <v>-19798935234.909176</v>
      </c>
      <c r="J69" s="12">
        <v>-3283899167.1350532</v>
      </c>
      <c r="K69" s="12">
        <v>16985026.560861941</v>
      </c>
      <c r="L69" s="12">
        <v>3822916.3163024001</v>
      </c>
      <c r="M69" s="12">
        <v>15524958892.837393</v>
      </c>
      <c r="N69" s="12">
        <v>-10442840715.784557</v>
      </c>
      <c r="O69" s="12">
        <v>50031811.390900061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S69" s="6">
        <v>13669339.030932827</v>
      </c>
      <c r="AT69" s="176">
        <v>3650.9987006952952</v>
      </c>
      <c r="AU69" s="176">
        <v>3690.3208393865343</v>
      </c>
      <c r="AV69" s="176">
        <v>3738.2395912551892</v>
      </c>
      <c r="AW69" s="176">
        <v>3794.9695665150398</v>
      </c>
      <c r="AX69" s="176">
        <v>3860.7344971989914</v>
      </c>
      <c r="AY69" s="176">
        <v>3935.7511759849367</v>
      </c>
      <c r="AZ69" s="176">
        <v>4000</v>
      </c>
      <c r="BA69" s="176">
        <v>4000</v>
      </c>
      <c r="BB69" s="176">
        <v>4000</v>
      </c>
      <c r="BC69" s="176">
        <v>4000</v>
      </c>
      <c r="BD69" s="176">
        <v>4000</v>
      </c>
      <c r="BE69" s="176">
        <v>4000</v>
      </c>
      <c r="BF69" s="176">
        <v>4000</v>
      </c>
      <c r="BG69" s="176">
        <v>4000</v>
      </c>
      <c r="BH69" s="176">
        <v>4000</v>
      </c>
      <c r="BI69" s="176">
        <v>4000</v>
      </c>
      <c r="BJ69" s="176">
        <v>4000</v>
      </c>
      <c r="BK69" s="176">
        <v>4000</v>
      </c>
      <c r="BL69" s="176">
        <v>4000</v>
      </c>
      <c r="BM69" s="176">
        <v>4000</v>
      </c>
      <c r="BN69" s="176">
        <v>4000</v>
      </c>
      <c r="BO69" s="176">
        <v>4000</v>
      </c>
      <c r="BP69" s="176">
        <v>4000</v>
      </c>
      <c r="BQ69" s="176">
        <v>4000</v>
      </c>
      <c r="BR69" s="176">
        <v>4000</v>
      </c>
      <c r="BS69" s="176">
        <v>4000</v>
      </c>
      <c r="BT69" s="176">
        <v>4000</v>
      </c>
      <c r="BU69" s="176">
        <v>4000</v>
      </c>
      <c r="BV69" s="176">
        <v>4000</v>
      </c>
      <c r="BW69" s="176">
        <v>4000</v>
      </c>
      <c r="BX69" s="176">
        <v>4000</v>
      </c>
      <c r="BY69" s="176">
        <v>4000</v>
      </c>
      <c r="BZ69" s="176">
        <v>4000</v>
      </c>
      <c r="CA69" s="176">
        <v>4000</v>
      </c>
      <c r="CB69" s="176">
        <v>4000</v>
      </c>
      <c r="CC69" s="176">
        <v>4000</v>
      </c>
      <c r="CD69" s="176">
        <v>4000</v>
      </c>
      <c r="CE69" s="176">
        <v>4000</v>
      </c>
      <c r="CF69" s="176">
        <v>4000</v>
      </c>
      <c r="CG69" s="176">
        <v>4000</v>
      </c>
      <c r="CH69" s="176">
        <v>4000</v>
      </c>
      <c r="CI69" s="176">
        <v>4000</v>
      </c>
      <c r="CJ69" s="176">
        <v>4000</v>
      </c>
      <c r="CK69" s="176">
        <v>4000</v>
      </c>
      <c r="CL69" s="176">
        <v>4000</v>
      </c>
      <c r="CM69" s="176">
        <v>4000</v>
      </c>
      <c r="CN69" s="176">
        <v>4000</v>
      </c>
      <c r="CO69" s="176">
        <v>4000</v>
      </c>
      <c r="CP69" s="176">
        <v>4000</v>
      </c>
      <c r="CQ69" s="176">
        <v>4000</v>
      </c>
      <c r="CR69" s="176">
        <v>4000</v>
      </c>
      <c r="CS69" s="176">
        <v>4000</v>
      </c>
      <c r="CT69" s="176">
        <v>4000</v>
      </c>
      <c r="CU69" s="176">
        <v>4000</v>
      </c>
      <c r="CV69" s="176">
        <v>4000</v>
      </c>
      <c r="CW69" s="176">
        <v>4000</v>
      </c>
      <c r="CX69" s="176">
        <v>4000</v>
      </c>
      <c r="CY69" s="176">
        <v>4000</v>
      </c>
      <c r="CZ69" s="176">
        <v>4000</v>
      </c>
      <c r="DA69" s="176">
        <v>4000</v>
      </c>
      <c r="DB69" s="176">
        <v>4000</v>
      </c>
      <c r="DC69" s="176">
        <v>4000</v>
      </c>
      <c r="DD69" s="176">
        <v>4000</v>
      </c>
      <c r="DE69" s="176">
        <v>4000</v>
      </c>
      <c r="DF69" s="176">
        <v>4000</v>
      </c>
      <c r="DG69" s="176">
        <v>4000</v>
      </c>
      <c r="DH69" s="176">
        <v>4000</v>
      </c>
      <c r="DI69" s="176">
        <v>4000</v>
      </c>
      <c r="DJ69" s="176">
        <v>4000</v>
      </c>
      <c r="DK69" s="176">
        <v>4000</v>
      </c>
      <c r="DL69" s="176">
        <v>4000</v>
      </c>
      <c r="DM69" s="176">
        <v>4000</v>
      </c>
      <c r="DN69" s="176">
        <v>4000</v>
      </c>
      <c r="DO69" s="176">
        <v>4000</v>
      </c>
      <c r="DP69" s="176">
        <v>4000</v>
      </c>
      <c r="DQ69" s="176">
        <v>4000</v>
      </c>
      <c r="DR69" s="176">
        <v>4000</v>
      </c>
      <c r="DS69" s="176">
        <v>4000</v>
      </c>
      <c r="DT69" s="176">
        <v>4000</v>
      </c>
      <c r="DU69" s="176">
        <v>4000</v>
      </c>
      <c r="DV69" s="176">
        <v>4000</v>
      </c>
      <c r="DW69" s="176">
        <v>4000</v>
      </c>
      <c r="DX69" s="176">
        <v>4000</v>
      </c>
      <c r="DY69" s="176">
        <v>4000</v>
      </c>
      <c r="DZ69" s="176">
        <v>4000</v>
      </c>
      <c r="EA69" s="176">
        <v>4000</v>
      </c>
      <c r="EB69" s="176">
        <v>4000</v>
      </c>
      <c r="EC69" s="176">
        <v>4000</v>
      </c>
      <c r="ED69" s="176">
        <v>4000</v>
      </c>
      <c r="EE69" s="176">
        <v>4000</v>
      </c>
      <c r="EF69" s="176">
        <v>4000</v>
      </c>
      <c r="EG69" s="176">
        <v>4000</v>
      </c>
      <c r="EH69" s="176">
        <v>4000</v>
      </c>
      <c r="EI69" s="176">
        <v>4000</v>
      </c>
      <c r="EJ69" s="176">
        <v>3935.4493808093939</v>
      </c>
      <c r="EK69" s="176">
        <v>3826.4442382443635</v>
      </c>
      <c r="EL69" s="176">
        <v>3730.5629417000741</v>
      </c>
      <c r="EM69" s="176">
        <v>3647.3332872197443</v>
      </c>
      <c r="EN69" s="176">
        <v>3576.4233389669498</v>
      </c>
      <c r="EO69" s="176">
        <v>3517.6180356873651</v>
      </c>
      <c r="EP69" t="str">
        <f t="shared" si="1"/>
        <v>1y 207d</v>
      </c>
    </row>
    <row r="70" spans="2:146" x14ac:dyDescent="0.25">
      <c r="B70" s="9">
        <v>67</v>
      </c>
      <c r="D70">
        <v>6074339.4341634</v>
      </c>
      <c r="E70" s="12">
        <v>7305437569.8140516</v>
      </c>
      <c r="F70" s="12">
        <v>11471104432.54125</v>
      </c>
      <c r="G70" s="12">
        <v>0</v>
      </c>
      <c r="H70" s="12">
        <v>11196320.795581974</v>
      </c>
      <c r="I70" s="12">
        <v>-19604052301.966671</v>
      </c>
      <c r="J70" s="12">
        <v>-4532252966.9515123</v>
      </c>
      <c r="K70" s="12">
        <v>17774397.719314732</v>
      </c>
      <c r="L70" s="12">
        <v>3910314.4063038453</v>
      </c>
      <c r="M70" s="12">
        <v>15986158240.837063</v>
      </c>
      <c r="N70" s="12">
        <v>-9970250318.0840664</v>
      </c>
      <c r="O70" s="12">
        <v>48972075.889719449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S70" s="6">
        <v>13848207.792356879</v>
      </c>
      <c r="AT70" s="176">
        <v>3637.56355257515</v>
      </c>
      <c r="AU70" s="176">
        <v>3666.174891286224</v>
      </c>
      <c r="AV70" s="176">
        <v>3703.8273755976716</v>
      </c>
      <c r="AW70" s="176">
        <v>3750.721425909891</v>
      </c>
      <c r="AX70" s="176">
        <v>3807.0553482985169</v>
      </c>
      <c r="AY70" s="176">
        <v>3873.0304073651532</v>
      </c>
      <c r="AZ70" s="176">
        <v>3948.8358983661728</v>
      </c>
      <c r="BA70" s="176">
        <v>4000</v>
      </c>
      <c r="BB70" s="176">
        <v>4000</v>
      </c>
      <c r="BC70" s="176">
        <v>4000</v>
      </c>
      <c r="BD70" s="176">
        <v>4000</v>
      </c>
      <c r="BE70" s="176">
        <v>4000</v>
      </c>
      <c r="BF70" s="176">
        <v>4000</v>
      </c>
      <c r="BG70" s="176">
        <v>4000</v>
      </c>
      <c r="BH70" s="176">
        <v>4000</v>
      </c>
      <c r="BI70" s="176">
        <v>4000</v>
      </c>
      <c r="BJ70" s="176">
        <v>4000</v>
      </c>
      <c r="BK70" s="176">
        <v>4000</v>
      </c>
      <c r="BL70" s="176">
        <v>4000</v>
      </c>
      <c r="BM70" s="176">
        <v>4000</v>
      </c>
      <c r="BN70" s="176">
        <v>4000</v>
      </c>
      <c r="BO70" s="176">
        <v>4000</v>
      </c>
      <c r="BP70" s="176">
        <v>4000</v>
      </c>
      <c r="BQ70" s="176">
        <v>4000</v>
      </c>
      <c r="BR70" s="176">
        <v>4000</v>
      </c>
      <c r="BS70" s="176">
        <v>4000</v>
      </c>
      <c r="BT70" s="176">
        <v>4000</v>
      </c>
      <c r="BU70" s="176">
        <v>4000</v>
      </c>
      <c r="BV70" s="176">
        <v>4000</v>
      </c>
      <c r="BW70" s="176">
        <v>4000</v>
      </c>
      <c r="BX70" s="176">
        <v>4000</v>
      </c>
      <c r="BY70" s="176">
        <v>4000</v>
      </c>
      <c r="BZ70" s="176">
        <v>4000</v>
      </c>
      <c r="CA70" s="176">
        <v>4000</v>
      </c>
      <c r="CB70" s="176">
        <v>4000</v>
      </c>
      <c r="CC70" s="176">
        <v>4000</v>
      </c>
      <c r="CD70" s="176">
        <v>4000</v>
      </c>
      <c r="CE70" s="176">
        <v>4000</v>
      </c>
      <c r="CF70" s="176">
        <v>4000</v>
      </c>
      <c r="CG70" s="176">
        <v>4000</v>
      </c>
      <c r="CH70" s="176">
        <v>4000</v>
      </c>
      <c r="CI70" s="176">
        <v>4000</v>
      </c>
      <c r="CJ70" s="176">
        <v>4000</v>
      </c>
      <c r="CK70" s="176">
        <v>4000</v>
      </c>
      <c r="CL70" s="176">
        <v>4000</v>
      </c>
      <c r="CM70" s="176">
        <v>4000</v>
      </c>
      <c r="CN70" s="176">
        <v>4000</v>
      </c>
      <c r="CO70" s="176">
        <v>4000</v>
      </c>
      <c r="CP70" s="176">
        <v>4000</v>
      </c>
      <c r="CQ70" s="176">
        <v>4000</v>
      </c>
      <c r="CR70" s="176">
        <v>4000</v>
      </c>
      <c r="CS70" s="176">
        <v>4000</v>
      </c>
      <c r="CT70" s="176">
        <v>4000</v>
      </c>
      <c r="CU70" s="176">
        <v>4000</v>
      </c>
      <c r="CV70" s="176">
        <v>4000</v>
      </c>
      <c r="CW70" s="176">
        <v>4000</v>
      </c>
      <c r="CX70" s="176">
        <v>4000</v>
      </c>
      <c r="CY70" s="176">
        <v>4000</v>
      </c>
      <c r="CZ70" s="176">
        <v>4000</v>
      </c>
      <c r="DA70" s="176">
        <v>4000</v>
      </c>
      <c r="DB70" s="176">
        <v>4000</v>
      </c>
      <c r="DC70" s="176">
        <v>4000</v>
      </c>
      <c r="DD70" s="176">
        <v>4000</v>
      </c>
      <c r="DE70" s="176">
        <v>4000</v>
      </c>
      <c r="DF70" s="176">
        <v>4000</v>
      </c>
      <c r="DG70" s="176">
        <v>4000</v>
      </c>
      <c r="DH70" s="176">
        <v>4000</v>
      </c>
      <c r="DI70" s="176">
        <v>4000</v>
      </c>
      <c r="DJ70" s="176">
        <v>4000</v>
      </c>
      <c r="DK70" s="176">
        <v>4000</v>
      </c>
      <c r="DL70" s="176">
        <v>4000</v>
      </c>
      <c r="DM70" s="176">
        <v>4000</v>
      </c>
      <c r="DN70" s="176">
        <v>4000</v>
      </c>
      <c r="DO70" s="176">
        <v>4000</v>
      </c>
      <c r="DP70" s="176">
        <v>4000</v>
      </c>
      <c r="DQ70" s="176">
        <v>4000</v>
      </c>
      <c r="DR70" s="176">
        <v>4000</v>
      </c>
      <c r="DS70" s="176">
        <v>4000</v>
      </c>
      <c r="DT70" s="176">
        <v>4000</v>
      </c>
      <c r="DU70" s="176">
        <v>4000</v>
      </c>
      <c r="DV70" s="176">
        <v>4000</v>
      </c>
      <c r="DW70" s="176">
        <v>4000</v>
      </c>
      <c r="DX70" s="176">
        <v>4000</v>
      </c>
      <c r="DY70" s="176">
        <v>4000</v>
      </c>
      <c r="DZ70" s="176">
        <v>4000</v>
      </c>
      <c r="EA70" s="176">
        <v>4000</v>
      </c>
      <c r="EB70" s="176">
        <v>4000</v>
      </c>
      <c r="EC70" s="176">
        <v>4000</v>
      </c>
      <c r="ED70" s="176">
        <v>4000</v>
      </c>
      <c r="EE70" s="176">
        <v>4000</v>
      </c>
      <c r="EF70" s="176">
        <v>4000</v>
      </c>
      <c r="EG70" s="176">
        <v>4000</v>
      </c>
      <c r="EH70" s="176">
        <v>4000</v>
      </c>
      <c r="EI70" s="176">
        <v>4000</v>
      </c>
      <c r="EJ70" s="176">
        <v>4000</v>
      </c>
      <c r="EK70" s="176">
        <v>3960.9774218929279</v>
      </c>
      <c r="EL70" s="176">
        <v>3845.8533213844894</v>
      </c>
      <c r="EM70" s="176">
        <v>3744.8324867754959</v>
      </c>
      <c r="EN70" s="176">
        <v>3657.4077153835124</v>
      </c>
      <c r="EO70" s="176">
        <v>3583.2148496809004</v>
      </c>
      <c r="EP70" t="str">
        <f t="shared" si="1"/>
        <v>1y 215d</v>
      </c>
    </row>
    <row r="71" spans="2:146" x14ac:dyDescent="0.25">
      <c r="B71" s="9">
        <v>68</v>
      </c>
      <c r="D71">
        <v>6166374.8801355725</v>
      </c>
      <c r="E71" s="12">
        <v>6570745350.6442299</v>
      </c>
      <c r="F71" s="12">
        <v>11907181048.665775</v>
      </c>
      <c r="G71" s="12">
        <v>0</v>
      </c>
      <c r="H71" s="12">
        <v>11360162.720131245</v>
      </c>
      <c r="I71" s="12">
        <v>-19332633607.99651</v>
      </c>
      <c r="J71" s="12">
        <v>-5769732348.0025845</v>
      </c>
      <c r="K71" s="12">
        <v>18499470.078460269</v>
      </c>
      <c r="L71" s="12">
        <v>3998921.624950672</v>
      </c>
      <c r="M71" s="12">
        <v>16431888561.262512</v>
      </c>
      <c r="N71" s="12">
        <v>-9477495800.4664726</v>
      </c>
      <c r="O71" s="12">
        <v>47830748.980010323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S71" s="6">
        <v>14027076.55378093</v>
      </c>
      <c r="AT71" s="176">
        <v>3633.4987610882022</v>
      </c>
      <c r="AU71" s="176">
        <v>3650.9003536418968</v>
      </c>
      <c r="AV71" s="176">
        <v>3677.8453442979589</v>
      </c>
      <c r="AW71" s="176">
        <v>3714.5049290359048</v>
      </c>
      <c r="AX71" s="176">
        <v>3761.0585069638564</v>
      </c>
      <c r="AY71" s="176">
        <v>3817.6785733827919</v>
      </c>
      <c r="AZ71" s="176">
        <v>3884.5349638785019</v>
      </c>
      <c r="BA71" s="176">
        <v>3961.7812186717547</v>
      </c>
      <c r="BB71" s="176">
        <v>4000</v>
      </c>
      <c r="BC71" s="176">
        <v>4000</v>
      </c>
      <c r="BD71" s="176">
        <v>4000</v>
      </c>
      <c r="BE71" s="176">
        <v>4000</v>
      </c>
      <c r="BF71" s="176">
        <v>4000</v>
      </c>
      <c r="BG71" s="176">
        <v>4000</v>
      </c>
      <c r="BH71" s="176">
        <v>4000</v>
      </c>
      <c r="BI71" s="176">
        <v>4000</v>
      </c>
      <c r="BJ71" s="176">
        <v>4000</v>
      </c>
      <c r="BK71" s="176">
        <v>4000</v>
      </c>
      <c r="BL71" s="176">
        <v>4000</v>
      </c>
      <c r="BM71" s="176">
        <v>4000</v>
      </c>
      <c r="BN71" s="176">
        <v>4000</v>
      </c>
      <c r="BO71" s="176">
        <v>4000</v>
      </c>
      <c r="BP71" s="176">
        <v>4000</v>
      </c>
      <c r="BQ71" s="176">
        <v>4000</v>
      </c>
      <c r="BR71" s="176">
        <v>4000</v>
      </c>
      <c r="BS71" s="176">
        <v>4000</v>
      </c>
      <c r="BT71" s="176">
        <v>4000</v>
      </c>
      <c r="BU71" s="176">
        <v>4000</v>
      </c>
      <c r="BV71" s="176">
        <v>4000</v>
      </c>
      <c r="BW71" s="176">
        <v>4000</v>
      </c>
      <c r="BX71" s="176">
        <v>4000</v>
      </c>
      <c r="BY71" s="176">
        <v>4000</v>
      </c>
      <c r="BZ71" s="176">
        <v>4000</v>
      </c>
      <c r="CA71" s="176">
        <v>4000</v>
      </c>
      <c r="CB71" s="176">
        <v>4000</v>
      </c>
      <c r="CC71" s="176">
        <v>4000</v>
      </c>
      <c r="CD71" s="176">
        <v>4000</v>
      </c>
      <c r="CE71" s="176">
        <v>4000</v>
      </c>
      <c r="CF71" s="176">
        <v>4000</v>
      </c>
      <c r="CG71" s="176">
        <v>4000</v>
      </c>
      <c r="CH71" s="176">
        <v>4000</v>
      </c>
      <c r="CI71" s="176">
        <v>4000</v>
      </c>
      <c r="CJ71" s="176">
        <v>4000</v>
      </c>
      <c r="CK71" s="176">
        <v>4000</v>
      </c>
      <c r="CL71" s="176">
        <v>4000</v>
      </c>
      <c r="CM71" s="176">
        <v>4000</v>
      </c>
      <c r="CN71" s="176">
        <v>4000</v>
      </c>
      <c r="CO71" s="176">
        <v>4000</v>
      </c>
      <c r="CP71" s="176">
        <v>4000</v>
      </c>
      <c r="CQ71" s="176">
        <v>4000</v>
      </c>
      <c r="CR71" s="176">
        <v>4000</v>
      </c>
      <c r="CS71" s="176">
        <v>4000</v>
      </c>
      <c r="CT71" s="176">
        <v>4000</v>
      </c>
      <c r="CU71" s="176">
        <v>4000</v>
      </c>
      <c r="CV71" s="176">
        <v>4000</v>
      </c>
      <c r="CW71" s="176">
        <v>4000</v>
      </c>
      <c r="CX71" s="176">
        <v>4000</v>
      </c>
      <c r="CY71" s="176">
        <v>4000</v>
      </c>
      <c r="CZ71" s="176">
        <v>4000</v>
      </c>
      <c r="DA71" s="176">
        <v>4000</v>
      </c>
      <c r="DB71" s="176">
        <v>4000</v>
      </c>
      <c r="DC71" s="176">
        <v>4000</v>
      </c>
      <c r="DD71" s="176">
        <v>4000</v>
      </c>
      <c r="DE71" s="176">
        <v>4000</v>
      </c>
      <c r="DF71" s="176">
        <v>4000</v>
      </c>
      <c r="DG71" s="176">
        <v>4000</v>
      </c>
      <c r="DH71" s="176">
        <v>4000</v>
      </c>
      <c r="DI71" s="176">
        <v>4000</v>
      </c>
      <c r="DJ71" s="176">
        <v>4000</v>
      </c>
      <c r="DK71" s="176">
        <v>4000</v>
      </c>
      <c r="DL71" s="176">
        <v>4000</v>
      </c>
      <c r="DM71" s="176">
        <v>4000</v>
      </c>
      <c r="DN71" s="176">
        <v>4000</v>
      </c>
      <c r="DO71" s="176">
        <v>4000</v>
      </c>
      <c r="DP71" s="176">
        <v>4000</v>
      </c>
      <c r="DQ71" s="176">
        <v>4000</v>
      </c>
      <c r="DR71" s="176">
        <v>4000</v>
      </c>
      <c r="DS71" s="176">
        <v>4000</v>
      </c>
      <c r="DT71" s="176">
        <v>4000</v>
      </c>
      <c r="DU71" s="176">
        <v>4000</v>
      </c>
      <c r="DV71" s="176">
        <v>4000</v>
      </c>
      <c r="DW71" s="176">
        <v>4000</v>
      </c>
      <c r="DX71" s="176">
        <v>4000</v>
      </c>
      <c r="DY71" s="176">
        <v>4000</v>
      </c>
      <c r="DZ71" s="176">
        <v>4000</v>
      </c>
      <c r="EA71" s="176">
        <v>4000</v>
      </c>
      <c r="EB71" s="176">
        <v>4000</v>
      </c>
      <c r="EC71" s="176">
        <v>4000</v>
      </c>
      <c r="ED71" s="176">
        <v>4000</v>
      </c>
      <c r="EE71" s="176">
        <v>4000</v>
      </c>
      <c r="EF71" s="176">
        <v>4000</v>
      </c>
      <c r="EG71" s="176">
        <v>4000</v>
      </c>
      <c r="EH71" s="176">
        <v>4000</v>
      </c>
      <c r="EI71" s="176">
        <v>4000</v>
      </c>
      <c r="EJ71" s="176">
        <v>4000</v>
      </c>
      <c r="EK71" s="176">
        <v>4000</v>
      </c>
      <c r="EL71" s="176">
        <v>3977.3346453545605</v>
      </c>
      <c r="EM71" s="176">
        <v>3856.9778313701026</v>
      </c>
      <c r="EN71" s="176">
        <v>3751.7137069140781</v>
      </c>
      <c r="EO71" s="176">
        <v>3660.9945691649455</v>
      </c>
      <c r="EP71" t="str">
        <f t="shared" si="1"/>
        <v>1y 223d</v>
      </c>
    </row>
    <row r="72" spans="2:146" x14ac:dyDescent="0.25">
      <c r="B72" s="9">
        <v>69</v>
      </c>
      <c r="D72">
        <v>6258410.3261077451</v>
      </c>
      <c r="E72" s="12">
        <v>5810121401.4634228</v>
      </c>
      <c r="F72" s="12">
        <v>12296265461.064789</v>
      </c>
      <c r="G72" s="12">
        <v>0</v>
      </c>
      <c r="H72" s="12">
        <v>11524904.169162774</v>
      </c>
      <c r="I72" s="12">
        <v>-18985054593.34753</v>
      </c>
      <c r="J72" s="12">
        <v>-6991718445.3633842</v>
      </c>
      <c r="K72" s="12">
        <v>19157069.311326426</v>
      </c>
      <c r="L72" s="12">
        <v>4088731.9147186815</v>
      </c>
      <c r="M72" s="12">
        <v>16861061625.266356</v>
      </c>
      <c r="N72" s="12">
        <v>-8965011631.0615597</v>
      </c>
      <c r="O72" s="12">
        <v>46608117.465632372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S72" s="6">
        <v>14205945.315204982</v>
      </c>
      <c r="AT72" s="176">
        <v>3639.2731719589947</v>
      </c>
      <c r="AU72" s="176">
        <v>3644.900233580971</v>
      </c>
      <c r="AV72" s="176">
        <v>3660.6369629356022</v>
      </c>
      <c r="AW72" s="176">
        <v>3686.6189056431076</v>
      </c>
      <c r="AX72" s="176">
        <v>3722.9941242737673</v>
      </c>
      <c r="AY72" s="176">
        <v>3769.9059766246401</v>
      </c>
      <c r="AZ72" s="176">
        <v>3827.4981136737624</v>
      </c>
      <c r="BA72" s="176">
        <v>3895.8989556625293</v>
      </c>
      <c r="BB72" s="176">
        <v>3975.2190040282294</v>
      </c>
      <c r="BC72" s="176">
        <v>4000</v>
      </c>
      <c r="BD72" s="176">
        <v>4000</v>
      </c>
      <c r="BE72" s="176">
        <v>4000</v>
      </c>
      <c r="BF72" s="176">
        <v>4000</v>
      </c>
      <c r="BG72" s="176">
        <v>4000</v>
      </c>
      <c r="BH72" s="176">
        <v>4000</v>
      </c>
      <c r="BI72" s="176">
        <v>4000</v>
      </c>
      <c r="BJ72" s="176">
        <v>4000</v>
      </c>
      <c r="BK72" s="176">
        <v>4000</v>
      </c>
      <c r="BL72" s="176">
        <v>4000</v>
      </c>
      <c r="BM72" s="176">
        <v>4000</v>
      </c>
      <c r="BN72" s="176">
        <v>4000</v>
      </c>
      <c r="BO72" s="176">
        <v>4000</v>
      </c>
      <c r="BP72" s="176">
        <v>4000</v>
      </c>
      <c r="BQ72" s="176">
        <v>4000</v>
      </c>
      <c r="BR72" s="176">
        <v>4000</v>
      </c>
      <c r="BS72" s="176">
        <v>4000</v>
      </c>
      <c r="BT72" s="176">
        <v>4000</v>
      </c>
      <c r="BU72" s="176">
        <v>4000</v>
      </c>
      <c r="BV72" s="176">
        <v>4000</v>
      </c>
      <c r="BW72" s="176">
        <v>4000</v>
      </c>
      <c r="BX72" s="176">
        <v>4000</v>
      </c>
      <c r="BY72" s="176">
        <v>4000</v>
      </c>
      <c r="BZ72" s="176">
        <v>4000</v>
      </c>
      <c r="CA72" s="176">
        <v>4000</v>
      </c>
      <c r="CB72" s="176">
        <v>4000</v>
      </c>
      <c r="CC72" s="176">
        <v>4000</v>
      </c>
      <c r="CD72" s="176">
        <v>4000</v>
      </c>
      <c r="CE72" s="176">
        <v>4000</v>
      </c>
      <c r="CF72" s="176">
        <v>4000</v>
      </c>
      <c r="CG72" s="176">
        <v>4000</v>
      </c>
      <c r="CH72" s="176">
        <v>4000</v>
      </c>
      <c r="CI72" s="176">
        <v>4000</v>
      </c>
      <c r="CJ72" s="176">
        <v>4000</v>
      </c>
      <c r="CK72" s="176">
        <v>4000</v>
      </c>
      <c r="CL72" s="176">
        <v>4000</v>
      </c>
      <c r="CM72" s="176">
        <v>4000</v>
      </c>
      <c r="CN72" s="176">
        <v>4000</v>
      </c>
      <c r="CO72" s="176">
        <v>4000</v>
      </c>
      <c r="CP72" s="176">
        <v>4000</v>
      </c>
      <c r="CQ72" s="176">
        <v>4000</v>
      </c>
      <c r="CR72" s="176">
        <v>4000</v>
      </c>
      <c r="CS72" s="176">
        <v>4000</v>
      </c>
      <c r="CT72" s="176">
        <v>4000</v>
      </c>
      <c r="CU72" s="176">
        <v>4000</v>
      </c>
      <c r="CV72" s="176">
        <v>4000</v>
      </c>
      <c r="CW72" s="176">
        <v>4000</v>
      </c>
      <c r="CX72" s="176">
        <v>4000</v>
      </c>
      <c r="CY72" s="176">
        <v>4000</v>
      </c>
      <c r="CZ72" s="176">
        <v>4000</v>
      </c>
      <c r="DA72" s="176">
        <v>4000</v>
      </c>
      <c r="DB72" s="176">
        <v>4000</v>
      </c>
      <c r="DC72" s="176">
        <v>4000</v>
      </c>
      <c r="DD72" s="176">
        <v>4000</v>
      </c>
      <c r="DE72" s="176">
        <v>4000</v>
      </c>
      <c r="DF72" s="176">
        <v>4000</v>
      </c>
      <c r="DG72" s="176">
        <v>4000</v>
      </c>
      <c r="DH72" s="176">
        <v>4000</v>
      </c>
      <c r="DI72" s="176">
        <v>4000</v>
      </c>
      <c r="DJ72" s="176">
        <v>4000</v>
      </c>
      <c r="DK72" s="176">
        <v>4000</v>
      </c>
      <c r="DL72" s="176">
        <v>4000</v>
      </c>
      <c r="DM72" s="176">
        <v>4000</v>
      </c>
      <c r="DN72" s="176">
        <v>4000</v>
      </c>
      <c r="DO72" s="176">
        <v>4000</v>
      </c>
      <c r="DP72" s="176">
        <v>4000</v>
      </c>
      <c r="DQ72" s="176">
        <v>4000</v>
      </c>
      <c r="DR72" s="176">
        <v>4000</v>
      </c>
      <c r="DS72" s="176">
        <v>4000</v>
      </c>
      <c r="DT72" s="176">
        <v>4000</v>
      </c>
      <c r="DU72" s="176">
        <v>4000</v>
      </c>
      <c r="DV72" s="176">
        <v>4000</v>
      </c>
      <c r="DW72" s="176">
        <v>4000</v>
      </c>
      <c r="DX72" s="176">
        <v>4000</v>
      </c>
      <c r="DY72" s="176">
        <v>4000</v>
      </c>
      <c r="DZ72" s="176">
        <v>4000</v>
      </c>
      <c r="EA72" s="176">
        <v>4000</v>
      </c>
      <c r="EB72" s="176">
        <v>4000</v>
      </c>
      <c r="EC72" s="176">
        <v>4000</v>
      </c>
      <c r="ED72" s="176">
        <v>4000</v>
      </c>
      <c r="EE72" s="176">
        <v>4000</v>
      </c>
      <c r="EF72" s="176">
        <v>4000</v>
      </c>
      <c r="EG72" s="176">
        <v>4000</v>
      </c>
      <c r="EH72" s="176">
        <v>4000</v>
      </c>
      <c r="EI72" s="176">
        <v>4000</v>
      </c>
      <c r="EJ72" s="176">
        <v>4000</v>
      </c>
      <c r="EK72" s="176">
        <v>4000</v>
      </c>
      <c r="EL72" s="176">
        <v>4000</v>
      </c>
      <c r="EM72" s="176">
        <v>3984.9878768571257</v>
      </c>
      <c r="EN72" s="176">
        <v>3860.3758480763445</v>
      </c>
      <c r="EO72" s="176">
        <v>3751.8379685006548</v>
      </c>
      <c r="EP72" t="str">
        <f t="shared" si="1"/>
        <v>1y 232d</v>
      </c>
    </row>
    <row r="73" spans="2:146" x14ac:dyDescent="0.25">
      <c r="B73" s="9">
        <v>70</v>
      </c>
      <c r="D73">
        <v>6350445.7720799176</v>
      </c>
      <c r="E73" s="12">
        <v>5026567557.5030155</v>
      </c>
      <c r="F73" s="12">
        <v>12636822131.318314</v>
      </c>
      <c r="G73" s="12">
        <v>0</v>
      </c>
      <c r="H73" s="12">
        <v>11690582.319316378</v>
      </c>
      <c r="I73" s="12">
        <v>-18561960264.479992</v>
      </c>
      <c r="J73" s="12">
        <v>-8193567565.3257494</v>
      </c>
      <c r="K73" s="12">
        <v>19744200.404993255</v>
      </c>
      <c r="L73" s="12">
        <v>4179736.519621524</v>
      </c>
      <c r="M73" s="12">
        <v>17272590212.816227</v>
      </c>
      <c r="N73" s="12">
        <v>-8433297400.7432318</v>
      </c>
      <c r="O73" s="12">
        <v>45304680.999693379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S73" s="6">
        <v>14384814.076629033</v>
      </c>
      <c r="AT73" s="176">
        <v>3655.4008847591572</v>
      </c>
      <c r="AU73" s="176">
        <v>3648.6168047429569</v>
      </c>
      <c r="AV73" s="176">
        <v>3652.582131532321</v>
      </c>
      <c r="AW73" s="176">
        <v>3667.3869531535829</v>
      </c>
      <c r="AX73" s="176">
        <v>3693.1375757495448</v>
      </c>
      <c r="AY73" s="176">
        <v>3729.947803368972</v>
      </c>
      <c r="AZ73" s="176">
        <v>3777.9228116756099</v>
      </c>
      <c r="BA73" s="176">
        <v>3837.1632154714353</v>
      </c>
      <c r="BB73" s="176">
        <v>3907.7510571380594</v>
      </c>
      <c r="BC73" s="176">
        <v>3989.7476012498246</v>
      </c>
      <c r="BD73" s="176">
        <v>4000</v>
      </c>
      <c r="BE73" s="176">
        <v>4000</v>
      </c>
      <c r="BF73" s="176">
        <v>4000</v>
      </c>
      <c r="BG73" s="176">
        <v>4000</v>
      </c>
      <c r="BH73" s="176">
        <v>4000</v>
      </c>
      <c r="BI73" s="176">
        <v>4000</v>
      </c>
      <c r="BJ73" s="176">
        <v>4000</v>
      </c>
      <c r="BK73" s="176">
        <v>4000</v>
      </c>
      <c r="BL73" s="176">
        <v>4000</v>
      </c>
      <c r="BM73" s="176">
        <v>4000</v>
      </c>
      <c r="BN73" s="176">
        <v>4000</v>
      </c>
      <c r="BO73" s="176">
        <v>4000</v>
      </c>
      <c r="BP73" s="176">
        <v>4000</v>
      </c>
      <c r="BQ73" s="176">
        <v>4000</v>
      </c>
      <c r="BR73" s="176">
        <v>4000</v>
      </c>
      <c r="BS73" s="176">
        <v>4000</v>
      </c>
      <c r="BT73" s="176">
        <v>4000</v>
      </c>
      <c r="BU73" s="176">
        <v>4000</v>
      </c>
      <c r="BV73" s="176">
        <v>4000</v>
      </c>
      <c r="BW73" s="176">
        <v>4000</v>
      </c>
      <c r="BX73" s="176">
        <v>4000</v>
      </c>
      <c r="BY73" s="176">
        <v>4000</v>
      </c>
      <c r="BZ73" s="176">
        <v>4000</v>
      </c>
      <c r="CA73" s="176">
        <v>4000</v>
      </c>
      <c r="CB73" s="176">
        <v>4000</v>
      </c>
      <c r="CC73" s="176">
        <v>4000</v>
      </c>
      <c r="CD73" s="176">
        <v>4000</v>
      </c>
      <c r="CE73" s="176">
        <v>4000</v>
      </c>
      <c r="CF73" s="176">
        <v>4000</v>
      </c>
      <c r="CG73" s="176">
        <v>4000</v>
      </c>
      <c r="CH73" s="176">
        <v>4000</v>
      </c>
      <c r="CI73" s="176">
        <v>4000</v>
      </c>
      <c r="CJ73" s="176">
        <v>4000</v>
      </c>
      <c r="CK73" s="176">
        <v>4000</v>
      </c>
      <c r="CL73" s="176">
        <v>4000</v>
      </c>
      <c r="CM73" s="176">
        <v>4000</v>
      </c>
      <c r="CN73" s="176">
        <v>4000</v>
      </c>
      <c r="CO73" s="176">
        <v>4000</v>
      </c>
      <c r="CP73" s="176">
        <v>4000</v>
      </c>
      <c r="CQ73" s="176">
        <v>4000</v>
      </c>
      <c r="CR73" s="176">
        <v>4000</v>
      </c>
      <c r="CS73" s="176">
        <v>4000</v>
      </c>
      <c r="CT73" s="176">
        <v>4000</v>
      </c>
      <c r="CU73" s="176">
        <v>4000</v>
      </c>
      <c r="CV73" s="176">
        <v>4000</v>
      </c>
      <c r="CW73" s="176">
        <v>4000</v>
      </c>
      <c r="CX73" s="176">
        <v>4000</v>
      </c>
      <c r="CY73" s="176">
        <v>4000</v>
      </c>
      <c r="CZ73" s="176">
        <v>4000</v>
      </c>
      <c r="DA73" s="176">
        <v>4000</v>
      </c>
      <c r="DB73" s="176">
        <v>4000</v>
      </c>
      <c r="DC73" s="176">
        <v>4000</v>
      </c>
      <c r="DD73" s="176">
        <v>4000</v>
      </c>
      <c r="DE73" s="176">
        <v>4000</v>
      </c>
      <c r="DF73" s="176">
        <v>4000</v>
      </c>
      <c r="DG73" s="176">
        <v>4000</v>
      </c>
      <c r="DH73" s="176">
        <v>4000</v>
      </c>
      <c r="DI73" s="176">
        <v>4000</v>
      </c>
      <c r="DJ73" s="176">
        <v>4000</v>
      </c>
      <c r="DK73" s="176">
        <v>4000</v>
      </c>
      <c r="DL73" s="176">
        <v>4000</v>
      </c>
      <c r="DM73" s="176">
        <v>4000</v>
      </c>
      <c r="DN73" s="176">
        <v>4000</v>
      </c>
      <c r="DO73" s="176">
        <v>4000</v>
      </c>
      <c r="DP73" s="176">
        <v>4000</v>
      </c>
      <c r="DQ73" s="176">
        <v>4000</v>
      </c>
      <c r="DR73" s="176">
        <v>4000</v>
      </c>
      <c r="DS73" s="176">
        <v>4000</v>
      </c>
      <c r="DT73" s="176">
        <v>4000</v>
      </c>
      <c r="DU73" s="176">
        <v>4000</v>
      </c>
      <c r="DV73" s="176">
        <v>4000</v>
      </c>
      <c r="DW73" s="176">
        <v>4000</v>
      </c>
      <c r="DX73" s="176">
        <v>4000</v>
      </c>
      <c r="DY73" s="176">
        <v>4000</v>
      </c>
      <c r="DZ73" s="176">
        <v>4000</v>
      </c>
      <c r="EA73" s="176">
        <v>4000</v>
      </c>
      <c r="EB73" s="176">
        <v>4000</v>
      </c>
      <c r="EC73" s="176">
        <v>4000</v>
      </c>
      <c r="ED73" s="176">
        <v>4000</v>
      </c>
      <c r="EE73" s="176">
        <v>4000</v>
      </c>
      <c r="EF73" s="176">
        <v>4000</v>
      </c>
      <c r="EG73" s="176">
        <v>4000</v>
      </c>
      <c r="EH73" s="176">
        <v>4000</v>
      </c>
      <c r="EI73" s="176">
        <v>4000</v>
      </c>
      <c r="EJ73" s="176">
        <v>4000</v>
      </c>
      <c r="EK73" s="176">
        <v>4000</v>
      </c>
      <c r="EL73" s="176">
        <v>4000</v>
      </c>
      <c r="EM73" s="176">
        <v>4000</v>
      </c>
      <c r="EN73" s="176">
        <v>3984.5699400334856</v>
      </c>
      <c r="EO73" s="176">
        <v>3856.7444107240281</v>
      </c>
      <c r="EP73" t="str">
        <f t="shared" si="1"/>
        <v>1y 240d</v>
      </c>
    </row>
    <row r="74" spans="2:146" x14ac:dyDescent="0.25">
      <c r="B74" s="9">
        <v>71</v>
      </c>
      <c r="D74">
        <v>6442481.2180520901</v>
      </c>
      <c r="E74" s="12">
        <v>4223176147.8134274</v>
      </c>
      <c r="F74" s="12">
        <v>12927507037.834396</v>
      </c>
      <c r="G74" s="12">
        <v>0</v>
      </c>
      <c r="H74" s="12">
        <v>11857231.448154833</v>
      </c>
      <c r="I74" s="12">
        <v>-18064273104.552654</v>
      </c>
      <c r="J74" s="12">
        <v>-9370625628.4143581</v>
      </c>
      <c r="K74" s="12">
        <v>20258064.254587244</v>
      </c>
      <c r="L74" s="12">
        <v>4271923.8802632662</v>
      </c>
      <c r="M74" s="12">
        <v>17665392629.427166</v>
      </c>
      <c r="N74" s="12">
        <v>-7882919374.5833769</v>
      </c>
      <c r="O74" s="12">
        <v>43921161.805079095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S74" s="6">
        <v>14563682.838053085</v>
      </c>
      <c r="AT74" s="176">
        <v>3682.447533574561</v>
      </c>
      <c r="AU74" s="176">
        <v>3662.5368968038747</v>
      </c>
      <c r="AV74" s="176">
        <v>3654.0996602491005</v>
      </c>
      <c r="AW74" s="176">
        <v>3657.1688411174437</v>
      </c>
      <c r="AX74" s="176">
        <v>3671.8011274992305</v>
      </c>
      <c r="AY74" s="176">
        <v>3698.0669077248931</v>
      </c>
      <c r="AZ74" s="176">
        <v>3736.031768946892</v>
      </c>
      <c r="BA74" s="176">
        <v>3785.7609494583348</v>
      </c>
      <c r="BB74" s="176">
        <v>3847.3032606380802</v>
      </c>
      <c r="BC74" s="176">
        <v>3920.6883939295412</v>
      </c>
      <c r="BD74" s="176">
        <v>4000</v>
      </c>
      <c r="BE74" s="176">
        <v>4000</v>
      </c>
      <c r="BF74" s="176">
        <v>4000</v>
      </c>
      <c r="BG74" s="176">
        <v>4000</v>
      </c>
      <c r="BH74" s="176">
        <v>4000</v>
      </c>
      <c r="BI74" s="176">
        <v>4000</v>
      </c>
      <c r="BJ74" s="176">
        <v>4000</v>
      </c>
      <c r="BK74" s="176">
        <v>4000</v>
      </c>
      <c r="BL74" s="176">
        <v>4000</v>
      </c>
      <c r="BM74" s="176">
        <v>4000</v>
      </c>
      <c r="BN74" s="176">
        <v>4000</v>
      </c>
      <c r="BO74" s="176">
        <v>4000</v>
      </c>
      <c r="BP74" s="176">
        <v>4000</v>
      </c>
      <c r="BQ74" s="176">
        <v>4000</v>
      </c>
      <c r="BR74" s="176">
        <v>4000</v>
      </c>
      <c r="BS74" s="176">
        <v>4000</v>
      </c>
      <c r="BT74" s="176">
        <v>4000</v>
      </c>
      <c r="BU74" s="176">
        <v>4000</v>
      </c>
      <c r="BV74" s="176">
        <v>4000</v>
      </c>
      <c r="BW74" s="176">
        <v>4000</v>
      </c>
      <c r="BX74" s="176">
        <v>4000</v>
      </c>
      <c r="BY74" s="176">
        <v>4000</v>
      </c>
      <c r="BZ74" s="176">
        <v>4000</v>
      </c>
      <c r="CA74" s="176">
        <v>4000</v>
      </c>
      <c r="CB74" s="176">
        <v>4000</v>
      </c>
      <c r="CC74" s="176">
        <v>4000</v>
      </c>
      <c r="CD74" s="176">
        <v>4000</v>
      </c>
      <c r="CE74" s="176">
        <v>4000</v>
      </c>
      <c r="CF74" s="176">
        <v>4000</v>
      </c>
      <c r="CG74" s="176">
        <v>4000</v>
      </c>
      <c r="CH74" s="176">
        <v>4000</v>
      </c>
      <c r="CI74" s="176">
        <v>4000</v>
      </c>
      <c r="CJ74" s="176">
        <v>4000</v>
      </c>
      <c r="CK74" s="176">
        <v>4000</v>
      </c>
      <c r="CL74" s="176">
        <v>4000</v>
      </c>
      <c r="CM74" s="176">
        <v>4000</v>
      </c>
      <c r="CN74" s="176">
        <v>4000</v>
      </c>
      <c r="CO74" s="176">
        <v>4000</v>
      </c>
      <c r="CP74" s="176">
        <v>4000</v>
      </c>
      <c r="CQ74" s="176">
        <v>4000</v>
      </c>
      <c r="CR74" s="176">
        <v>4000</v>
      </c>
      <c r="CS74" s="176">
        <v>4000</v>
      </c>
      <c r="CT74" s="176">
        <v>4000</v>
      </c>
      <c r="CU74" s="176">
        <v>4000</v>
      </c>
      <c r="CV74" s="176">
        <v>4000</v>
      </c>
      <c r="CW74" s="176">
        <v>4000</v>
      </c>
      <c r="CX74" s="176">
        <v>4000</v>
      </c>
      <c r="CY74" s="176">
        <v>4000</v>
      </c>
      <c r="CZ74" s="176">
        <v>4000</v>
      </c>
      <c r="DA74" s="176">
        <v>4000</v>
      </c>
      <c r="DB74" s="176">
        <v>4000</v>
      </c>
      <c r="DC74" s="176">
        <v>4000</v>
      </c>
      <c r="DD74" s="176">
        <v>4000</v>
      </c>
      <c r="DE74" s="176">
        <v>4000</v>
      </c>
      <c r="DF74" s="176">
        <v>4000</v>
      </c>
      <c r="DG74" s="176">
        <v>4000</v>
      </c>
      <c r="DH74" s="176">
        <v>4000</v>
      </c>
      <c r="DI74" s="176">
        <v>4000</v>
      </c>
      <c r="DJ74" s="176">
        <v>4000</v>
      </c>
      <c r="DK74" s="176">
        <v>4000</v>
      </c>
      <c r="DL74" s="176">
        <v>4000</v>
      </c>
      <c r="DM74" s="176">
        <v>4000</v>
      </c>
      <c r="DN74" s="176">
        <v>4000</v>
      </c>
      <c r="DO74" s="176">
        <v>4000</v>
      </c>
      <c r="DP74" s="176">
        <v>4000</v>
      </c>
      <c r="DQ74" s="176">
        <v>4000</v>
      </c>
      <c r="DR74" s="176">
        <v>4000</v>
      </c>
      <c r="DS74" s="176">
        <v>4000</v>
      </c>
      <c r="DT74" s="176">
        <v>4000</v>
      </c>
      <c r="DU74" s="176">
        <v>4000</v>
      </c>
      <c r="DV74" s="176">
        <v>4000</v>
      </c>
      <c r="DW74" s="176">
        <v>4000</v>
      </c>
      <c r="DX74" s="176">
        <v>4000</v>
      </c>
      <c r="DY74" s="176">
        <v>4000</v>
      </c>
      <c r="DZ74" s="176">
        <v>4000</v>
      </c>
      <c r="EA74" s="176">
        <v>4000</v>
      </c>
      <c r="EB74" s="176">
        <v>4000</v>
      </c>
      <c r="EC74" s="176">
        <v>4000</v>
      </c>
      <c r="ED74" s="176">
        <v>4000</v>
      </c>
      <c r="EE74" s="176">
        <v>4000</v>
      </c>
      <c r="EF74" s="176">
        <v>4000</v>
      </c>
      <c r="EG74" s="176">
        <v>4000</v>
      </c>
      <c r="EH74" s="176">
        <v>4000</v>
      </c>
      <c r="EI74" s="176">
        <v>4000</v>
      </c>
      <c r="EJ74" s="176">
        <v>4000</v>
      </c>
      <c r="EK74" s="176">
        <v>4000</v>
      </c>
      <c r="EL74" s="176">
        <v>4000</v>
      </c>
      <c r="EM74" s="176">
        <v>4000</v>
      </c>
      <c r="EN74" s="176">
        <v>4000</v>
      </c>
      <c r="EO74" s="176">
        <v>3976.8533080309653</v>
      </c>
      <c r="EP74" t="str">
        <f t="shared" si="1"/>
        <v>1y 248d</v>
      </c>
    </row>
    <row r="75" spans="2:146" x14ac:dyDescent="0.25">
      <c r="B75" s="9">
        <v>72</v>
      </c>
      <c r="D75">
        <v>6534516.6640242627</v>
      </c>
      <c r="E75" s="12">
        <v>3403117791.2540736</v>
      </c>
      <c r="F75" s="12">
        <v>13167172980.088327</v>
      </c>
      <c r="G75" s="12">
        <v>0</v>
      </c>
      <c r="H75" s="12">
        <v>12024882.736702362</v>
      </c>
      <c r="I75" s="12">
        <v>-17493200418.038353</v>
      </c>
      <c r="J75" s="12">
        <v>-10518243893.676439</v>
      </c>
      <c r="K75" s="12">
        <v>20696074.79885947</v>
      </c>
      <c r="L75" s="12">
        <v>4365279.5375857558</v>
      </c>
      <c r="M75" s="12">
        <v>18038397493.448662</v>
      </c>
      <c r="N75" s="12">
        <v>-7314511717.3320427</v>
      </c>
      <c r="O75" s="12">
        <v>42458513.614796512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S75" s="6">
        <v>14742551.599477137</v>
      </c>
      <c r="AT75" s="176">
        <v>3721.037961174442</v>
      </c>
      <c r="AU75" s="176">
        <v>3687.1982791410228</v>
      </c>
      <c r="AV75" s="176">
        <v>3665.652640519017</v>
      </c>
      <c r="AW75" s="176">
        <v>3656.363234655887</v>
      </c>
      <c r="AX75" s="176">
        <v>3659.3256106258773</v>
      </c>
      <c r="AY75" s="176">
        <v>3674.5549471085451</v>
      </c>
      <c r="AZ75" s="176">
        <v>3702.0757988936957</v>
      </c>
      <c r="BA75" s="176">
        <v>3741.9048406562088</v>
      </c>
      <c r="BB75" s="176">
        <v>3794.0543103726354</v>
      </c>
      <c r="BC75" s="176">
        <v>3858.517666461054</v>
      </c>
      <c r="BD75" s="176">
        <v>3935.2674549737799</v>
      </c>
      <c r="BE75" s="176">
        <v>4000</v>
      </c>
      <c r="BF75" s="176">
        <v>4000</v>
      </c>
      <c r="BG75" s="176">
        <v>4000</v>
      </c>
      <c r="BH75" s="176">
        <v>4000</v>
      </c>
      <c r="BI75" s="176">
        <v>4000</v>
      </c>
      <c r="BJ75" s="176">
        <v>4000</v>
      </c>
      <c r="BK75" s="176">
        <v>4000</v>
      </c>
      <c r="BL75" s="176">
        <v>4000</v>
      </c>
      <c r="BM75" s="176">
        <v>4000</v>
      </c>
      <c r="BN75" s="176">
        <v>4000</v>
      </c>
      <c r="BO75" s="176">
        <v>4000</v>
      </c>
      <c r="BP75" s="176">
        <v>4000</v>
      </c>
      <c r="BQ75" s="176">
        <v>4000</v>
      </c>
      <c r="BR75" s="176">
        <v>4000</v>
      </c>
      <c r="BS75" s="176">
        <v>4000</v>
      </c>
      <c r="BT75" s="176">
        <v>4000</v>
      </c>
      <c r="BU75" s="176">
        <v>4000</v>
      </c>
      <c r="BV75" s="176">
        <v>4000</v>
      </c>
      <c r="BW75" s="176">
        <v>4000</v>
      </c>
      <c r="BX75" s="176">
        <v>4000</v>
      </c>
      <c r="BY75" s="176">
        <v>4000</v>
      </c>
      <c r="BZ75" s="176">
        <v>4000</v>
      </c>
      <c r="CA75" s="176">
        <v>4000</v>
      </c>
      <c r="CB75" s="176">
        <v>4000</v>
      </c>
      <c r="CC75" s="176">
        <v>4000</v>
      </c>
      <c r="CD75" s="176">
        <v>4000</v>
      </c>
      <c r="CE75" s="176">
        <v>4000</v>
      </c>
      <c r="CF75" s="176">
        <v>4000</v>
      </c>
      <c r="CG75" s="176">
        <v>4000</v>
      </c>
      <c r="CH75" s="176">
        <v>4000</v>
      </c>
      <c r="CI75" s="176">
        <v>4000</v>
      </c>
      <c r="CJ75" s="176">
        <v>4000</v>
      </c>
      <c r="CK75" s="176">
        <v>4000</v>
      </c>
      <c r="CL75" s="176">
        <v>4000</v>
      </c>
      <c r="CM75" s="176">
        <v>4000</v>
      </c>
      <c r="CN75" s="176">
        <v>4000</v>
      </c>
      <c r="CO75" s="176">
        <v>4000</v>
      </c>
      <c r="CP75" s="176">
        <v>4000</v>
      </c>
      <c r="CQ75" s="176">
        <v>4000</v>
      </c>
      <c r="CR75" s="176">
        <v>4000</v>
      </c>
      <c r="CS75" s="176">
        <v>4000</v>
      </c>
      <c r="CT75" s="176">
        <v>4000</v>
      </c>
      <c r="CU75" s="176">
        <v>4000</v>
      </c>
      <c r="CV75" s="176">
        <v>4000</v>
      </c>
      <c r="CW75" s="176">
        <v>4000</v>
      </c>
      <c r="CX75" s="176">
        <v>4000</v>
      </c>
      <c r="CY75" s="176">
        <v>4000</v>
      </c>
      <c r="CZ75" s="176">
        <v>4000</v>
      </c>
      <c r="DA75" s="176">
        <v>4000</v>
      </c>
      <c r="DB75" s="176">
        <v>4000</v>
      </c>
      <c r="DC75" s="176">
        <v>4000</v>
      </c>
      <c r="DD75" s="176">
        <v>4000</v>
      </c>
      <c r="DE75" s="176">
        <v>4000</v>
      </c>
      <c r="DF75" s="176">
        <v>4000</v>
      </c>
      <c r="DG75" s="176">
        <v>4000</v>
      </c>
      <c r="DH75" s="176">
        <v>4000</v>
      </c>
      <c r="DI75" s="176">
        <v>4000</v>
      </c>
      <c r="DJ75" s="176">
        <v>4000</v>
      </c>
      <c r="DK75" s="176">
        <v>4000</v>
      </c>
      <c r="DL75" s="176">
        <v>4000</v>
      </c>
      <c r="DM75" s="176">
        <v>4000</v>
      </c>
      <c r="DN75" s="176">
        <v>4000</v>
      </c>
      <c r="DO75" s="176">
        <v>4000</v>
      </c>
      <c r="DP75" s="176">
        <v>4000</v>
      </c>
      <c r="DQ75" s="176">
        <v>4000</v>
      </c>
      <c r="DR75" s="176">
        <v>4000</v>
      </c>
      <c r="DS75" s="176">
        <v>4000</v>
      </c>
      <c r="DT75" s="176">
        <v>4000</v>
      </c>
      <c r="DU75" s="176">
        <v>4000</v>
      </c>
      <c r="DV75" s="176">
        <v>4000</v>
      </c>
      <c r="DW75" s="176">
        <v>4000</v>
      </c>
      <c r="DX75" s="176">
        <v>4000</v>
      </c>
      <c r="DY75" s="176">
        <v>4000</v>
      </c>
      <c r="DZ75" s="176">
        <v>4000</v>
      </c>
      <c r="EA75" s="176">
        <v>4000</v>
      </c>
      <c r="EB75" s="176">
        <v>4000</v>
      </c>
      <c r="EC75" s="176">
        <v>4000</v>
      </c>
      <c r="ED75" s="176">
        <v>4000</v>
      </c>
      <c r="EE75" s="176">
        <v>4000</v>
      </c>
      <c r="EF75" s="176">
        <v>4000</v>
      </c>
      <c r="EG75" s="176">
        <v>4000</v>
      </c>
      <c r="EH75" s="176">
        <v>4000</v>
      </c>
      <c r="EI75" s="176">
        <v>4000</v>
      </c>
      <c r="EJ75" s="176">
        <v>4000</v>
      </c>
      <c r="EK75" s="176">
        <v>4000</v>
      </c>
      <c r="EL75" s="176">
        <v>4000</v>
      </c>
      <c r="EM75" s="176">
        <v>4000</v>
      </c>
      <c r="EN75" s="176">
        <v>4000</v>
      </c>
      <c r="EO75" s="176">
        <v>4000</v>
      </c>
      <c r="EP75" t="str">
        <f t="shared" si="1"/>
        <v>1y 256d</v>
      </c>
    </row>
    <row r="76" spans="2:146" x14ac:dyDescent="0.25">
      <c r="B76" s="9">
        <v>73</v>
      </c>
      <c r="D76">
        <v>6626552.1099964352</v>
      </c>
      <c r="E76" s="12">
        <v>2569628883.5092697</v>
      </c>
      <c r="F76" s="12">
        <v>13354874106.09898</v>
      </c>
      <c r="G76" s="12">
        <v>0</v>
      </c>
      <c r="H76" s="12">
        <v>12193564.07196429</v>
      </c>
      <c r="I76" s="12">
        <v>-16850240938.585722</v>
      </c>
      <c r="J76" s="12">
        <v>-11631795982.581018</v>
      </c>
      <c r="K76" s="12">
        <v>21055876.585690297</v>
      </c>
      <c r="L76" s="12">
        <v>4459786.0467769187</v>
      </c>
      <c r="M76" s="12">
        <v>18390548770.773746</v>
      </c>
      <c r="N76" s="12">
        <v>-6728777356.8103619</v>
      </c>
      <c r="O76" s="12">
        <v>40917929.690733582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S76" s="6">
        <v>14921420.360901188</v>
      </c>
      <c r="AT76" s="176">
        <v>3771.8656974642804</v>
      </c>
      <c r="AU76" s="176">
        <v>3723.1974615343734</v>
      </c>
      <c r="AV76" s="176">
        <v>3687.7549380377477</v>
      </c>
      <c r="AW76" s="176">
        <v>3665.4131562703337</v>
      </c>
      <c r="AX76" s="176">
        <v>3656.0929219139562</v>
      </c>
      <c r="AY76" s="176">
        <v>3659.7448238877141</v>
      </c>
      <c r="AZ76" s="176">
        <v>3676.3372149768593</v>
      </c>
      <c r="BA76" s="176">
        <v>3705.8362395819609</v>
      </c>
      <c r="BB76" s="176">
        <v>3748.2092146182044</v>
      </c>
      <c r="BC76" s="176">
        <v>3803.408010311121</v>
      </c>
      <c r="BD76" s="176">
        <v>3871.3661869072121</v>
      </c>
      <c r="BE76" s="176">
        <v>3951.9955822094207</v>
      </c>
      <c r="BF76" s="176">
        <v>4000</v>
      </c>
      <c r="BG76" s="176">
        <v>4000</v>
      </c>
      <c r="BH76" s="176">
        <v>4000</v>
      </c>
      <c r="BI76" s="176">
        <v>4000</v>
      </c>
      <c r="BJ76" s="176">
        <v>4000</v>
      </c>
      <c r="BK76" s="176">
        <v>4000</v>
      </c>
      <c r="BL76" s="176">
        <v>4000</v>
      </c>
      <c r="BM76" s="176">
        <v>4000</v>
      </c>
      <c r="BN76" s="176">
        <v>4000</v>
      </c>
      <c r="BO76" s="176">
        <v>4000</v>
      </c>
      <c r="BP76" s="176">
        <v>4000</v>
      </c>
      <c r="BQ76" s="176">
        <v>4000</v>
      </c>
      <c r="BR76" s="176">
        <v>4000</v>
      </c>
      <c r="BS76" s="176">
        <v>4000</v>
      </c>
      <c r="BT76" s="176">
        <v>4000</v>
      </c>
      <c r="BU76" s="176">
        <v>4000</v>
      </c>
      <c r="BV76" s="176">
        <v>4000</v>
      </c>
      <c r="BW76" s="176">
        <v>4000</v>
      </c>
      <c r="BX76" s="176">
        <v>4000</v>
      </c>
      <c r="BY76" s="176">
        <v>4000</v>
      </c>
      <c r="BZ76" s="176">
        <v>4000</v>
      </c>
      <c r="CA76" s="176">
        <v>4000</v>
      </c>
      <c r="CB76" s="176">
        <v>4000</v>
      </c>
      <c r="CC76" s="176">
        <v>4000</v>
      </c>
      <c r="CD76" s="176">
        <v>4000</v>
      </c>
      <c r="CE76" s="176">
        <v>4000</v>
      </c>
      <c r="CF76" s="176">
        <v>4000</v>
      </c>
      <c r="CG76" s="176">
        <v>4000</v>
      </c>
      <c r="CH76" s="176">
        <v>4000</v>
      </c>
      <c r="CI76" s="176">
        <v>4000</v>
      </c>
      <c r="CJ76" s="176">
        <v>4000</v>
      </c>
      <c r="CK76" s="176">
        <v>4000</v>
      </c>
      <c r="CL76" s="176">
        <v>4000</v>
      </c>
      <c r="CM76" s="176">
        <v>4000</v>
      </c>
      <c r="CN76" s="176">
        <v>4000</v>
      </c>
      <c r="CO76" s="176">
        <v>4000</v>
      </c>
      <c r="CP76" s="176">
        <v>4000</v>
      </c>
      <c r="CQ76" s="176">
        <v>4000</v>
      </c>
      <c r="CR76" s="176">
        <v>4000</v>
      </c>
      <c r="CS76" s="176">
        <v>4000</v>
      </c>
      <c r="CT76" s="176">
        <v>4000</v>
      </c>
      <c r="CU76" s="176">
        <v>4000</v>
      </c>
      <c r="CV76" s="176">
        <v>4000</v>
      </c>
      <c r="CW76" s="176">
        <v>4000</v>
      </c>
      <c r="CX76" s="176">
        <v>4000</v>
      </c>
      <c r="CY76" s="176">
        <v>4000</v>
      </c>
      <c r="CZ76" s="176">
        <v>4000</v>
      </c>
      <c r="DA76" s="176">
        <v>4000</v>
      </c>
      <c r="DB76" s="176">
        <v>4000</v>
      </c>
      <c r="DC76" s="176">
        <v>4000</v>
      </c>
      <c r="DD76" s="176">
        <v>4000</v>
      </c>
      <c r="DE76" s="176">
        <v>4000</v>
      </c>
      <c r="DF76" s="176">
        <v>4000</v>
      </c>
      <c r="DG76" s="176">
        <v>4000</v>
      </c>
      <c r="DH76" s="176">
        <v>4000</v>
      </c>
      <c r="DI76" s="176">
        <v>4000</v>
      </c>
      <c r="DJ76" s="176">
        <v>4000</v>
      </c>
      <c r="DK76" s="176">
        <v>4000</v>
      </c>
      <c r="DL76" s="176">
        <v>4000</v>
      </c>
      <c r="DM76" s="176">
        <v>4000</v>
      </c>
      <c r="DN76" s="176">
        <v>4000</v>
      </c>
      <c r="DO76" s="176">
        <v>4000</v>
      </c>
      <c r="DP76" s="176">
        <v>4000</v>
      </c>
      <c r="DQ76" s="176">
        <v>4000</v>
      </c>
      <c r="DR76" s="176">
        <v>4000</v>
      </c>
      <c r="DS76" s="176">
        <v>4000</v>
      </c>
      <c r="DT76" s="176">
        <v>4000</v>
      </c>
      <c r="DU76" s="176">
        <v>4000</v>
      </c>
      <c r="DV76" s="176">
        <v>4000</v>
      </c>
      <c r="DW76" s="176">
        <v>4000</v>
      </c>
      <c r="DX76" s="176">
        <v>4000</v>
      </c>
      <c r="DY76" s="176">
        <v>4000</v>
      </c>
      <c r="DZ76" s="176">
        <v>4000</v>
      </c>
      <c r="EA76" s="176">
        <v>4000</v>
      </c>
      <c r="EB76" s="176">
        <v>4000</v>
      </c>
      <c r="EC76" s="176">
        <v>4000</v>
      </c>
      <c r="ED76" s="176">
        <v>4000</v>
      </c>
      <c r="EE76" s="176">
        <v>4000</v>
      </c>
      <c r="EF76" s="176">
        <v>4000</v>
      </c>
      <c r="EG76" s="176">
        <v>4000</v>
      </c>
      <c r="EH76" s="176">
        <v>4000</v>
      </c>
      <c r="EI76" s="176">
        <v>4000</v>
      </c>
      <c r="EJ76" s="176">
        <v>4000</v>
      </c>
      <c r="EK76" s="176">
        <v>4000</v>
      </c>
      <c r="EL76" s="176">
        <v>4000</v>
      </c>
      <c r="EM76" s="176">
        <v>4000</v>
      </c>
      <c r="EN76" s="176">
        <v>4000</v>
      </c>
      <c r="EO76" s="176">
        <v>4000</v>
      </c>
      <c r="EP76" t="str">
        <f t="shared" si="1"/>
        <v>1y 265d</v>
      </c>
    </row>
    <row r="77" spans="2:146" x14ac:dyDescent="0.25">
      <c r="B77" s="9">
        <v>74</v>
      </c>
      <c r="D77">
        <v>6718587.5559686087</v>
      </c>
      <c r="E77" s="12">
        <v>1725998824.5130119</v>
      </c>
      <c r="F77" s="12">
        <v>13489869645.274481</v>
      </c>
      <c r="G77" s="12">
        <v>0</v>
      </c>
      <c r="H77" s="12">
        <v>12363299.850939322</v>
      </c>
      <c r="I77" s="12">
        <v>-16137190518.982206</v>
      </c>
      <c r="J77" s="12">
        <v>-12706696200.66412</v>
      </c>
      <c r="K77" s="12">
        <v>21335362.633170083</v>
      </c>
      <c r="L77" s="12">
        <v>4555422.9028154528</v>
      </c>
      <c r="M77" s="12">
        <v>18720811028.825836</v>
      </c>
      <c r="N77" s="12">
        <v>-6126488450.4403152</v>
      </c>
      <c r="O77" s="12">
        <v>39300849.778602473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S77" s="6">
        <v>15100289.12232524</v>
      </c>
      <c r="AT77" s="176">
        <v>3835.7046711058492</v>
      </c>
      <c r="AU77" s="176">
        <v>3771.1992909306559</v>
      </c>
      <c r="AV77" s="176">
        <v>3720.9791137476359</v>
      </c>
      <c r="AW77" s="176">
        <v>3684.8125885233717</v>
      </c>
      <c r="AX77" s="176">
        <v>3662.529679612916</v>
      </c>
      <c r="AY77" s="176">
        <v>3654.0030583178741</v>
      </c>
      <c r="AZ77" s="176">
        <v>3659.1317140761703</v>
      </c>
      <c r="BA77" s="176">
        <v>3677.8286492662933</v>
      </c>
      <c r="BB77" s="176">
        <v>3710.0023218477891</v>
      </c>
      <c r="BC77" s="176">
        <v>3755.5589900514387</v>
      </c>
      <c r="BD77" s="176">
        <v>3814.3880603226989</v>
      </c>
      <c r="BE77" s="176">
        <v>3886.3598750800352</v>
      </c>
      <c r="BF77" s="176">
        <v>3971.3232590930666</v>
      </c>
      <c r="BG77" s="176">
        <v>4000</v>
      </c>
      <c r="BH77" s="176">
        <v>4000</v>
      </c>
      <c r="BI77" s="176">
        <v>4000</v>
      </c>
      <c r="BJ77" s="176">
        <v>4000</v>
      </c>
      <c r="BK77" s="176">
        <v>4000</v>
      </c>
      <c r="BL77" s="176">
        <v>4000</v>
      </c>
      <c r="BM77" s="176">
        <v>4000</v>
      </c>
      <c r="BN77" s="176">
        <v>4000</v>
      </c>
      <c r="BO77" s="176">
        <v>4000</v>
      </c>
      <c r="BP77" s="176">
        <v>4000</v>
      </c>
      <c r="BQ77" s="176">
        <v>4000</v>
      </c>
      <c r="BR77" s="176">
        <v>4000</v>
      </c>
      <c r="BS77" s="176">
        <v>4000</v>
      </c>
      <c r="BT77" s="176">
        <v>4000</v>
      </c>
      <c r="BU77" s="176">
        <v>4000</v>
      </c>
      <c r="BV77" s="176">
        <v>4000</v>
      </c>
      <c r="BW77" s="176">
        <v>4000</v>
      </c>
      <c r="BX77" s="176">
        <v>4000</v>
      </c>
      <c r="BY77" s="176">
        <v>4000</v>
      </c>
      <c r="BZ77" s="176">
        <v>4000</v>
      </c>
      <c r="CA77" s="176">
        <v>4000</v>
      </c>
      <c r="CB77" s="176">
        <v>4000</v>
      </c>
      <c r="CC77" s="176">
        <v>4000</v>
      </c>
      <c r="CD77" s="176">
        <v>4000</v>
      </c>
      <c r="CE77" s="176">
        <v>4000</v>
      </c>
      <c r="CF77" s="176">
        <v>4000</v>
      </c>
      <c r="CG77" s="176">
        <v>4000</v>
      </c>
      <c r="CH77" s="176">
        <v>4000</v>
      </c>
      <c r="CI77" s="176">
        <v>4000</v>
      </c>
      <c r="CJ77" s="176">
        <v>4000</v>
      </c>
      <c r="CK77" s="176">
        <v>4000</v>
      </c>
      <c r="CL77" s="176">
        <v>4000</v>
      </c>
      <c r="CM77" s="176">
        <v>4000</v>
      </c>
      <c r="CN77" s="176">
        <v>4000</v>
      </c>
      <c r="CO77" s="176">
        <v>4000</v>
      </c>
      <c r="CP77" s="176">
        <v>4000</v>
      </c>
      <c r="CQ77" s="176">
        <v>4000</v>
      </c>
      <c r="CR77" s="176">
        <v>4000</v>
      </c>
      <c r="CS77" s="176">
        <v>4000</v>
      </c>
      <c r="CT77" s="176">
        <v>4000</v>
      </c>
      <c r="CU77" s="176">
        <v>4000</v>
      </c>
      <c r="CV77" s="176">
        <v>4000</v>
      </c>
      <c r="CW77" s="176">
        <v>4000</v>
      </c>
      <c r="CX77" s="176">
        <v>4000</v>
      </c>
      <c r="CY77" s="176">
        <v>4000</v>
      </c>
      <c r="CZ77" s="176">
        <v>4000</v>
      </c>
      <c r="DA77" s="176">
        <v>4000</v>
      </c>
      <c r="DB77" s="176">
        <v>4000</v>
      </c>
      <c r="DC77" s="176">
        <v>4000</v>
      </c>
      <c r="DD77" s="176">
        <v>4000</v>
      </c>
      <c r="DE77" s="176">
        <v>4000</v>
      </c>
      <c r="DF77" s="176">
        <v>4000</v>
      </c>
      <c r="DG77" s="176">
        <v>4000</v>
      </c>
      <c r="DH77" s="176">
        <v>4000</v>
      </c>
      <c r="DI77" s="176">
        <v>4000</v>
      </c>
      <c r="DJ77" s="176">
        <v>4000</v>
      </c>
      <c r="DK77" s="176">
        <v>4000</v>
      </c>
      <c r="DL77" s="176">
        <v>4000</v>
      </c>
      <c r="DM77" s="176">
        <v>4000</v>
      </c>
      <c r="DN77" s="176">
        <v>4000</v>
      </c>
      <c r="DO77" s="176">
        <v>4000</v>
      </c>
      <c r="DP77" s="176">
        <v>4000</v>
      </c>
      <c r="DQ77" s="176">
        <v>4000</v>
      </c>
      <c r="DR77" s="176">
        <v>4000</v>
      </c>
      <c r="DS77" s="176">
        <v>4000</v>
      </c>
      <c r="DT77" s="176">
        <v>4000</v>
      </c>
      <c r="DU77" s="176">
        <v>4000</v>
      </c>
      <c r="DV77" s="176">
        <v>4000</v>
      </c>
      <c r="DW77" s="176">
        <v>4000</v>
      </c>
      <c r="DX77" s="176">
        <v>4000</v>
      </c>
      <c r="DY77" s="176">
        <v>4000</v>
      </c>
      <c r="DZ77" s="176">
        <v>4000</v>
      </c>
      <c r="EA77" s="176">
        <v>4000</v>
      </c>
      <c r="EB77" s="176">
        <v>4000</v>
      </c>
      <c r="EC77" s="176">
        <v>4000</v>
      </c>
      <c r="ED77" s="176">
        <v>4000</v>
      </c>
      <c r="EE77" s="176">
        <v>4000</v>
      </c>
      <c r="EF77" s="176">
        <v>4000</v>
      </c>
      <c r="EG77" s="176">
        <v>4000</v>
      </c>
      <c r="EH77" s="176">
        <v>4000</v>
      </c>
      <c r="EI77" s="176">
        <v>4000</v>
      </c>
      <c r="EJ77" s="176">
        <v>4000</v>
      </c>
      <c r="EK77" s="176">
        <v>4000</v>
      </c>
      <c r="EL77" s="176">
        <v>4000</v>
      </c>
      <c r="EM77" s="176">
        <v>4000</v>
      </c>
      <c r="EN77" s="176">
        <v>4000</v>
      </c>
      <c r="EO77" s="176">
        <v>4000</v>
      </c>
      <c r="EP77" t="str">
        <f t="shared" si="1"/>
        <v>1y 273d</v>
      </c>
    </row>
    <row r="78" spans="2:146" x14ac:dyDescent="0.25">
      <c r="B78" s="9">
        <v>75</v>
      </c>
      <c r="D78">
        <v>6810623.0019407813</v>
      </c>
      <c r="E78" s="12">
        <v>875557036.69026947</v>
      </c>
      <c r="F78" s="12">
        <v>13571626831.895294</v>
      </c>
      <c r="G78" s="12">
        <v>0</v>
      </c>
      <c r="H78" s="12">
        <v>12534110.787837138</v>
      </c>
      <c r="I78" s="12">
        <v>-15356146713.776785</v>
      </c>
      <c r="J78" s="12">
        <v>-13738419132.547121</v>
      </c>
      <c r="K78" s="12">
        <v>21532692.429003093</v>
      </c>
      <c r="L78" s="12">
        <v>4652166.4791157106</v>
      </c>
      <c r="M78" s="12">
        <v>19028174876.644951</v>
      </c>
      <c r="N78" s="12">
        <v>-5508486422.1358843</v>
      </c>
      <c r="O78" s="12">
        <v>37608965.858129568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S78" s="6">
        <v>15279157.883749291</v>
      </c>
      <c r="AT78" s="176">
        <v>3913.4235816287701</v>
      </c>
      <c r="AU78" s="176">
        <v>3831.9487430359322</v>
      </c>
      <c r="AV78" s="176">
        <v>3765.9661261317606</v>
      </c>
      <c r="AW78" s="176">
        <v>3715.1145086990291</v>
      </c>
      <c r="AX78" s="176">
        <v>3679.1139360570496</v>
      </c>
      <c r="AY78" s="176">
        <v>3657.7434279565073</v>
      </c>
      <c r="AZ78" s="176">
        <v>3650.8215815980802</v>
      </c>
      <c r="BA78" s="176">
        <v>3658.1918627211176</v>
      </c>
      <c r="BB78" s="176">
        <v>3679.7009065352204</v>
      </c>
      <c r="BC78" s="176">
        <v>3715.200276588238</v>
      </c>
      <c r="BD78" s="176">
        <v>3764.5292955321738</v>
      </c>
      <c r="BE78" s="176">
        <v>3827.5118320471456</v>
      </c>
      <c r="BF78" s="176">
        <v>3903.9529432663535</v>
      </c>
      <c r="BG78" s="176">
        <v>3993.6373908258815</v>
      </c>
      <c r="BH78" s="176">
        <v>4000</v>
      </c>
      <c r="BI78" s="176">
        <v>4000</v>
      </c>
      <c r="BJ78" s="176">
        <v>4000</v>
      </c>
      <c r="BK78" s="176">
        <v>4000</v>
      </c>
      <c r="BL78" s="176">
        <v>4000</v>
      </c>
      <c r="BM78" s="176">
        <v>4000</v>
      </c>
      <c r="BN78" s="176">
        <v>4000</v>
      </c>
      <c r="BO78" s="176">
        <v>4000</v>
      </c>
      <c r="BP78" s="176">
        <v>4000</v>
      </c>
      <c r="BQ78" s="176">
        <v>4000</v>
      </c>
      <c r="BR78" s="176">
        <v>4000</v>
      </c>
      <c r="BS78" s="176">
        <v>4000</v>
      </c>
      <c r="BT78" s="176">
        <v>4000</v>
      </c>
      <c r="BU78" s="176">
        <v>4000</v>
      </c>
      <c r="BV78" s="176">
        <v>4000</v>
      </c>
      <c r="BW78" s="176">
        <v>4000</v>
      </c>
      <c r="BX78" s="176">
        <v>4000</v>
      </c>
      <c r="BY78" s="176">
        <v>4000</v>
      </c>
      <c r="BZ78" s="176">
        <v>4000</v>
      </c>
      <c r="CA78" s="176">
        <v>4000</v>
      </c>
      <c r="CB78" s="176">
        <v>4000</v>
      </c>
      <c r="CC78" s="176">
        <v>4000</v>
      </c>
      <c r="CD78" s="176">
        <v>4000</v>
      </c>
      <c r="CE78" s="176">
        <v>4000</v>
      </c>
      <c r="CF78" s="176">
        <v>4000</v>
      </c>
      <c r="CG78" s="176">
        <v>4000</v>
      </c>
      <c r="CH78" s="176">
        <v>4000</v>
      </c>
      <c r="CI78" s="176">
        <v>4000</v>
      </c>
      <c r="CJ78" s="176">
        <v>4000</v>
      </c>
      <c r="CK78" s="176">
        <v>4000</v>
      </c>
      <c r="CL78" s="176">
        <v>4000</v>
      </c>
      <c r="CM78" s="176">
        <v>4000</v>
      </c>
      <c r="CN78" s="176">
        <v>4000</v>
      </c>
      <c r="CO78" s="176">
        <v>4000</v>
      </c>
      <c r="CP78" s="176">
        <v>4000</v>
      </c>
      <c r="CQ78" s="176">
        <v>4000</v>
      </c>
      <c r="CR78" s="176">
        <v>4000</v>
      </c>
      <c r="CS78" s="176">
        <v>4000</v>
      </c>
      <c r="CT78" s="176">
        <v>4000</v>
      </c>
      <c r="CU78" s="176">
        <v>4000</v>
      </c>
      <c r="CV78" s="176">
        <v>4000</v>
      </c>
      <c r="CW78" s="176">
        <v>4000</v>
      </c>
      <c r="CX78" s="176">
        <v>4000</v>
      </c>
      <c r="CY78" s="176">
        <v>4000</v>
      </c>
      <c r="CZ78" s="176">
        <v>4000</v>
      </c>
      <c r="DA78" s="176">
        <v>4000</v>
      </c>
      <c r="DB78" s="176">
        <v>4000</v>
      </c>
      <c r="DC78" s="176">
        <v>4000</v>
      </c>
      <c r="DD78" s="176">
        <v>4000</v>
      </c>
      <c r="DE78" s="176">
        <v>4000</v>
      </c>
      <c r="DF78" s="176">
        <v>4000</v>
      </c>
      <c r="DG78" s="176">
        <v>4000</v>
      </c>
      <c r="DH78" s="176">
        <v>4000</v>
      </c>
      <c r="DI78" s="176">
        <v>4000</v>
      </c>
      <c r="DJ78" s="176">
        <v>4000</v>
      </c>
      <c r="DK78" s="176">
        <v>4000</v>
      </c>
      <c r="DL78" s="176">
        <v>4000</v>
      </c>
      <c r="DM78" s="176">
        <v>4000</v>
      </c>
      <c r="DN78" s="176">
        <v>4000</v>
      </c>
      <c r="DO78" s="176">
        <v>4000</v>
      </c>
      <c r="DP78" s="176">
        <v>4000</v>
      </c>
      <c r="DQ78" s="176">
        <v>4000</v>
      </c>
      <c r="DR78" s="176">
        <v>4000</v>
      </c>
      <c r="DS78" s="176">
        <v>4000</v>
      </c>
      <c r="DT78" s="176">
        <v>4000</v>
      </c>
      <c r="DU78" s="176">
        <v>4000</v>
      </c>
      <c r="DV78" s="176">
        <v>4000</v>
      </c>
      <c r="DW78" s="176">
        <v>4000</v>
      </c>
      <c r="DX78" s="176">
        <v>4000</v>
      </c>
      <c r="DY78" s="176">
        <v>4000</v>
      </c>
      <c r="DZ78" s="176">
        <v>4000</v>
      </c>
      <c r="EA78" s="176">
        <v>4000</v>
      </c>
      <c r="EB78" s="176">
        <v>4000</v>
      </c>
      <c r="EC78" s="176">
        <v>4000</v>
      </c>
      <c r="ED78" s="176">
        <v>4000</v>
      </c>
      <c r="EE78" s="176">
        <v>4000</v>
      </c>
      <c r="EF78" s="176">
        <v>4000</v>
      </c>
      <c r="EG78" s="176">
        <v>4000</v>
      </c>
      <c r="EH78" s="176">
        <v>4000</v>
      </c>
      <c r="EI78" s="176">
        <v>4000</v>
      </c>
      <c r="EJ78" s="176">
        <v>4000</v>
      </c>
      <c r="EK78" s="176">
        <v>4000</v>
      </c>
      <c r="EL78" s="176">
        <v>4000</v>
      </c>
      <c r="EM78" s="176">
        <v>4000</v>
      </c>
      <c r="EN78" s="176">
        <v>4000</v>
      </c>
      <c r="EO78" s="176">
        <v>4000</v>
      </c>
      <c r="EP78" t="str">
        <f t="shared" si="1"/>
        <v>1y 281d</v>
      </c>
    </row>
    <row r="79" spans="2:146" x14ac:dyDescent="0.25">
      <c r="B79" s="9">
        <v>76</v>
      </c>
      <c r="D79">
        <v>6902658.4479129538</v>
      </c>
      <c r="E79" s="12">
        <v>21659825.247671843</v>
      </c>
      <c r="F79" s="12">
        <v>13599823007.697136</v>
      </c>
      <c r="G79" s="12">
        <v>0</v>
      </c>
      <c r="H79" s="12">
        <v>12706013.726408536</v>
      </c>
      <c r="I79" s="12">
        <v>-14509512059.337996</v>
      </c>
      <c r="J79" s="12">
        <v>-14722520461.276192</v>
      </c>
      <c r="K79" s="12">
        <v>21646309.888304077</v>
      </c>
      <c r="L79" s="12">
        <v>4749989.9807014903</v>
      </c>
      <c r="M79" s="12">
        <v>19311662552.91468</v>
      </c>
      <c r="N79" s="12">
        <v>-4875681539.5068626</v>
      </c>
      <c r="O79" s="12">
        <v>35844226.551269606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S79" s="6">
        <v>15458026.645173343</v>
      </c>
      <c r="AT79" s="176">
        <v>4000</v>
      </c>
      <c r="AU79" s="176">
        <v>3906.2853222367112</v>
      </c>
      <c r="AV79" s="176">
        <v>3823.4371938770983</v>
      </c>
      <c r="AW79" s="176">
        <v>3756.9406901336106</v>
      </c>
      <c r="AX79" s="176">
        <v>3706.3833242818728</v>
      </c>
      <c r="AY79" s="176">
        <v>3671.4318611951421</v>
      </c>
      <c r="AZ79" s="176">
        <v>3651.8092388458645</v>
      </c>
      <c r="BA79" s="176">
        <v>3647.2748087187683</v>
      </c>
      <c r="BB79" s="176">
        <v>3657.6094201408905</v>
      </c>
      <c r="BC79" s="176">
        <v>3682.5953498067956</v>
      </c>
      <c r="BD79" s="176">
        <v>3722.0170728281064</v>
      </c>
      <c r="BE79" s="176">
        <v>3775.6463021849213</v>
      </c>
      <c r="BF79" s="176">
        <v>3843.2395321479153</v>
      </c>
      <c r="BG79" s="176">
        <v>3924.5357185056246</v>
      </c>
      <c r="BH79" s="176">
        <v>4000</v>
      </c>
      <c r="BI79" s="176">
        <v>4000</v>
      </c>
      <c r="BJ79" s="176">
        <v>4000</v>
      </c>
      <c r="BK79" s="176">
        <v>4000</v>
      </c>
      <c r="BL79" s="176">
        <v>4000</v>
      </c>
      <c r="BM79" s="176">
        <v>4000</v>
      </c>
      <c r="BN79" s="176">
        <v>4000</v>
      </c>
      <c r="BO79" s="176">
        <v>4000</v>
      </c>
      <c r="BP79" s="176">
        <v>4000</v>
      </c>
      <c r="BQ79" s="176">
        <v>4000</v>
      </c>
      <c r="BR79" s="176">
        <v>4000</v>
      </c>
      <c r="BS79" s="176">
        <v>4000</v>
      </c>
      <c r="BT79" s="176">
        <v>4000</v>
      </c>
      <c r="BU79" s="176">
        <v>4000</v>
      </c>
      <c r="BV79" s="176">
        <v>4000</v>
      </c>
      <c r="BW79" s="176">
        <v>4000</v>
      </c>
      <c r="BX79" s="176">
        <v>4000</v>
      </c>
      <c r="BY79" s="176">
        <v>4000</v>
      </c>
      <c r="BZ79" s="176">
        <v>4000</v>
      </c>
      <c r="CA79" s="176">
        <v>4000</v>
      </c>
      <c r="CB79" s="176">
        <v>4000</v>
      </c>
      <c r="CC79" s="176">
        <v>4000</v>
      </c>
      <c r="CD79" s="176">
        <v>4000</v>
      </c>
      <c r="CE79" s="176">
        <v>4000</v>
      </c>
      <c r="CF79" s="176">
        <v>4000</v>
      </c>
      <c r="CG79" s="176">
        <v>4000</v>
      </c>
      <c r="CH79" s="176">
        <v>4000</v>
      </c>
      <c r="CI79" s="176">
        <v>4000</v>
      </c>
      <c r="CJ79" s="176">
        <v>4000</v>
      </c>
      <c r="CK79" s="176">
        <v>4000</v>
      </c>
      <c r="CL79" s="176">
        <v>4000</v>
      </c>
      <c r="CM79" s="176">
        <v>4000</v>
      </c>
      <c r="CN79" s="176">
        <v>4000</v>
      </c>
      <c r="CO79" s="176">
        <v>4000</v>
      </c>
      <c r="CP79" s="176">
        <v>4000</v>
      </c>
      <c r="CQ79" s="176">
        <v>4000</v>
      </c>
      <c r="CR79" s="176">
        <v>4000</v>
      </c>
      <c r="CS79" s="176">
        <v>4000</v>
      </c>
      <c r="CT79" s="176">
        <v>4000</v>
      </c>
      <c r="CU79" s="176">
        <v>4000</v>
      </c>
      <c r="CV79" s="176">
        <v>4000</v>
      </c>
      <c r="CW79" s="176">
        <v>4000</v>
      </c>
      <c r="CX79" s="176">
        <v>4000</v>
      </c>
      <c r="CY79" s="176">
        <v>4000</v>
      </c>
      <c r="CZ79" s="176">
        <v>4000</v>
      </c>
      <c r="DA79" s="176">
        <v>4000</v>
      </c>
      <c r="DB79" s="176">
        <v>4000</v>
      </c>
      <c r="DC79" s="176">
        <v>4000</v>
      </c>
      <c r="DD79" s="176">
        <v>4000</v>
      </c>
      <c r="DE79" s="176">
        <v>4000</v>
      </c>
      <c r="DF79" s="176">
        <v>4000</v>
      </c>
      <c r="DG79" s="176">
        <v>4000</v>
      </c>
      <c r="DH79" s="176">
        <v>4000</v>
      </c>
      <c r="DI79" s="176">
        <v>4000</v>
      </c>
      <c r="DJ79" s="176">
        <v>4000</v>
      </c>
      <c r="DK79" s="176">
        <v>4000</v>
      </c>
      <c r="DL79" s="176">
        <v>4000</v>
      </c>
      <c r="DM79" s="176">
        <v>4000</v>
      </c>
      <c r="DN79" s="176">
        <v>4000</v>
      </c>
      <c r="DO79" s="176">
        <v>4000</v>
      </c>
      <c r="DP79" s="176">
        <v>4000</v>
      </c>
      <c r="DQ79" s="176">
        <v>4000</v>
      </c>
      <c r="DR79" s="176">
        <v>4000</v>
      </c>
      <c r="DS79" s="176">
        <v>4000</v>
      </c>
      <c r="DT79" s="176">
        <v>4000</v>
      </c>
      <c r="DU79" s="176">
        <v>4000</v>
      </c>
      <c r="DV79" s="176">
        <v>4000</v>
      </c>
      <c r="DW79" s="176">
        <v>4000</v>
      </c>
      <c r="DX79" s="176">
        <v>4000</v>
      </c>
      <c r="DY79" s="176">
        <v>4000</v>
      </c>
      <c r="DZ79" s="176">
        <v>4000</v>
      </c>
      <c r="EA79" s="176">
        <v>4000</v>
      </c>
      <c r="EB79" s="176">
        <v>4000</v>
      </c>
      <c r="EC79" s="176">
        <v>4000</v>
      </c>
      <c r="ED79" s="176">
        <v>4000</v>
      </c>
      <c r="EE79" s="176">
        <v>4000</v>
      </c>
      <c r="EF79" s="176">
        <v>4000</v>
      </c>
      <c r="EG79" s="176">
        <v>4000</v>
      </c>
      <c r="EH79" s="176">
        <v>4000</v>
      </c>
      <c r="EI79" s="176">
        <v>4000</v>
      </c>
      <c r="EJ79" s="176">
        <v>4000</v>
      </c>
      <c r="EK79" s="176">
        <v>4000</v>
      </c>
      <c r="EL79" s="176">
        <v>4000</v>
      </c>
      <c r="EM79" s="176">
        <v>4000</v>
      </c>
      <c r="EN79" s="176">
        <v>4000</v>
      </c>
      <c r="EO79" s="176">
        <v>4000</v>
      </c>
      <c r="EP79" t="str">
        <f t="shared" si="1"/>
        <v>1y 290d</v>
      </c>
    </row>
    <row r="80" spans="2:146" x14ac:dyDescent="0.25">
      <c r="B80" s="9">
        <v>77</v>
      </c>
      <c r="D80">
        <v>6994693.8938851263</v>
      </c>
      <c r="E80" s="12">
        <v>-832322867.6297456</v>
      </c>
      <c r="F80" s="12">
        <v>13574346895.255724</v>
      </c>
      <c r="G80" s="12">
        <v>0</v>
      </c>
      <c r="H80" s="12">
        <v>12879021.459479015</v>
      </c>
      <c r="I80" s="12">
        <v>-13599995853.305334</v>
      </c>
      <c r="J80" s="12">
        <v>-15654658936.310453</v>
      </c>
      <c r="K80" s="12">
        <v>21674961.067905713</v>
      </c>
      <c r="L80" s="12">
        <v>4848863.4132776298</v>
      </c>
      <c r="M80" s="12">
        <v>19570333618.972248</v>
      </c>
      <c r="N80" s="12">
        <v>-4229052004.7634678</v>
      </c>
      <c r="O80" s="12">
        <v>34008840.057432473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S80" s="6">
        <v>15636895.406597394</v>
      </c>
      <c r="AT80" s="176">
        <v>4000</v>
      </c>
      <c r="AU80" s="176">
        <v>3995.1605304356049</v>
      </c>
      <c r="AV80" s="176">
        <v>3894.2082282890105</v>
      </c>
      <c r="AW80" s="176">
        <v>3810.9936384901739</v>
      </c>
      <c r="AX80" s="176">
        <v>3744.9449616030383</v>
      </c>
      <c r="AY80" s="176">
        <v>3695.5947020478038</v>
      </c>
      <c r="AZ80" s="176">
        <v>3662.5521110119766</v>
      </c>
      <c r="BA80" s="176">
        <v>3645.4795720113862</v>
      </c>
      <c r="BB80" s="176">
        <v>3644.0745501651204</v>
      </c>
      <c r="BC80" s="176">
        <v>3658.0458820246395</v>
      </c>
      <c r="BD80" s="176">
        <v>3687.1133709114783</v>
      </c>
      <c r="BE80" s="176">
        <v>3730.9900370651676</v>
      </c>
      <c r="BF80" s="176">
        <v>3789.378365956597</v>
      </c>
      <c r="BG80" s="176">
        <v>3861.9668823230477</v>
      </c>
      <c r="BH80" s="176">
        <v>3948.4288432167796</v>
      </c>
      <c r="BI80" s="176">
        <v>4000</v>
      </c>
      <c r="BJ80" s="176">
        <v>4000</v>
      </c>
      <c r="BK80" s="176">
        <v>4000</v>
      </c>
      <c r="BL80" s="176">
        <v>4000</v>
      </c>
      <c r="BM80" s="176">
        <v>4000</v>
      </c>
      <c r="BN80" s="176">
        <v>4000</v>
      </c>
      <c r="BO80" s="176">
        <v>4000</v>
      </c>
      <c r="BP80" s="176">
        <v>4000</v>
      </c>
      <c r="BQ80" s="176">
        <v>4000</v>
      </c>
      <c r="BR80" s="176">
        <v>4000</v>
      </c>
      <c r="BS80" s="176">
        <v>4000</v>
      </c>
      <c r="BT80" s="176">
        <v>4000</v>
      </c>
      <c r="BU80" s="176">
        <v>4000</v>
      </c>
      <c r="BV80" s="176">
        <v>4000</v>
      </c>
      <c r="BW80" s="176">
        <v>4000</v>
      </c>
      <c r="BX80" s="176">
        <v>4000</v>
      </c>
      <c r="BY80" s="176">
        <v>4000</v>
      </c>
      <c r="BZ80" s="176">
        <v>4000</v>
      </c>
      <c r="CA80" s="176">
        <v>4000</v>
      </c>
      <c r="CB80" s="176">
        <v>4000</v>
      </c>
      <c r="CC80" s="176">
        <v>4000</v>
      </c>
      <c r="CD80" s="176">
        <v>4000</v>
      </c>
      <c r="CE80" s="176">
        <v>4000</v>
      </c>
      <c r="CF80" s="176">
        <v>4000</v>
      </c>
      <c r="CG80" s="176">
        <v>4000</v>
      </c>
      <c r="CH80" s="176">
        <v>4000</v>
      </c>
      <c r="CI80" s="176">
        <v>4000</v>
      </c>
      <c r="CJ80" s="176">
        <v>4000</v>
      </c>
      <c r="CK80" s="176">
        <v>4000</v>
      </c>
      <c r="CL80" s="176">
        <v>4000</v>
      </c>
      <c r="CM80" s="176">
        <v>4000</v>
      </c>
      <c r="CN80" s="176">
        <v>4000</v>
      </c>
      <c r="CO80" s="176">
        <v>4000</v>
      </c>
      <c r="CP80" s="176">
        <v>4000</v>
      </c>
      <c r="CQ80" s="176">
        <v>4000</v>
      </c>
      <c r="CR80" s="176">
        <v>4000</v>
      </c>
      <c r="CS80" s="176">
        <v>4000</v>
      </c>
      <c r="CT80" s="176">
        <v>4000</v>
      </c>
      <c r="CU80" s="176">
        <v>4000</v>
      </c>
      <c r="CV80" s="176">
        <v>4000</v>
      </c>
      <c r="CW80" s="176">
        <v>4000</v>
      </c>
      <c r="CX80" s="176">
        <v>4000</v>
      </c>
      <c r="CY80" s="176">
        <v>4000</v>
      </c>
      <c r="CZ80" s="176">
        <v>4000</v>
      </c>
      <c r="DA80" s="176">
        <v>4000</v>
      </c>
      <c r="DB80" s="176">
        <v>4000</v>
      </c>
      <c r="DC80" s="176">
        <v>4000</v>
      </c>
      <c r="DD80" s="176">
        <v>4000</v>
      </c>
      <c r="DE80" s="176">
        <v>4000</v>
      </c>
      <c r="DF80" s="176">
        <v>4000</v>
      </c>
      <c r="DG80" s="176">
        <v>4000</v>
      </c>
      <c r="DH80" s="176">
        <v>4000</v>
      </c>
      <c r="DI80" s="176">
        <v>4000</v>
      </c>
      <c r="DJ80" s="176">
        <v>4000</v>
      </c>
      <c r="DK80" s="176">
        <v>4000</v>
      </c>
      <c r="DL80" s="176">
        <v>4000</v>
      </c>
      <c r="DM80" s="176">
        <v>4000</v>
      </c>
      <c r="DN80" s="176">
        <v>4000</v>
      </c>
      <c r="DO80" s="176">
        <v>4000</v>
      </c>
      <c r="DP80" s="176">
        <v>4000</v>
      </c>
      <c r="DQ80" s="176">
        <v>4000</v>
      </c>
      <c r="DR80" s="176">
        <v>4000</v>
      </c>
      <c r="DS80" s="176">
        <v>4000</v>
      </c>
      <c r="DT80" s="176">
        <v>4000</v>
      </c>
      <c r="DU80" s="176">
        <v>4000</v>
      </c>
      <c r="DV80" s="176">
        <v>4000</v>
      </c>
      <c r="DW80" s="176">
        <v>4000</v>
      </c>
      <c r="DX80" s="176">
        <v>4000</v>
      </c>
      <c r="DY80" s="176">
        <v>4000</v>
      </c>
      <c r="DZ80" s="176">
        <v>4000</v>
      </c>
      <c r="EA80" s="176">
        <v>4000</v>
      </c>
      <c r="EB80" s="176">
        <v>4000</v>
      </c>
      <c r="EC80" s="176">
        <v>4000</v>
      </c>
      <c r="ED80" s="176">
        <v>4000</v>
      </c>
      <c r="EE80" s="176">
        <v>4000</v>
      </c>
      <c r="EF80" s="176">
        <v>4000</v>
      </c>
      <c r="EG80" s="176">
        <v>4000</v>
      </c>
      <c r="EH80" s="176">
        <v>4000</v>
      </c>
      <c r="EI80" s="176">
        <v>4000</v>
      </c>
      <c r="EJ80" s="176">
        <v>4000</v>
      </c>
      <c r="EK80" s="176">
        <v>4000</v>
      </c>
      <c r="EL80" s="176">
        <v>4000</v>
      </c>
      <c r="EM80" s="176">
        <v>4000</v>
      </c>
      <c r="EN80" s="176">
        <v>4000</v>
      </c>
      <c r="EO80" s="176">
        <v>4000</v>
      </c>
      <c r="EP80" t="str">
        <f t="shared" si="1"/>
        <v>1y 298d</v>
      </c>
    </row>
    <row r="81" spans="2:146" x14ac:dyDescent="0.25">
      <c r="B81" s="9">
        <v>78</v>
      </c>
      <c r="D81">
        <v>7086729.3398572989</v>
      </c>
      <c r="E81" s="12">
        <v>-1683020762.4007764</v>
      </c>
      <c r="F81" s="12">
        <v>13495299037.147938</v>
      </c>
      <c r="G81" s="12">
        <v>0</v>
      </c>
      <c r="H81" s="12">
        <v>13053142.557944266</v>
      </c>
      <c r="I81" s="12">
        <v>-12630614235.987307</v>
      </c>
      <c r="J81" s="12">
        <v>-16530619386.239292</v>
      </c>
      <c r="K81" s="12">
        <v>21617711.4146339</v>
      </c>
      <c r="L81" s="12">
        <v>4948753.5694823731</v>
      </c>
      <c r="M81" s="12">
        <v>19803290709.32288</v>
      </c>
      <c r="N81" s="12">
        <v>-3569642536.8879023</v>
      </c>
      <c r="O81" s="12">
        <v>32105275.49362104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S81" s="6">
        <v>15815764.168021446</v>
      </c>
      <c r="AT81" s="176">
        <v>4000</v>
      </c>
      <c r="AU81" s="176">
        <v>4000</v>
      </c>
      <c r="AV81" s="176">
        <v>3979.207307207178</v>
      </c>
      <c r="AW81" s="176">
        <v>3878.0710755512969</v>
      </c>
      <c r="AX81" s="176">
        <v>3795.4874748801267</v>
      </c>
      <c r="AY81" s="176">
        <v>3730.8287303058551</v>
      </c>
      <c r="AZ81" s="176">
        <v>3683.5691038160321</v>
      </c>
      <c r="BA81" s="176">
        <v>3653.2566321189906</v>
      </c>
      <c r="BB81" s="176">
        <v>3639.4912691147269</v>
      </c>
      <c r="BC81" s="176">
        <v>3641.8969490256432</v>
      </c>
      <c r="BD81" s="176">
        <v>3660.1195054376958</v>
      </c>
      <c r="BE81" s="176">
        <v>3693.8056869366624</v>
      </c>
      <c r="BF81" s="176">
        <v>3742.5977264386852</v>
      </c>
      <c r="BG81" s="176">
        <v>3806.1284884458564</v>
      </c>
      <c r="BH81" s="176">
        <v>3884.019147902095</v>
      </c>
      <c r="BI81" s="176">
        <v>3975.8788167130906</v>
      </c>
      <c r="BJ81" s="176">
        <v>4000</v>
      </c>
      <c r="BK81" s="176">
        <v>4000</v>
      </c>
      <c r="BL81" s="176">
        <v>4000</v>
      </c>
      <c r="BM81" s="176">
        <v>4000</v>
      </c>
      <c r="BN81" s="176">
        <v>4000</v>
      </c>
      <c r="BO81" s="176">
        <v>4000</v>
      </c>
      <c r="BP81" s="176">
        <v>4000</v>
      </c>
      <c r="BQ81" s="176">
        <v>4000</v>
      </c>
      <c r="BR81" s="176">
        <v>4000</v>
      </c>
      <c r="BS81" s="176">
        <v>4000</v>
      </c>
      <c r="BT81" s="176">
        <v>4000</v>
      </c>
      <c r="BU81" s="176">
        <v>4000</v>
      </c>
      <c r="BV81" s="176">
        <v>4000</v>
      </c>
      <c r="BW81" s="176">
        <v>4000</v>
      </c>
      <c r="BX81" s="176">
        <v>4000</v>
      </c>
      <c r="BY81" s="176">
        <v>4000</v>
      </c>
      <c r="BZ81" s="176">
        <v>4000</v>
      </c>
      <c r="CA81" s="176">
        <v>4000</v>
      </c>
      <c r="CB81" s="176">
        <v>4000</v>
      </c>
      <c r="CC81" s="176">
        <v>4000</v>
      </c>
      <c r="CD81" s="176">
        <v>4000</v>
      </c>
      <c r="CE81" s="176">
        <v>4000</v>
      </c>
      <c r="CF81" s="176">
        <v>4000</v>
      </c>
      <c r="CG81" s="176">
        <v>4000</v>
      </c>
      <c r="CH81" s="176">
        <v>4000</v>
      </c>
      <c r="CI81" s="176">
        <v>4000</v>
      </c>
      <c r="CJ81" s="176">
        <v>4000</v>
      </c>
      <c r="CK81" s="176">
        <v>4000</v>
      </c>
      <c r="CL81" s="176">
        <v>4000</v>
      </c>
      <c r="CM81" s="176">
        <v>4000</v>
      </c>
      <c r="CN81" s="176">
        <v>4000</v>
      </c>
      <c r="CO81" s="176">
        <v>4000</v>
      </c>
      <c r="CP81" s="176">
        <v>4000</v>
      </c>
      <c r="CQ81" s="176">
        <v>4000</v>
      </c>
      <c r="CR81" s="176">
        <v>4000</v>
      </c>
      <c r="CS81" s="176">
        <v>4000</v>
      </c>
      <c r="CT81" s="176">
        <v>4000</v>
      </c>
      <c r="CU81" s="176">
        <v>4000</v>
      </c>
      <c r="CV81" s="176">
        <v>4000</v>
      </c>
      <c r="CW81" s="176">
        <v>4000</v>
      </c>
      <c r="CX81" s="176">
        <v>4000</v>
      </c>
      <c r="CY81" s="176">
        <v>4000</v>
      </c>
      <c r="CZ81" s="176">
        <v>4000</v>
      </c>
      <c r="DA81" s="176">
        <v>4000</v>
      </c>
      <c r="DB81" s="176">
        <v>4000</v>
      </c>
      <c r="DC81" s="176">
        <v>4000</v>
      </c>
      <c r="DD81" s="176">
        <v>4000</v>
      </c>
      <c r="DE81" s="176">
        <v>4000</v>
      </c>
      <c r="DF81" s="176">
        <v>4000</v>
      </c>
      <c r="DG81" s="176">
        <v>4000</v>
      </c>
      <c r="DH81" s="176">
        <v>4000</v>
      </c>
      <c r="DI81" s="176">
        <v>4000</v>
      </c>
      <c r="DJ81" s="176">
        <v>4000</v>
      </c>
      <c r="DK81" s="176">
        <v>4000</v>
      </c>
      <c r="DL81" s="176">
        <v>4000</v>
      </c>
      <c r="DM81" s="176">
        <v>4000</v>
      </c>
      <c r="DN81" s="176">
        <v>4000</v>
      </c>
      <c r="DO81" s="176">
        <v>4000</v>
      </c>
      <c r="DP81" s="176">
        <v>4000</v>
      </c>
      <c r="DQ81" s="176">
        <v>4000</v>
      </c>
      <c r="DR81" s="176">
        <v>4000</v>
      </c>
      <c r="DS81" s="176">
        <v>4000</v>
      </c>
      <c r="DT81" s="176">
        <v>4000</v>
      </c>
      <c r="DU81" s="176">
        <v>4000</v>
      </c>
      <c r="DV81" s="176">
        <v>4000</v>
      </c>
      <c r="DW81" s="176">
        <v>4000</v>
      </c>
      <c r="DX81" s="176">
        <v>4000</v>
      </c>
      <c r="DY81" s="176">
        <v>4000</v>
      </c>
      <c r="DZ81" s="176">
        <v>4000</v>
      </c>
      <c r="EA81" s="176">
        <v>4000</v>
      </c>
      <c r="EB81" s="176">
        <v>4000</v>
      </c>
      <c r="EC81" s="176">
        <v>4000</v>
      </c>
      <c r="ED81" s="176">
        <v>4000</v>
      </c>
      <c r="EE81" s="176">
        <v>4000</v>
      </c>
      <c r="EF81" s="176">
        <v>4000</v>
      </c>
      <c r="EG81" s="176">
        <v>4000</v>
      </c>
      <c r="EH81" s="176">
        <v>4000</v>
      </c>
      <c r="EI81" s="176">
        <v>4000</v>
      </c>
      <c r="EJ81" s="176">
        <v>4000</v>
      </c>
      <c r="EK81" s="176">
        <v>4000</v>
      </c>
      <c r="EL81" s="176">
        <v>4000</v>
      </c>
      <c r="EM81" s="176">
        <v>4000</v>
      </c>
      <c r="EN81" s="176">
        <v>4000</v>
      </c>
      <c r="EO81" s="176">
        <v>4000</v>
      </c>
      <c r="EP81" t="str">
        <f t="shared" si="1"/>
        <v>1y 306d</v>
      </c>
    </row>
    <row r="82" spans="2:146" x14ac:dyDescent="0.25">
      <c r="B82" s="9">
        <v>79</v>
      </c>
      <c r="D82">
        <v>7178764.7858294714</v>
      </c>
      <c r="E82" s="12">
        <v>-2527076543.1216593</v>
      </c>
      <c r="F82" s="12">
        <v>13362991399.156195</v>
      </c>
      <c r="G82" s="12">
        <v>0</v>
      </c>
      <c r="H82" s="12">
        <v>13228381.211631428</v>
      </c>
      <c r="I82" s="12">
        <v>-11604688380.697662</v>
      </c>
      <c r="J82" s="12">
        <v>-17346336642.837414</v>
      </c>
      <c r="K82" s="12">
        <v>21473962.306252472</v>
      </c>
      <c r="L82" s="12">
        <v>5049624.0334907044</v>
      </c>
      <c r="M82" s="12">
        <v>20009685288.069164</v>
      </c>
      <c r="N82" s="12">
        <v>-2898562427.5174384</v>
      </c>
      <c r="O82" s="12">
        <v>30136262.528990161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S82" s="6">
        <v>15994632.929445498</v>
      </c>
      <c r="AT82" s="176">
        <v>4000</v>
      </c>
      <c r="AU82" s="176">
        <v>4000</v>
      </c>
      <c r="AV82" s="176">
        <v>4000</v>
      </c>
      <c r="AW82" s="176">
        <v>3959.0834584453714</v>
      </c>
      <c r="AX82" s="176">
        <v>3858.7955687178905</v>
      </c>
      <c r="AY82" s="176">
        <v>3777.813304016759</v>
      </c>
      <c r="AZ82" s="176">
        <v>3715.4507659081473</v>
      </c>
      <c r="BA82" s="176">
        <v>3671.121110676223</v>
      </c>
      <c r="BB82" s="176">
        <v>3644.3079326420261</v>
      </c>
      <c r="BC82" s="176">
        <v>3634.543254344504</v>
      </c>
      <c r="BD82" s="176">
        <v>3641.3815192053739</v>
      </c>
      <c r="BE82" s="176">
        <v>3664.3965207883912</v>
      </c>
      <c r="BF82" s="176">
        <v>3703.1630158528815</v>
      </c>
      <c r="BG82" s="176">
        <v>3757.2522330834654</v>
      </c>
      <c r="BH82" s="176">
        <v>3826.2282289358373</v>
      </c>
      <c r="BI82" s="176">
        <v>3909.6466013990657</v>
      </c>
      <c r="BJ82" s="176">
        <v>4000</v>
      </c>
      <c r="BK82" s="176">
        <v>4000</v>
      </c>
      <c r="BL82" s="176">
        <v>4000</v>
      </c>
      <c r="BM82" s="176">
        <v>4000</v>
      </c>
      <c r="BN82" s="176">
        <v>4000</v>
      </c>
      <c r="BO82" s="176">
        <v>4000</v>
      </c>
      <c r="BP82" s="176">
        <v>4000</v>
      </c>
      <c r="BQ82" s="176">
        <v>4000</v>
      </c>
      <c r="BR82" s="176">
        <v>4000</v>
      </c>
      <c r="BS82" s="176">
        <v>4000</v>
      </c>
      <c r="BT82" s="176">
        <v>4000</v>
      </c>
      <c r="BU82" s="176">
        <v>4000</v>
      </c>
      <c r="BV82" s="176">
        <v>4000</v>
      </c>
      <c r="BW82" s="176">
        <v>4000</v>
      </c>
      <c r="BX82" s="176">
        <v>4000</v>
      </c>
      <c r="BY82" s="176">
        <v>4000</v>
      </c>
      <c r="BZ82" s="176">
        <v>4000</v>
      </c>
      <c r="CA82" s="176">
        <v>4000</v>
      </c>
      <c r="CB82" s="176">
        <v>4000</v>
      </c>
      <c r="CC82" s="176">
        <v>4000</v>
      </c>
      <c r="CD82" s="176">
        <v>4000</v>
      </c>
      <c r="CE82" s="176">
        <v>4000</v>
      </c>
      <c r="CF82" s="176">
        <v>4000</v>
      </c>
      <c r="CG82" s="176">
        <v>4000</v>
      </c>
      <c r="CH82" s="176">
        <v>4000</v>
      </c>
      <c r="CI82" s="176">
        <v>4000</v>
      </c>
      <c r="CJ82" s="176">
        <v>4000</v>
      </c>
      <c r="CK82" s="176">
        <v>4000</v>
      </c>
      <c r="CL82" s="176">
        <v>4000</v>
      </c>
      <c r="CM82" s="176">
        <v>4000</v>
      </c>
      <c r="CN82" s="176">
        <v>4000</v>
      </c>
      <c r="CO82" s="176">
        <v>4000</v>
      </c>
      <c r="CP82" s="176">
        <v>4000</v>
      </c>
      <c r="CQ82" s="176">
        <v>4000</v>
      </c>
      <c r="CR82" s="176">
        <v>4000</v>
      </c>
      <c r="CS82" s="176">
        <v>4000</v>
      </c>
      <c r="CT82" s="176">
        <v>4000</v>
      </c>
      <c r="CU82" s="176">
        <v>4000</v>
      </c>
      <c r="CV82" s="176">
        <v>4000</v>
      </c>
      <c r="CW82" s="176">
        <v>4000</v>
      </c>
      <c r="CX82" s="176">
        <v>4000</v>
      </c>
      <c r="CY82" s="176">
        <v>4000</v>
      </c>
      <c r="CZ82" s="176">
        <v>4000</v>
      </c>
      <c r="DA82" s="176">
        <v>4000</v>
      </c>
      <c r="DB82" s="176">
        <v>4000</v>
      </c>
      <c r="DC82" s="176">
        <v>4000</v>
      </c>
      <c r="DD82" s="176">
        <v>4000</v>
      </c>
      <c r="DE82" s="176">
        <v>4000</v>
      </c>
      <c r="DF82" s="176">
        <v>4000</v>
      </c>
      <c r="DG82" s="176">
        <v>4000</v>
      </c>
      <c r="DH82" s="176">
        <v>4000</v>
      </c>
      <c r="DI82" s="176">
        <v>4000</v>
      </c>
      <c r="DJ82" s="176">
        <v>4000</v>
      </c>
      <c r="DK82" s="176">
        <v>4000</v>
      </c>
      <c r="DL82" s="176">
        <v>4000</v>
      </c>
      <c r="DM82" s="176">
        <v>4000</v>
      </c>
      <c r="DN82" s="176">
        <v>4000</v>
      </c>
      <c r="DO82" s="176">
        <v>4000</v>
      </c>
      <c r="DP82" s="176">
        <v>4000</v>
      </c>
      <c r="DQ82" s="176">
        <v>4000</v>
      </c>
      <c r="DR82" s="176">
        <v>4000</v>
      </c>
      <c r="DS82" s="176">
        <v>4000</v>
      </c>
      <c r="DT82" s="176">
        <v>4000</v>
      </c>
      <c r="DU82" s="176">
        <v>4000</v>
      </c>
      <c r="DV82" s="176">
        <v>4000</v>
      </c>
      <c r="DW82" s="176">
        <v>4000</v>
      </c>
      <c r="DX82" s="176">
        <v>4000</v>
      </c>
      <c r="DY82" s="176">
        <v>4000</v>
      </c>
      <c r="DZ82" s="176">
        <v>4000</v>
      </c>
      <c r="EA82" s="176">
        <v>4000</v>
      </c>
      <c r="EB82" s="176">
        <v>4000</v>
      </c>
      <c r="EC82" s="176">
        <v>4000</v>
      </c>
      <c r="ED82" s="176">
        <v>4000</v>
      </c>
      <c r="EE82" s="176">
        <v>4000</v>
      </c>
      <c r="EF82" s="176">
        <v>4000</v>
      </c>
      <c r="EG82" s="176">
        <v>4000</v>
      </c>
      <c r="EH82" s="176">
        <v>4000</v>
      </c>
      <c r="EI82" s="176">
        <v>4000</v>
      </c>
      <c r="EJ82" s="176">
        <v>4000</v>
      </c>
      <c r="EK82" s="176">
        <v>4000</v>
      </c>
      <c r="EL82" s="176">
        <v>4000</v>
      </c>
      <c r="EM82" s="176">
        <v>4000</v>
      </c>
      <c r="EN82" s="176">
        <v>4000</v>
      </c>
      <c r="EO82" s="176">
        <v>4000</v>
      </c>
      <c r="EP82" t="str">
        <f t="shared" si="1"/>
        <v>1y 314d</v>
      </c>
    </row>
    <row r="83" spans="2:146" x14ac:dyDescent="0.25">
      <c r="B83" s="9">
        <v>80</v>
      </c>
      <c r="D83">
        <v>7270800.231801644</v>
      </c>
      <c r="E83" s="12">
        <v>-3361159107.2382946</v>
      </c>
      <c r="F83" s="12">
        <v>13177946139.082039</v>
      </c>
      <c r="G83" s="12">
        <v>0</v>
      </c>
      <c r="H83" s="12">
        <v>13404737.08454839</v>
      </c>
      <c r="I83" s="12">
        <v>-10525840608.681004</v>
      </c>
      <c r="J83" s="12">
        <v>-18097920212.88118</v>
      </c>
      <c r="K83" s="12">
        <v>21243466.627589408</v>
      </c>
      <c r="L83" s="12">
        <v>5151435.2049988452</v>
      </c>
      <c r="M83" s="12">
        <v>20188723356.078335</v>
      </c>
      <c r="N83" s="12">
        <v>-2216983058.5409293</v>
      </c>
      <c r="O83" s="12">
        <v>28104789.217699196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S83" s="6">
        <v>16173501.690869549</v>
      </c>
      <c r="AT83" s="176">
        <v>4000</v>
      </c>
      <c r="AU83" s="176">
        <v>4000</v>
      </c>
      <c r="AV83" s="176">
        <v>4000</v>
      </c>
      <c r="AW83" s="176">
        <v>4000</v>
      </c>
      <c r="AX83" s="176">
        <v>3935.7676445313336</v>
      </c>
      <c r="AY83" s="176">
        <v>3837.3250584790098</v>
      </c>
      <c r="AZ83" s="176">
        <v>3758.8715890227049</v>
      </c>
      <c r="BA83" s="176">
        <v>3699.661242807997</v>
      </c>
      <c r="BB83" s="176">
        <v>3659.0435023258433</v>
      </c>
      <c r="BC83" s="176">
        <v>3636.436596207101</v>
      </c>
      <c r="BD83" s="176">
        <v>3631.2966149493282</v>
      </c>
      <c r="BE83" s="176">
        <v>3643.1120276739839</v>
      </c>
      <c r="BF83" s="176">
        <v>3671.3816888564224</v>
      </c>
      <c r="BG83" s="176">
        <v>3715.6082924664124</v>
      </c>
      <c r="BH83" s="176">
        <v>3775.2930389154453</v>
      </c>
      <c r="BI83" s="176">
        <v>3849.9331422710311</v>
      </c>
      <c r="BJ83" s="176">
        <v>3939.0214513347819</v>
      </c>
      <c r="BK83" s="176">
        <v>4000</v>
      </c>
      <c r="BL83" s="176">
        <v>4000</v>
      </c>
      <c r="BM83" s="176">
        <v>4000</v>
      </c>
      <c r="BN83" s="176">
        <v>4000</v>
      </c>
      <c r="BO83" s="176">
        <v>4000</v>
      </c>
      <c r="BP83" s="176">
        <v>4000</v>
      </c>
      <c r="BQ83" s="176">
        <v>4000</v>
      </c>
      <c r="BR83" s="176">
        <v>4000</v>
      </c>
      <c r="BS83" s="176">
        <v>4000</v>
      </c>
      <c r="BT83" s="176">
        <v>4000</v>
      </c>
      <c r="BU83" s="176">
        <v>4000</v>
      </c>
      <c r="BV83" s="176">
        <v>4000</v>
      </c>
      <c r="BW83" s="176">
        <v>4000</v>
      </c>
      <c r="BX83" s="176">
        <v>4000</v>
      </c>
      <c r="BY83" s="176">
        <v>4000</v>
      </c>
      <c r="BZ83" s="176">
        <v>4000</v>
      </c>
      <c r="CA83" s="176">
        <v>4000</v>
      </c>
      <c r="CB83" s="176">
        <v>4000</v>
      </c>
      <c r="CC83" s="176">
        <v>4000</v>
      </c>
      <c r="CD83" s="176">
        <v>4000</v>
      </c>
      <c r="CE83" s="176">
        <v>4000</v>
      </c>
      <c r="CF83" s="176">
        <v>4000</v>
      </c>
      <c r="CG83" s="176">
        <v>4000</v>
      </c>
      <c r="CH83" s="176">
        <v>4000</v>
      </c>
      <c r="CI83" s="176">
        <v>4000</v>
      </c>
      <c r="CJ83" s="176">
        <v>4000</v>
      </c>
      <c r="CK83" s="176">
        <v>4000</v>
      </c>
      <c r="CL83" s="176">
        <v>4000</v>
      </c>
      <c r="CM83" s="176">
        <v>4000</v>
      </c>
      <c r="CN83" s="176">
        <v>4000</v>
      </c>
      <c r="CO83" s="176">
        <v>4000</v>
      </c>
      <c r="CP83" s="176">
        <v>4000</v>
      </c>
      <c r="CQ83" s="176">
        <v>4000</v>
      </c>
      <c r="CR83" s="176">
        <v>4000</v>
      </c>
      <c r="CS83" s="176">
        <v>4000</v>
      </c>
      <c r="CT83" s="176">
        <v>4000</v>
      </c>
      <c r="CU83" s="176">
        <v>4000</v>
      </c>
      <c r="CV83" s="176">
        <v>4000</v>
      </c>
      <c r="CW83" s="176">
        <v>4000</v>
      </c>
      <c r="CX83" s="176">
        <v>4000</v>
      </c>
      <c r="CY83" s="176">
        <v>4000</v>
      </c>
      <c r="CZ83" s="176">
        <v>4000</v>
      </c>
      <c r="DA83" s="176">
        <v>4000</v>
      </c>
      <c r="DB83" s="176">
        <v>4000</v>
      </c>
      <c r="DC83" s="176">
        <v>4000</v>
      </c>
      <c r="DD83" s="176">
        <v>4000</v>
      </c>
      <c r="DE83" s="176">
        <v>4000</v>
      </c>
      <c r="DF83" s="176">
        <v>4000</v>
      </c>
      <c r="DG83" s="176">
        <v>4000</v>
      </c>
      <c r="DH83" s="176">
        <v>4000</v>
      </c>
      <c r="DI83" s="176">
        <v>4000</v>
      </c>
      <c r="DJ83" s="176">
        <v>4000</v>
      </c>
      <c r="DK83" s="176">
        <v>4000</v>
      </c>
      <c r="DL83" s="176">
        <v>4000</v>
      </c>
      <c r="DM83" s="176">
        <v>4000</v>
      </c>
      <c r="DN83" s="176">
        <v>4000</v>
      </c>
      <c r="DO83" s="176">
        <v>4000</v>
      </c>
      <c r="DP83" s="176">
        <v>4000</v>
      </c>
      <c r="DQ83" s="176">
        <v>4000</v>
      </c>
      <c r="DR83" s="176">
        <v>4000</v>
      </c>
      <c r="DS83" s="176">
        <v>4000</v>
      </c>
      <c r="DT83" s="176">
        <v>4000</v>
      </c>
      <c r="DU83" s="176">
        <v>4000</v>
      </c>
      <c r="DV83" s="176">
        <v>4000</v>
      </c>
      <c r="DW83" s="176">
        <v>4000</v>
      </c>
      <c r="DX83" s="176">
        <v>4000</v>
      </c>
      <c r="DY83" s="176">
        <v>4000</v>
      </c>
      <c r="DZ83" s="176">
        <v>4000</v>
      </c>
      <c r="EA83" s="176">
        <v>4000</v>
      </c>
      <c r="EB83" s="176">
        <v>4000</v>
      </c>
      <c r="EC83" s="176">
        <v>4000</v>
      </c>
      <c r="ED83" s="176">
        <v>4000</v>
      </c>
      <c r="EE83" s="176">
        <v>4000</v>
      </c>
      <c r="EF83" s="176">
        <v>4000</v>
      </c>
      <c r="EG83" s="176">
        <v>4000</v>
      </c>
      <c r="EH83" s="176">
        <v>4000</v>
      </c>
      <c r="EI83" s="176">
        <v>4000</v>
      </c>
      <c r="EJ83" s="176">
        <v>4000</v>
      </c>
      <c r="EK83" s="176">
        <v>4000</v>
      </c>
      <c r="EL83" s="176">
        <v>4000</v>
      </c>
      <c r="EM83" s="176">
        <v>4000</v>
      </c>
      <c r="EN83" s="176">
        <v>4000</v>
      </c>
      <c r="EO83" s="176">
        <v>4000</v>
      </c>
      <c r="EP83" t="str">
        <f t="shared" si="1"/>
        <v>1y 323d</v>
      </c>
    </row>
    <row r="84" spans="2:146" x14ac:dyDescent="0.25">
      <c r="B84" s="9">
        <v>81</v>
      </c>
      <c r="D84">
        <v>7362835.6777738165</v>
      </c>
      <c r="E84" s="12">
        <v>-4181976711.9261909</v>
      </c>
      <c r="F84" s="12">
        <v>12940893546.027845</v>
      </c>
      <c r="G84" s="12">
        <v>0</v>
      </c>
      <c r="H84" s="12">
        <v>13582205.187127789</v>
      </c>
      <c r="I84" s="12">
        <v>-9397988257.4928093</v>
      </c>
      <c r="J84" s="12">
        <v>-18781679503.84087</v>
      </c>
      <c r="K84" s="12">
        <v>20926343.111417316</v>
      </c>
      <c r="L84" s="12">
        <v>5254144.3434537174</v>
      </c>
      <c r="M84" s="12">
        <v>20339671050.769814</v>
      </c>
      <c r="N84" s="12">
        <v>-1526134875.5830295</v>
      </c>
      <c r="O84" s="12">
        <v>26014097.950961493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S84" s="6">
        <v>16352370.452293601</v>
      </c>
      <c r="AT84" s="176">
        <v>4000</v>
      </c>
      <c r="AU84" s="176">
        <v>4000</v>
      </c>
      <c r="AV84" s="176">
        <v>4000</v>
      </c>
      <c r="AW84" s="176">
        <v>4000</v>
      </c>
      <c r="AX84" s="176">
        <v>4000</v>
      </c>
      <c r="AY84" s="176">
        <v>3910.2556929458042</v>
      </c>
      <c r="AZ84" s="176">
        <v>3814.604896566133</v>
      </c>
      <c r="BA84" s="176">
        <v>3739.5508869247606</v>
      </c>
      <c r="BB84" s="176">
        <v>3684.2856956653941</v>
      </c>
      <c r="BC84" s="176">
        <v>3648.094856540637</v>
      </c>
      <c r="BD84" s="176">
        <v>3630.320866852604</v>
      </c>
      <c r="BE84" s="176">
        <v>3630.3545971473359</v>
      </c>
      <c r="BF84" s="176">
        <v>3647.6091017519439</v>
      </c>
      <c r="BG84" s="176">
        <v>3681.5105008115179</v>
      </c>
      <c r="BH84" s="176">
        <v>3731.4905283098433</v>
      </c>
      <c r="BI84" s="176">
        <v>3796.9824821705238</v>
      </c>
      <c r="BJ84" s="176">
        <v>3877.4197609303988</v>
      </c>
      <c r="BK84" s="176">
        <v>3972.2362148012007</v>
      </c>
      <c r="BL84" s="176">
        <v>4000</v>
      </c>
      <c r="BM84" s="176">
        <v>4000</v>
      </c>
      <c r="BN84" s="176">
        <v>4000</v>
      </c>
      <c r="BO84" s="176">
        <v>4000</v>
      </c>
      <c r="BP84" s="176">
        <v>4000</v>
      </c>
      <c r="BQ84" s="176">
        <v>4000</v>
      </c>
      <c r="BR84" s="176">
        <v>4000</v>
      </c>
      <c r="BS84" s="176">
        <v>4000</v>
      </c>
      <c r="BT84" s="176">
        <v>4000</v>
      </c>
      <c r="BU84" s="176">
        <v>4000</v>
      </c>
      <c r="BV84" s="176">
        <v>4000</v>
      </c>
      <c r="BW84" s="176">
        <v>4000</v>
      </c>
      <c r="BX84" s="176">
        <v>4000</v>
      </c>
      <c r="BY84" s="176">
        <v>4000</v>
      </c>
      <c r="BZ84" s="176">
        <v>4000</v>
      </c>
      <c r="CA84" s="176">
        <v>4000</v>
      </c>
      <c r="CB84" s="176">
        <v>4000</v>
      </c>
      <c r="CC84" s="176">
        <v>4000</v>
      </c>
      <c r="CD84" s="176">
        <v>4000</v>
      </c>
      <c r="CE84" s="176">
        <v>4000</v>
      </c>
      <c r="CF84" s="176">
        <v>4000</v>
      </c>
      <c r="CG84" s="176">
        <v>4000</v>
      </c>
      <c r="CH84" s="176">
        <v>4000</v>
      </c>
      <c r="CI84" s="176">
        <v>4000</v>
      </c>
      <c r="CJ84" s="176">
        <v>4000</v>
      </c>
      <c r="CK84" s="176">
        <v>4000</v>
      </c>
      <c r="CL84" s="176">
        <v>4000</v>
      </c>
      <c r="CM84" s="176">
        <v>4000</v>
      </c>
      <c r="CN84" s="176">
        <v>4000</v>
      </c>
      <c r="CO84" s="176">
        <v>4000</v>
      </c>
      <c r="CP84" s="176">
        <v>4000</v>
      </c>
      <c r="CQ84" s="176">
        <v>4000</v>
      </c>
      <c r="CR84" s="176">
        <v>4000</v>
      </c>
      <c r="CS84" s="176">
        <v>4000</v>
      </c>
      <c r="CT84" s="176">
        <v>4000</v>
      </c>
      <c r="CU84" s="176">
        <v>4000</v>
      </c>
      <c r="CV84" s="176">
        <v>4000</v>
      </c>
      <c r="CW84" s="176">
        <v>4000</v>
      </c>
      <c r="CX84" s="176">
        <v>4000</v>
      </c>
      <c r="CY84" s="176">
        <v>4000</v>
      </c>
      <c r="CZ84" s="176">
        <v>4000</v>
      </c>
      <c r="DA84" s="176">
        <v>4000</v>
      </c>
      <c r="DB84" s="176">
        <v>4000</v>
      </c>
      <c r="DC84" s="176">
        <v>4000</v>
      </c>
      <c r="DD84" s="176">
        <v>4000</v>
      </c>
      <c r="DE84" s="176">
        <v>4000</v>
      </c>
      <c r="DF84" s="176">
        <v>4000</v>
      </c>
      <c r="DG84" s="176">
        <v>4000</v>
      </c>
      <c r="DH84" s="176">
        <v>4000</v>
      </c>
      <c r="DI84" s="176">
        <v>4000</v>
      </c>
      <c r="DJ84" s="176">
        <v>4000</v>
      </c>
      <c r="DK84" s="176">
        <v>4000</v>
      </c>
      <c r="DL84" s="176">
        <v>4000</v>
      </c>
      <c r="DM84" s="176">
        <v>4000</v>
      </c>
      <c r="DN84" s="176">
        <v>4000</v>
      </c>
      <c r="DO84" s="176">
        <v>4000</v>
      </c>
      <c r="DP84" s="176">
        <v>4000</v>
      </c>
      <c r="DQ84" s="176">
        <v>4000</v>
      </c>
      <c r="DR84" s="176">
        <v>4000</v>
      </c>
      <c r="DS84" s="176">
        <v>4000</v>
      </c>
      <c r="DT84" s="176">
        <v>4000</v>
      </c>
      <c r="DU84" s="176">
        <v>4000</v>
      </c>
      <c r="DV84" s="176">
        <v>4000</v>
      </c>
      <c r="DW84" s="176">
        <v>4000</v>
      </c>
      <c r="DX84" s="176">
        <v>4000</v>
      </c>
      <c r="DY84" s="176">
        <v>4000</v>
      </c>
      <c r="DZ84" s="176">
        <v>4000</v>
      </c>
      <c r="EA84" s="176">
        <v>4000</v>
      </c>
      <c r="EB84" s="176">
        <v>4000</v>
      </c>
      <c r="EC84" s="176">
        <v>4000</v>
      </c>
      <c r="ED84" s="176">
        <v>4000</v>
      </c>
      <c r="EE84" s="176">
        <v>4000</v>
      </c>
      <c r="EF84" s="176">
        <v>4000</v>
      </c>
      <c r="EG84" s="176">
        <v>4000</v>
      </c>
      <c r="EH84" s="176">
        <v>4000</v>
      </c>
      <c r="EI84" s="176">
        <v>4000</v>
      </c>
      <c r="EJ84" s="176">
        <v>4000</v>
      </c>
      <c r="EK84" s="176">
        <v>4000</v>
      </c>
      <c r="EL84" s="176">
        <v>4000</v>
      </c>
      <c r="EM84" s="176">
        <v>4000</v>
      </c>
      <c r="EN84" s="176">
        <v>4000</v>
      </c>
      <c r="EO84" s="176">
        <v>4000</v>
      </c>
      <c r="EP84" t="str">
        <f t="shared" si="1"/>
        <v>1y 331d</v>
      </c>
    </row>
    <row r="85" spans="2:146" x14ac:dyDescent="0.25">
      <c r="B85" s="9">
        <v>82</v>
      </c>
      <c r="D85">
        <v>7454871.1237459891</v>
      </c>
      <c r="E85" s="12">
        <v>-4986289965.0955391</v>
      </c>
      <c r="F85" s="12">
        <v>12652769158.279371</v>
      </c>
      <c r="G85" s="12">
        <v>0</v>
      </c>
      <c r="H85" s="12">
        <v>13760775.768117892</v>
      </c>
      <c r="I85" s="12">
        <v>-8225335149.7002907</v>
      </c>
      <c r="J85" s="12">
        <v>-19394149379.825981</v>
      </c>
      <c r="K85" s="12">
        <v>20523089.164662372</v>
      </c>
      <c r="L85" s="12">
        <v>5357705.6331991795</v>
      </c>
      <c r="M85" s="12">
        <v>20461860078.224369</v>
      </c>
      <c r="N85" s="12">
        <v>-827303818.25798118</v>
      </c>
      <c r="O85" s="12">
        <v>23867679.468753163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S85" s="6">
        <v>16531239.213717652</v>
      </c>
      <c r="AT85" s="176">
        <v>4000</v>
      </c>
      <c r="AU85" s="176">
        <v>4000</v>
      </c>
      <c r="AV85" s="176">
        <v>4000</v>
      </c>
      <c r="AW85" s="176">
        <v>4000</v>
      </c>
      <c r="AX85" s="176">
        <v>4000</v>
      </c>
      <c r="AY85" s="176">
        <v>3997.6335096803587</v>
      </c>
      <c r="AZ85" s="176">
        <v>3883.5408781805054</v>
      </c>
      <c r="BA85" s="176">
        <v>3791.564673383059</v>
      </c>
      <c r="BB85" s="176">
        <v>3720.7118530059624</v>
      </c>
      <c r="BC85" s="176">
        <v>3670.110683783711</v>
      </c>
      <c r="BD85" s="176">
        <v>3638.9784997044626</v>
      </c>
      <c r="BE85" s="176">
        <v>3626.5875238695749</v>
      </c>
      <c r="BF85" s="176">
        <v>3632.2554855356757</v>
      </c>
      <c r="BG85" s="176">
        <v>3655.3224891463146</v>
      </c>
      <c r="BH85" s="176">
        <v>3695.1431078173991</v>
      </c>
      <c r="BI85" s="176">
        <v>3751.0803625738822</v>
      </c>
      <c r="BJ85" s="176">
        <v>3822.5028415154693</v>
      </c>
      <c r="BK85" s="176">
        <v>3908.7840882337919</v>
      </c>
      <c r="BL85" s="176">
        <v>4000</v>
      </c>
      <c r="BM85" s="176">
        <v>4000</v>
      </c>
      <c r="BN85" s="176">
        <v>4000</v>
      </c>
      <c r="BO85" s="176">
        <v>4000</v>
      </c>
      <c r="BP85" s="176">
        <v>4000</v>
      </c>
      <c r="BQ85" s="176">
        <v>4000</v>
      </c>
      <c r="BR85" s="176">
        <v>4000</v>
      </c>
      <c r="BS85" s="176">
        <v>4000</v>
      </c>
      <c r="BT85" s="176">
        <v>4000</v>
      </c>
      <c r="BU85" s="176">
        <v>4000</v>
      </c>
      <c r="BV85" s="176">
        <v>4000</v>
      </c>
      <c r="BW85" s="176">
        <v>4000</v>
      </c>
      <c r="BX85" s="176">
        <v>4000</v>
      </c>
      <c r="BY85" s="176">
        <v>4000</v>
      </c>
      <c r="BZ85" s="176">
        <v>4000</v>
      </c>
      <c r="CA85" s="176">
        <v>4000</v>
      </c>
      <c r="CB85" s="176">
        <v>4000</v>
      </c>
      <c r="CC85" s="176">
        <v>4000</v>
      </c>
      <c r="CD85" s="176">
        <v>4000</v>
      </c>
      <c r="CE85" s="176">
        <v>4000</v>
      </c>
      <c r="CF85" s="176">
        <v>4000</v>
      </c>
      <c r="CG85" s="176">
        <v>4000</v>
      </c>
      <c r="CH85" s="176">
        <v>4000</v>
      </c>
      <c r="CI85" s="176">
        <v>4000</v>
      </c>
      <c r="CJ85" s="176">
        <v>4000</v>
      </c>
      <c r="CK85" s="176">
        <v>4000</v>
      </c>
      <c r="CL85" s="176">
        <v>4000</v>
      </c>
      <c r="CM85" s="176">
        <v>4000</v>
      </c>
      <c r="CN85" s="176">
        <v>4000</v>
      </c>
      <c r="CO85" s="176">
        <v>4000</v>
      </c>
      <c r="CP85" s="176">
        <v>4000</v>
      </c>
      <c r="CQ85" s="176">
        <v>4000</v>
      </c>
      <c r="CR85" s="176">
        <v>4000</v>
      </c>
      <c r="CS85" s="176">
        <v>4000</v>
      </c>
      <c r="CT85" s="176">
        <v>4000</v>
      </c>
      <c r="CU85" s="176">
        <v>4000</v>
      </c>
      <c r="CV85" s="176">
        <v>4000</v>
      </c>
      <c r="CW85" s="176">
        <v>4000</v>
      </c>
      <c r="CX85" s="176">
        <v>4000</v>
      </c>
      <c r="CY85" s="176">
        <v>4000</v>
      </c>
      <c r="CZ85" s="176">
        <v>4000</v>
      </c>
      <c r="DA85" s="176">
        <v>4000</v>
      </c>
      <c r="DB85" s="176">
        <v>4000</v>
      </c>
      <c r="DC85" s="176">
        <v>4000</v>
      </c>
      <c r="DD85" s="176">
        <v>4000</v>
      </c>
      <c r="DE85" s="176">
        <v>4000</v>
      </c>
      <c r="DF85" s="176">
        <v>4000</v>
      </c>
      <c r="DG85" s="176">
        <v>4000</v>
      </c>
      <c r="DH85" s="176">
        <v>4000</v>
      </c>
      <c r="DI85" s="176">
        <v>4000</v>
      </c>
      <c r="DJ85" s="176">
        <v>4000</v>
      </c>
      <c r="DK85" s="176">
        <v>4000</v>
      </c>
      <c r="DL85" s="176">
        <v>4000</v>
      </c>
      <c r="DM85" s="176">
        <v>4000</v>
      </c>
      <c r="DN85" s="176">
        <v>4000</v>
      </c>
      <c r="DO85" s="176">
        <v>4000</v>
      </c>
      <c r="DP85" s="176">
        <v>4000</v>
      </c>
      <c r="DQ85" s="176">
        <v>4000</v>
      </c>
      <c r="DR85" s="176">
        <v>4000</v>
      </c>
      <c r="DS85" s="176">
        <v>4000</v>
      </c>
      <c r="DT85" s="176">
        <v>4000</v>
      </c>
      <c r="DU85" s="176">
        <v>4000</v>
      </c>
      <c r="DV85" s="176">
        <v>4000</v>
      </c>
      <c r="DW85" s="176">
        <v>4000</v>
      </c>
      <c r="DX85" s="176">
        <v>4000</v>
      </c>
      <c r="DY85" s="176">
        <v>4000</v>
      </c>
      <c r="DZ85" s="176">
        <v>4000</v>
      </c>
      <c r="EA85" s="176">
        <v>4000</v>
      </c>
      <c r="EB85" s="176">
        <v>4000</v>
      </c>
      <c r="EC85" s="176">
        <v>4000</v>
      </c>
      <c r="ED85" s="176">
        <v>4000</v>
      </c>
      <c r="EE85" s="176">
        <v>4000</v>
      </c>
      <c r="EF85" s="176">
        <v>4000</v>
      </c>
      <c r="EG85" s="176">
        <v>4000</v>
      </c>
      <c r="EH85" s="176">
        <v>4000</v>
      </c>
      <c r="EI85" s="176">
        <v>4000</v>
      </c>
      <c r="EJ85" s="176">
        <v>4000</v>
      </c>
      <c r="EK85" s="176">
        <v>4000</v>
      </c>
      <c r="EL85" s="176">
        <v>4000</v>
      </c>
      <c r="EM85" s="176">
        <v>4000</v>
      </c>
      <c r="EN85" s="176">
        <v>4000</v>
      </c>
      <c r="EO85" s="176">
        <v>4000</v>
      </c>
      <c r="EP85" t="str">
        <f t="shared" si="1"/>
        <v>1y 339d</v>
      </c>
    </row>
    <row r="86" spans="2:146" x14ac:dyDescent="0.25">
      <c r="B86" s="9">
        <v>83</v>
      </c>
      <c r="D86">
        <v>7546906.5697181616</v>
      </c>
      <c r="E86" s="12">
        <v>-5770924609.791852</v>
      </c>
      <c r="F86" s="12">
        <v>12314710071.163548</v>
      </c>
      <c r="G86" s="12">
        <v>0</v>
      </c>
      <c r="H86" s="12">
        <v>13940434.228772996</v>
      </c>
      <c r="I86" s="12">
        <v>-7012360531.7027569</v>
      </c>
      <c r="J86" s="12">
        <v>-19932115795.755142</v>
      </c>
      <c r="K86" s="12">
        <v>20034591.89613153</v>
      </c>
      <c r="L86" s="12">
        <v>5462070.2699952954</v>
      </c>
      <c r="M86" s="12">
        <v>20554692915.999027</v>
      </c>
      <c r="N86" s="12">
        <v>-121827215.22661178</v>
      </c>
      <c r="O86" s="12">
        <v>21669264.893540554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S86" s="6">
        <v>16710107.975141704</v>
      </c>
      <c r="AT86" s="176">
        <v>4000</v>
      </c>
      <c r="AU86" s="176">
        <v>4000</v>
      </c>
      <c r="AV86" s="176">
        <v>4000</v>
      </c>
      <c r="AW86" s="176">
        <v>4000</v>
      </c>
      <c r="AX86" s="176">
        <v>4000</v>
      </c>
      <c r="AY86" s="176">
        <v>4000</v>
      </c>
      <c r="AZ86" s="176">
        <v>3966.7084713906993</v>
      </c>
      <c r="BA86" s="176">
        <v>3856.5963790960086</v>
      </c>
      <c r="BB86" s="176">
        <v>3769.1024549523218</v>
      </c>
      <c r="BC86" s="176">
        <v>3703.1731280030872</v>
      </c>
      <c r="BD86" s="176">
        <v>3657.8730892271697</v>
      </c>
      <c r="BE86" s="176">
        <v>3632.3446376241518</v>
      </c>
      <c r="BF86" s="176">
        <v>3625.7942990225515</v>
      </c>
      <c r="BG86" s="176">
        <v>3637.4650017906297</v>
      </c>
      <c r="BH86" s="176">
        <v>3666.6251234186552</v>
      </c>
      <c r="BI86" s="176">
        <v>3712.5600128546184</v>
      </c>
      <c r="BJ86" s="176">
        <v>3774.5672972773073</v>
      </c>
      <c r="BK86" s="176">
        <v>3851.9549931678343</v>
      </c>
      <c r="BL86" s="176">
        <v>3944.0415264099174</v>
      </c>
      <c r="BM86" s="176">
        <v>4000</v>
      </c>
      <c r="BN86" s="176">
        <v>4000</v>
      </c>
      <c r="BO86" s="176">
        <v>4000</v>
      </c>
      <c r="BP86" s="176">
        <v>4000</v>
      </c>
      <c r="BQ86" s="176">
        <v>4000</v>
      </c>
      <c r="BR86" s="176">
        <v>4000</v>
      </c>
      <c r="BS86" s="176">
        <v>4000</v>
      </c>
      <c r="BT86" s="176">
        <v>4000</v>
      </c>
      <c r="BU86" s="176">
        <v>4000</v>
      </c>
      <c r="BV86" s="176">
        <v>4000</v>
      </c>
      <c r="BW86" s="176">
        <v>4000</v>
      </c>
      <c r="BX86" s="176">
        <v>4000</v>
      </c>
      <c r="BY86" s="176">
        <v>4000</v>
      </c>
      <c r="BZ86" s="176">
        <v>4000</v>
      </c>
      <c r="CA86" s="176">
        <v>4000</v>
      </c>
      <c r="CB86" s="176">
        <v>4000</v>
      </c>
      <c r="CC86" s="176">
        <v>4000</v>
      </c>
      <c r="CD86" s="176">
        <v>4000</v>
      </c>
      <c r="CE86" s="176">
        <v>4000</v>
      </c>
      <c r="CF86" s="176">
        <v>4000</v>
      </c>
      <c r="CG86" s="176">
        <v>4000</v>
      </c>
      <c r="CH86" s="176">
        <v>4000</v>
      </c>
      <c r="CI86" s="176">
        <v>4000</v>
      </c>
      <c r="CJ86" s="176">
        <v>4000</v>
      </c>
      <c r="CK86" s="176">
        <v>4000</v>
      </c>
      <c r="CL86" s="176">
        <v>4000</v>
      </c>
      <c r="CM86" s="176">
        <v>4000</v>
      </c>
      <c r="CN86" s="176">
        <v>4000</v>
      </c>
      <c r="CO86" s="176">
        <v>4000</v>
      </c>
      <c r="CP86" s="176">
        <v>4000</v>
      </c>
      <c r="CQ86" s="176">
        <v>4000</v>
      </c>
      <c r="CR86" s="176">
        <v>4000</v>
      </c>
      <c r="CS86" s="176">
        <v>4000</v>
      </c>
      <c r="CT86" s="176">
        <v>4000</v>
      </c>
      <c r="CU86" s="176">
        <v>4000</v>
      </c>
      <c r="CV86" s="176">
        <v>4000</v>
      </c>
      <c r="CW86" s="176">
        <v>4000</v>
      </c>
      <c r="CX86" s="176">
        <v>4000</v>
      </c>
      <c r="CY86" s="176">
        <v>4000</v>
      </c>
      <c r="CZ86" s="176">
        <v>4000</v>
      </c>
      <c r="DA86" s="176">
        <v>4000</v>
      </c>
      <c r="DB86" s="176">
        <v>4000</v>
      </c>
      <c r="DC86" s="176">
        <v>4000</v>
      </c>
      <c r="DD86" s="176">
        <v>4000</v>
      </c>
      <c r="DE86" s="176">
        <v>4000</v>
      </c>
      <c r="DF86" s="176">
        <v>4000</v>
      </c>
      <c r="DG86" s="176">
        <v>4000</v>
      </c>
      <c r="DH86" s="176">
        <v>4000</v>
      </c>
      <c r="DI86" s="176">
        <v>4000</v>
      </c>
      <c r="DJ86" s="176">
        <v>4000</v>
      </c>
      <c r="DK86" s="176">
        <v>4000</v>
      </c>
      <c r="DL86" s="176">
        <v>4000</v>
      </c>
      <c r="DM86" s="176">
        <v>4000</v>
      </c>
      <c r="DN86" s="176">
        <v>4000</v>
      </c>
      <c r="DO86" s="176">
        <v>4000</v>
      </c>
      <c r="DP86" s="176">
        <v>4000</v>
      </c>
      <c r="DQ86" s="176">
        <v>4000</v>
      </c>
      <c r="DR86" s="176">
        <v>4000</v>
      </c>
      <c r="DS86" s="176">
        <v>4000</v>
      </c>
      <c r="DT86" s="176">
        <v>4000</v>
      </c>
      <c r="DU86" s="176">
        <v>4000</v>
      </c>
      <c r="DV86" s="176">
        <v>4000</v>
      </c>
      <c r="DW86" s="176">
        <v>4000</v>
      </c>
      <c r="DX86" s="176">
        <v>4000</v>
      </c>
      <c r="DY86" s="176">
        <v>4000</v>
      </c>
      <c r="DZ86" s="176">
        <v>4000</v>
      </c>
      <c r="EA86" s="176">
        <v>4000</v>
      </c>
      <c r="EB86" s="176">
        <v>4000</v>
      </c>
      <c r="EC86" s="176">
        <v>4000</v>
      </c>
      <c r="ED86" s="176">
        <v>4000</v>
      </c>
      <c r="EE86" s="176">
        <v>4000</v>
      </c>
      <c r="EF86" s="176">
        <v>4000</v>
      </c>
      <c r="EG86" s="176">
        <v>4000</v>
      </c>
      <c r="EH86" s="176">
        <v>4000</v>
      </c>
      <c r="EI86" s="176">
        <v>4000</v>
      </c>
      <c r="EJ86" s="176">
        <v>4000</v>
      </c>
      <c r="EK86" s="176">
        <v>4000</v>
      </c>
      <c r="EL86" s="176">
        <v>4000</v>
      </c>
      <c r="EM86" s="176">
        <v>4000</v>
      </c>
      <c r="EN86" s="176">
        <v>4000</v>
      </c>
      <c r="EO86" s="176">
        <v>4000</v>
      </c>
      <c r="EP86" t="str">
        <f t="shared" si="1"/>
        <v>1y 348d</v>
      </c>
    </row>
    <row r="87" spans="2:146" x14ac:dyDescent="0.25">
      <c r="B87" s="9">
        <v>84</v>
      </c>
      <c r="D87">
        <v>7638942.0156903341</v>
      </c>
      <c r="E87" s="12">
        <v>-6532784051.5379839</v>
      </c>
      <c r="F87" s="12">
        <v>11928050449.452715</v>
      </c>
      <c r="G87" s="12">
        <v>0</v>
      </c>
      <c r="H87" s="12">
        <v>14121161.061946515</v>
      </c>
      <c r="I87" s="12">
        <v>-5763805380.3428049</v>
      </c>
      <c r="J87" s="12">
        <v>-20392641231.480667</v>
      </c>
      <c r="K87" s="12">
        <v>19462137.062805839</v>
      </c>
      <c r="L87" s="12">
        <v>5567186.5691304477</v>
      </c>
      <c r="M87" s="12">
        <v>20617647724.671551</v>
      </c>
      <c r="N87" s="12">
        <v>588910840.44524133</v>
      </c>
      <c r="O87" s="12">
        <v>19422815.772290669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S87" s="6">
        <v>16888976.736565758</v>
      </c>
      <c r="AT87" s="176">
        <v>4000</v>
      </c>
      <c r="AU87" s="176">
        <v>4000</v>
      </c>
      <c r="AV87" s="176">
        <v>4000</v>
      </c>
      <c r="AW87" s="176">
        <v>4000</v>
      </c>
      <c r="AX87" s="176">
        <v>4000</v>
      </c>
      <c r="AY87" s="176">
        <v>4000</v>
      </c>
      <c r="AZ87" s="176">
        <v>4000</v>
      </c>
      <c r="BA87" s="176">
        <v>3935.6812698272352</v>
      </c>
      <c r="BB87" s="176">
        <v>3830.3599412187173</v>
      </c>
      <c r="BC87" s="176">
        <v>3748.0710574156951</v>
      </c>
      <c r="BD87" s="176">
        <v>3687.7011206395773</v>
      </c>
      <c r="BE87" s="176">
        <v>3648.2419295048221</v>
      </c>
      <c r="BF87" s="176">
        <v>3628.7722784408888</v>
      </c>
      <c r="BG87" s="176">
        <v>3628.424660309478</v>
      </c>
      <c r="BH87" s="176">
        <v>3646.3705731094246</v>
      </c>
      <c r="BI87" s="176">
        <v>3681.8090133901123</v>
      </c>
      <c r="BJ87" s="176">
        <v>3733.9595056773137</v>
      </c>
      <c r="BK87" s="176">
        <v>3802.0585609242071</v>
      </c>
      <c r="BL87" s="176">
        <v>3885.3585543222589</v>
      </c>
      <c r="BM87" s="176">
        <v>3983.1281315247161</v>
      </c>
      <c r="BN87" s="176">
        <v>4000</v>
      </c>
      <c r="BO87" s="176">
        <v>4000</v>
      </c>
      <c r="BP87" s="176">
        <v>4000</v>
      </c>
      <c r="BQ87" s="176">
        <v>4000</v>
      </c>
      <c r="BR87" s="176">
        <v>4000</v>
      </c>
      <c r="BS87" s="176">
        <v>4000</v>
      </c>
      <c r="BT87" s="176">
        <v>4000</v>
      </c>
      <c r="BU87" s="176">
        <v>4000</v>
      </c>
      <c r="BV87" s="176">
        <v>4000</v>
      </c>
      <c r="BW87" s="176">
        <v>4000</v>
      </c>
      <c r="BX87" s="176">
        <v>4000</v>
      </c>
      <c r="BY87" s="176">
        <v>4000</v>
      </c>
      <c r="BZ87" s="176">
        <v>4000</v>
      </c>
      <c r="CA87" s="176">
        <v>4000</v>
      </c>
      <c r="CB87" s="176">
        <v>4000</v>
      </c>
      <c r="CC87" s="176">
        <v>4000</v>
      </c>
      <c r="CD87" s="176">
        <v>4000</v>
      </c>
      <c r="CE87" s="176">
        <v>4000</v>
      </c>
      <c r="CF87" s="176">
        <v>4000</v>
      </c>
      <c r="CG87" s="176">
        <v>4000</v>
      </c>
      <c r="CH87" s="176">
        <v>4000</v>
      </c>
      <c r="CI87" s="176">
        <v>4000</v>
      </c>
      <c r="CJ87" s="176">
        <v>4000</v>
      </c>
      <c r="CK87" s="176">
        <v>4000</v>
      </c>
      <c r="CL87" s="176">
        <v>4000</v>
      </c>
      <c r="CM87" s="176">
        <v>4000</v>
      </c>
      <c r="CN87" s="176">
        <v>4000</v>
      </c>
      <c r="CO87" s="176">
        <v>4000</v>
      </c>
      <c r="CP87" s="176">
        <v>4000</v>
      </c>
      <c r="CQ87" s="176">
        <v>4000</v>
      </c>
      <c r="CR87" s="176">
        <v>4000</v>
      </c>
      <c r="CS87" s="176">
        <v>4000</v>
      </c>
      <c r="CT87" s="176">
        <v>4000</v>
      </c>
      <c r="CU87" s="176">
        <v>4000</v>
      </c>
      <c r="CV87" s="176">
        <v>4000</v>
      </c>
      <c r="CW87" s="176">
        <v>4000</v>
      </c>
      <c r="CX87" s="176">
        <v>4000</v>
      </c>
      <c r="CY87" s="176">
        <v>4000</v>
      </c>
      <c r="CZ87" s="176">
        <v>4000</v>
      </c>
      <c r="DA87" s="176">
        <v>4000</v>
      </c>
      <c r="DB87" s="176">
        <v>4000</v>
      </c>
      <c r="DC87" s="176">
        <v>4000</v>
      </c>
      <c r="DD87" s="176">
        <v>4000</v>
      </c>
      <c r="DE87" s="176">
        <v>4000</v>
      </c>
      <c r="DF87" s="176">
        <v>4000</v>
      </c>
      <c r="DG87" s="176">
        <v>4000</v>
      </c>
      <c r="DH87" s="176">
        <v>4000</v>
      </c>
      <c r="DI87" s="176">
        <v>4000</v>
      </c>
      <c r="DJ87" s="176">
        <v>4000</v>
      </c>
      <c r="DK87" s="176">
        <v>4000</v>
      </c>
      <c r="DL87" s="176">
        <v>4000</v>
      </c>
      <c r="DM87" s="176">
        <v>4000</v>
      </c>
      <c r="DN87" s="176">
        <v>4000</v>
      </c>
      <c r="DO87" s="176">
        <v>4000</v>
      </c>
      <c r="DP87" s="176">
        <v>4000</v>
      </c>
      <c r="DQ87" s="176">
        <v>4000</v>
      </c>
      <c r="DR87" s="176">
        <v>4000</v>
      </c>
      <c r="DS87" s="176">
        <v>4000</v>
      </c>
      <c r="DT87" s="176">
        <v>4000</v>
      </c>
      <c r="DU87" s="176">
        <v>4000</v>
      </c>
      <c r="DV87" s="176">
        <v>4000</v>
      </c>
      <c r="DW87" s="176">
        <v>4000</v>
      </c>
      <c r="DX87" s="176">
        <v>4000</v>
      </c>
      <c r="DY87" s="176">
        <v>4000</v>
      </c>
      <c r="DZ87" s="176">
        <v>4000</v>
      </c>
      <c r="EA87" s="176">
        <v>4000</v>
      </c>
      <c r="EB87" s="176">
        <v>4000</v>
      </c>
      <c r="EC87" s="176">
        <v>4000</v>
      </c>
      <c r="ED87" s="176">
        <v>4000</v>
      </c>
      <c r="EE87" s="176">
        <v>4000</v>
      </c>
      <c r="EF87" s="176">
        <v>4000</v>
      </c>
      <c r="EG87" s="176">
        <v>4000</v>
      </c>
      <c r="EH87" s="176">
        <v>4000</v>
      </c>
      <c r="EI87" s="176">
        <v>4000</v>
      </c>
      <c r="EJ87" s="176">
        <v>4000</v>
      </c>
      <c r="EK87" s="176">
        <v>4000</v>
      </c>
      <c r="EL87" s="176">
        <v>4000</v>
      </c>
      <c r="EM87" s="176">
        <v>4000</v>
      </c>
      <c r="EN87" s="176">
        <v>4000</v>
      </c>
      <c r="EO87" s="176">
        <v>4000</v>
      </c>
      <c r="EP87" t="str">
        <f t="shared" si="1"/>
        <v>1y 356d</v>
      </c>
    </row>
    <row r="88" spans="2:146" x14ac:dyDescent="0.25">
      <c r="B88" s="9">
        <v>85</v>
      </c>
      <c r="D88">
        <v>7730977.4616625067</v>
      </c>
      <c r="E88" s="12">
        <v>-7268861579.1778355</v>
      </c>
      <c r="F88" s="12">
        <v>11494316262.025787</v>
      </c>
      <c r="G88" s="12">
        <v>0</v>
      </c>
      <c r="H88" s="12">
        <v>14302931.818586424</v>
      </c>
      <c r="I88" s="12">
        <v>-4484656007.6600409</v>
      </c>
      <c r="J88" s="12">
        <v>-20773089624.393147</v>
      </c>
      <c r="K88" s="12">
        <v>18807415.658402894</v>
      </c>
      <c r="L88" s="12">
        <v>5673000.0950919725</v>
      </c>
      <c r="M88" s="12">
        <v>20650282906.805569</v>
      </c>
      <c r="N88" s="12">
        <v>1303484612.4741707</v>
      </c>
      <c r="O88" s="12">
        <v>17132512.13861483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S88" s="6">
        <v>17067845.497989811</v>
      </c>
      <c r="AT88" s="176">
        <v>4000</v>
      </c>
      <c r="AU88" s="176">
        <v>4000</v>
      </c>
      <c r="AV88" s="176">
        <v>4000</v>
      </c>
      <c r="AW88" s="176">
        <v>4000</v>
      </c>
      <c r="AX88" s="176">
        <v>4000</v>
      </c>
      <c r="AY88" s="176">
        <v>4000</v>
      </c>
      <c r="AZ88" s="176">
        <v>4000</v>
      </c>
      <c r="BA88" s="176">
        <v>4000</v>
      </c>
      <c r="BB88" s="176">
        <v>3905.5316448833919</v>
      </c>
      <c r="BC88" s="176">
        <v>3805.7207082908908</v>
      </c>
      <c r="BD88" s="176">
        <v>3729.2684542642592</v>
      </c>
      <c r="BE88" s="176">
        <v>3674.9916354055622</v>
      </c>
      <c r="BF88" s="176">
        <v>3641.8215748304278</v>
      </c>
      <c r="BG88" s="176">
        <v>3628.764509420992</v>
      </c>
      <c r="BH88" s="176">
        <v>3634.8823510360457</v>
      </c>
      <c r="BI88" s="176">
        <v>3659.2774755805344</v>
      </c>
      <c r="BJ88" s="176">
        <v>3701.0829258005469</v>
      </c>
      <c r="BK88" s="176">
        <v>3759.4567744710557</v>
      </c>
      <c r="BL88" s="176">
        <v>3833.5795038946044</v>
      </c>
      <c r="BM88" s="176">
        <v>3922.6533954546412</v>
      </c>
      <c r="BN88" s="176">
        <v>4000</v>
      </c>
      <c r="BO88" s="176">
        <v>4000</v>
      </c>
      <c r="BP88" s="176">
        <v>4000</v>
      </c>
      <c r="BQ88" s="176">
        <v>4000</v>
      </c>
      <c r="BR88" s="176">
        <v>4000</v>
      </c>
      <c r="BS88" s="176">
        <v>4000</v>
      </c>
      <c r="BT88" s="176">
        <v>4000</v>
      </c>
      <c r="BU88" s="176">
        <v>4000</v>
      </c>
      <c r="BV88" s="176">
        <v>4000</v>
      </c>
      <c r="BW88" s="176">
        <v>4000</v>
      </c>
      <c r="BX88" s="176">
        <v>4000</v>
      </c>
      <c r="BY88" s="176">
        <v>4000</v>
      </c>
      <c r="BZ88" s="176">
        <v>4000</v>
      </c>
      <c r="CA88" s="176">
        <v>4000</v>
      </c>
      <c r="CB88" s="176">
        <v>4000</v>
      </c>
      <c r="CC88" s="176">
        <v>4000</v>
      </c>
      <c r="CD88" s="176">
        <v>4000</v>
      </c>
      <c r="CE88" s="176">
        <v>4000</v>
      </c>
      <c r="CF88" s="176">
        <v>4000</v>
      </c>
      <c r="CG88" s="176">
        <v>4000</v>
      </c>
      <c r="CH88" s="176">
        <v>4000</v>
      </c>
      <c r="CI88" s="176">
        <v>4000</v>
      </c>
      <c r="CJ88" s="176">
        <v>4000</v>
      </c>
      <c r="CK88" s="176">
        <v>4000</v>
      </c>
      <c r="CL88" s="176">
        <v>4000</v>
      </c>
      <c r="CM88" s="176">
        <v>4000</v>
      </c>
      <c r="CN88" s="176">
        <v>4000</v>
      </c>
      <c r="CO88" s="176">
        <v>4000</v>
      </c>
      <c r="CP88" s="176">
        <v>4000</v>
      </c>
      <c r="CQ88" s="176">
        <v>4000</v>
      </c>
      <c r="CR88" s="176">
        <v>4000</v>
      </c>
      <c r="CS88" s="176">
        <v>4000</v>
      </c>
      <c r="CT88" s="176">
        <v>4000</v>
      </c>
      <c r="CU88" s="176">
        <v>4000</v>
      </c>
      <c r="CV88" s="176">
        <v>4000</v>
      </c>
      <c r="CW88" s="176">
        <v>4000</v>
      </c>
      <c r="CX88" s="176">
        <v>4000</v>
      </c>
      <c r="CY88" s="176">
        <v>4000</v>
      </c>
      <c r="CZ88" s="176">
        <v>4000</v>
      </c>
      <c r="DA88" s="176">
        <v>4000</v>
      </c>
      <c r="DB88" s="176">
        <v>4000</v>
      </c>
      <c r="DC88" s="176">
        <v>4000</v>
      </c>
      <c r="DD88" s="176">
        <v>4000</v>
      </c>
      <c r="DE88" s="176">
        <v>4000</v>
      </c>
      <c r="DF88" s="176">
        <v>4000</v>
      </c>
      <c r="DG88" s="176">
        <v>4000</v>
      </c>
      <c r="DH88" s="176">
        <v>4000</v>
      </c>
      <c r="DI88" s="176">
        <v>4000</v>
      </c>
      <c r="DJ88" s="176">
        <v>4000</v>
      </c>
      <c r="DK88" s="176">
        <v>4000</v>
      </c>
      <c r="DL88" s="176">
        <v>4000</v>
      </c>
      <c r="DM88" s="176">
        <v>4000</v>
      </c>
      <c r="DN88" s="176">
        <v>4000</v>
      </c>
      <c r="DO88" s="176">
        <v>4000</v>
      </c>
      <c r="DP88" s="176">
        <v>4000</v>
      </c>
      <c r="DQ88" s="176">
        <v>4000</v>
      </c>
      <c r="DR88" s="176">
        <v>4000</v>
      </c>
      <c r="DS88" s="176">
        <v>4000</v>
      </c>
      <c r="DT88" s="176">
        <v>4000</v>
      </c>
      <c r="DU88" s="176">
        <v>4000</v>
      </c>
      <c r="DV88" s="176">
        <v>4000</v>
      </c>
      <c r="DW88" s="176">
        <v>4000</v>
      </c>
      <c r="DX88" s="176">
        <v>4000</v>
      </c>
      <c r="DY88" s="176">
        <v>4000</v>
      </c>
      <c r="DZ88" s="176">
        <v>4000</v>
      </c>
      <c r="EA88" s="176">
        <v>4000</v>
      </c>
      <c r="EB88" s="176">
        <v>4000</v>
      </c>
      <c r="EC88" s="176">
        <v>4000</v>
      </c>
      <c r="ED88" s="176">
        <v>4000</v>
      </c>
      <c r="EE88" s="176">
        <v>4000</v>
      </c>
      <c r="EF88" s="176">
        <v>4000</v>
      </c>
      <c r="EG88" s="176">
        <v>4000</v>
      </c>
      <c r="EH88" s="176">
        <v>4000</v>
      </c>
      <c r="EI88" s="176">
        <v>4000</v>
      </c>
      <c r="EJ88" s="176">
        <v>4000</v>
      </c>
      <c r="EK88" s="176">
        <v>4000</v>
      </c>
      <c r="EL88" s="176">
        <v>4000</v>
      </c>
      <c r="EM88" s="176">
        <v>4000</v>
      </c>
      <c r="EN88" s="176">
        <v>4000</v>
      </c>
      <c r="EO88" s="176">
        <v>4000</v>
      </c>
      <c r="EP88" t="str">
        <f t="shared" si="1"/>
        <v>1y 364d</v>
      </c>
    </row>
    <row r="89" spans="2:146" x14ac:dyDescent="0.25">
      <c r="B89" s="9">
        <v>86</v>
      </c>
      <c r="D89">
        <v>7823012.9076346792</v>
      </c>
      <c r="E89" s="12">
        <v>-7976252230.9916449</v>
      </c>
      <c r="F89" s="12">
        <v>11015219259.566236</v>
      </c>
      <c r="G89" s="12">
        <v>0</v>
      </c>
      <c r="H89" s="12">
        <v>14485717.103971437</v>
      </c>
      <c r="I89" s="12">
        <v>-3180124931.3391738</v>
      </c>
      <c r="J89" s="12">
        <v>-21071150479.751778</v>
      </c>
      <c r="K89" s="12">
        <v>18072527.880815849</v>
      </c>
      <c r="L89" s="12">
        <v>5779453.8124933634</v>
      </c>
      <c r="M89" s="12">
        <v>20652241253.776672</v>
      </c>
      <c r="N89" s="12">
        <v>2020432308.2559149</v>
      </c>
      <c r="O89" s="12">
        <v>14802738.633697441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S89" s="6">
        <v>17246714.259413864</v>
      </c>
      <c r="AT89" s="176">
        <v>4000</v>
      </c>
      <c r="AU89" s="176">
        <v>4000</v>
      </c>
      <c r="AV89" s="176">
        <v>4000</v>
      </c>
      <c r="AW89" s="176">
        <v>4000</v>
      </c>
      <c r="AX89" s="176">
        <v>4000</v>
      </c>
      <c r="AY89" s="176">
        <v>4000</v>
      </c>
      <c r="AZ89" s="176">
        <v>4000</v>
      </c>
      <c r="BA89" s="176">
        <v>4000</v>
      </c>
      <c r="BB89" s="176">
        <v>3995.8378447225691</v>
      </c>
      <c r="BC89" s="176">
        <v>3877.1873566662634</v>
      </c>
      <c r="BD89" s="176">
        <v>3783.5081643208168</v>
      </c>
      <c r="BE89" s="176">
        <v>3713.4193589396032</v>
      </c>
      <c r="BF89" s="176">
        <v>3665.6744681543814</v>
      </c>
      <c r="BG89" s="176">
        <v>3639.136760329407</v>
      </c>
      <c r="BH89" s="176">
        <v>3632.7433746447427</v>
      </c>
      <c r="BI89" s="176">
        <v>3645.4878428296415</v>
      </c>
      <c r="BJ89" s="176">
        <v>3676.4068111233437</v>
      </c>
      <c r="BK89" s="176">
        <v>3724.5717847028254</v>
      </c>
      <c r="BL89" s="176">
        <v>3789.0845877448401</v>
      </c>
      <c r="BM89" s="176">
        <v>3869.0753988748143</v>
      </c>
      <c r="BN89" s="176">
        <v>3963.702387491337</v>
      </c>
      <c r="BO89" s="176">
        <v>4000</v>
      </c>
      <c r="BP89" s="176">
        <v>4000</v>
      </c>
      <c r="BQ89" s="176">
        <v>4000</v>
      </c>
      <c r="BR89" s="176">
        <v>4000</v>
      </c>
      <c r="BS89" s="176">
        <v>4000</v>
      </c>
      <c r="BT89" s="176">
        <v>4000</v>
      </c>
      <c r="BU89" s="176">
        <v>4000</v>
      </c>
      <c r="BV89" s="176">
        <v>4000</v>
      </c>
      <c r="BW89" s="176">
        <v>4000</v>
      </c>
      <c r="BX89" s="176">
        <v>4000</v>
      </c>
      <c r="BY89" s="176">
        <v>4000</v>
      </c>
      <c r="BZ89" s="176">
        <v>4000</v>
      </c>
      <c r="CA89" s="176">
        <v>4000</v>
      </c>
      <c r="CB89" s="176">
        <v>4000</v>
      </c>
      <c r="CC89" s="176">
        <v>4000</v>
      </c>
      <c r="CD89" s="176">
        <v>4000</v>
      </c>
      <c r="CE89" s="176">
        <v>4000</v>
      </c>
      <c r="CF89" s="176">
        <v>4000</v>
      </c>
      <c r="CG89" s="176">
        <v>4000</v>
      </c>
      <c r="CH89" s="176">
        <v>4000</v>
      </c>
      <c r="CI89" s="176">
        <v>4000</v>
      </c>
      <c r="CJ89" s="176">
        <v>4000</v>
      </c>
      <c r="CK89" s="176">
        <v>4000</v>
      </c>
      <c r="CL89" s="176">
        <v>4000</v>
      </c>
      <c r="CM89" s="176">
        <v>4000</v>
      </c>
      <c r="CN89" s="176">
        <v>4000</v>
      </c>
      <c r="CO89" s="176">
        <v>4000</v>
      </c>
      <c r="CP89" s="176">
        <v>4000</v>
      </c>
      <c r="CQ89" s="176">
        <v>4000</v>
      </c>
      <c r="CR89" s="176">
        <v>4000</v>
      </c>
      <c r="CS89" s="176">
        <v>4000</v>
      </c>
      <c r="CT89" s="176">
        <v>4000</v>
      </c>
      <c r="CU89" s="176">
        <v>4000</v>
      </c>
      <c r="CV89" s="176">
        <v>4000</v>
      </c>
      <c r="CW89" s="176">
        <v>4000</v>
      </c>
      <c r="CX89" s="176">
        <v>4000</v>
      </c>
      <c r="CY89" s="176">
        <v>4000</v>
      </c>
      <c r="CZ89" s="176">
        <v>4000</v>
      </c>
      <c r="DA89" s="176">
        <v>4000</v>
      </c>
      <c r="DB89" s="176">
        <v>4000</v>
      </c>
      <c r="DC89" s="176">
        <v>4000</v>
      </c>
      <c r="DD89" s="176">
        <v>4000</v>
      </c>
      <c r="DE89" s="176">
        <v>4000</v>
      </c>
      <c r="DF89" s="176">
        <v>4000</v>
      </c>
      <c r="DG89" s="176">
        <v>4000</v>
      </c>
      <c r="DH89" s="176">
        <v>4000</v>
      </c>
      <c r="DI89" s="176">
        <v>4000</v>
      </c>
      <c r="DJ89" s="176">
        <v>4000</v>
      </c>
      <c r="DK89" s="176">
        <v>4000</v>
      </c>
      <c r="DL89" s="176">
        <v>4000</v>
      </c>
      <c r="DM89" s="176">
        <v>4000</v>
      </c>
      <c r="DN89" s="176">
        <v>4000</v>
      </c>
      <c r="DO89" s="176">
        <v>4000</v>
      </c>
      <c r="DP89" s="176">
        <v>4000</v>
      </c>
      <c r="DQ89" s="176">
        <v>4000</v>
      </c>
      <c r="DR89" s="176">
        <v>4000</v>
      </c>
      <c r="DS89" s="176">
        <v>4000</v>
      </c>
      <c r="DT89" s="176">
        <v>4000</v>
      </c>
      <c r="DU89" s="176">
        <v>4000</v>
      </c>
      <c r="DV89" s="176">
        <v>4000</v>
      </c>
      <c r="DW89" s="176">
        <v>4000</v>
      </c>
      <c r="DX89" s="176">
        <v>4000</v>
      </c>
      <c r="DY89" s="176">
        <v>4000</v>
      </c>
      <c r="DZ89" s="176">
        <v>4000</v>
      </c>
      <c r="EA89" s="176">
        <v>4000</v>
      </c>
      <c r="EB89" s="176">
        <v>4000</v>
      </c>
      <c r="EC89" s="176">
        <v>4000</v>
      </c>
      <c r="ED89" s="176">
        <v>4000</v>
      </c>
      <c r="EE89" s="176">
        <v>4000</v>
      </c>
      <c r="EF89" s="176">
        <v>4000</v>
      </c>
      <c r="EG89" s="176">
        <v>4000</v>
      </c>
      <c r="EH89" s="176">
        <v>4000</v>
      </c>
      <c r="EI89" s="176">
        <v>4000</v>
      </c>
      <c r="EJ89" s="176">
        <v>4000</v>
      </c>
      <c r="EK89" s="176">
        <v>4000</v>
      </c>
      <c r="EL89" s="176">
        <v>4000</v>
      </c>
      <c r="EM89" s="176">
        <v>4000</v>
      </c>
      <c r="EN89" s="176">
        <v>4000</v>
      </c>
      <c r="EO89" s="176">
        <v>4000</v>
      </c>
      <c r="EP89" t="str">
        <f t="shared" si="1"/>
        <v>1y 372d</v>
      </c>
    </row>
    <row r="90" spans="2:146" x14ac:dyDescent="0.25">
      <c r="B90" s="9">
        <v>87</v>
      </c>
      <c r="D90">
        <v>7915048.3536068518</v>
      </c>
      <c r="E90" s="12">
        <v>-8652164259.2527523</v>
      </c>
      <c r="F90" s="12">
        <v>10492650219.064171</v>
      </c>
      <c r="G90" s="12">
        <v>0</v>
      </c>
      <c r="H90" s="12">
        <v>14669482.605805542</v>
      </c>
      <c r="I90" s="12">
        <v>-1855629019.6600506</v>
      </c>
      <c r="J90" s="12">
        <v>-21284861823.509514</v>
      </c>
      <c r="K90" s="12">
        <v>17259984.234504811</v>
      </c>
      <c r="L90" s="12">
        <v>5886488.257679387</v>
      </c>
      <c r="M90" s="12">
        <v>20623253623.75737</v>
      </c>
      <c r="N90" s="12">
        <v>2738262093.0777512</v>
      </c>
      <c r="O90" s="12">
        <v>12438068.752197288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S90" s="6">
        <v>17425583.020837918</v>
      </c>
      <c r="AT90" s="176">
        <v>4000</v>
      </c>
      <c r="AU90" s="176">
        <v>4000</v>
      </c>
      <c r="AV90" s="176">
        <v>4000</v>
      </c>
      <c r="AW90" s="176">
        <v>4000</v>
      </c>
      <c r="AX90" s="176">
        <v>4000</v>
      </c>
      <c r="AY90" s="176">
        <v>4000</v>
      </c>
      <c r="AZ90" s="176">
        <v>4000</v>
      </c>
      <c r="BA90" s="176">
        <v>4000</v>
      </c>
      <c r="BB90" s="176">
        <v>4000</v>
      </c>
      <c r="BC90" s="176">
        <v>3963.7143539460449</v>
      </c>
      <c r="BD90" s="176">
        <v>3851.5139082605874</v>
      </c>
      <c r="BE90" s="176">
        <v>3764.4849781168532</v>
      </c>
      <c r="BF90" s="176">
        <v>3701.1812778775538</v>
      </c>
      <c r="BG90" s="176">
        <v>3660.2982523475685</v>
      </c>
      <c r="BH90" s="176">
        <v>3640.6300382516779</v>
      </c>
      <c r="BI90" s="176">
        <v>3641.0466923311424</v>
      </c>
      <c r="BJ90" s="176">
        <v>3660.4766515399224</v>
      </c>
      <c r="BK90" s="176">
        <v>3697.8952319420782</v>
      </c>
      <c r="BL90" s="176">
        <v>3752.3176715730606</v>
      </c>
      <c r="BM90" s="176">
        <v>3822.7954103897218</v>
      </c>
      <c r="BN90" s="176">
        <v>3908.414503431482</v>
      </c>
      <c r="BO90" s="176">
        <v>4000</v>
      </c>
      <c r="BP90" s="176">
        <v>4000</v>
      </c>
      <c r="BQ90" s="176">
        <v>4000</v>
      </c>
      <c r="BR90" s="176">
        <v>4000</v>
      </c>
      <c r="BS90" s="176">
        <v>4000</v>
      </c>
      <c r="BT90" s="176">
        <v>4000</v>
      </c>
      <c r="BU90" s="176">
        <v>4000</v>
      </c>
      <c r="BV90" s="176">
        <v>4000</v>
      </c>
      <c r="BW90" s="176">
        <v>4000</v>
      </c>
      <c r="BX90" s="176">
        <v>4000</v>
      </c>
      <c r="BY90" s="176">
        <v>4000</v>
      </c>
      <c r="BZ90" s="176">
        <v>4000</v>
      </c>
      <c r="CA90" s="176">
        <v>4000</v>
      </c>
      <c r="CB90" s="176">
        <v>4000</v>
      </c>
      <c r="CC90" s="176">
        <v>4000</v>
      </c>
      <c r="CD90" s="176">
        <v>4000</v>
      </c>
      <c r="CE90" s="176">
        <v>4000</v>
      </c>
      <c r="CF90" s="176">
        <v>4000</v>
      </c>
      <c r="CG90" s="176">
        <v>4000</v>
      </c>
      <c r="CH90" s="176">
        <v>4000</v>
      </c>
      <c r="CI90" s="176">
        <v>4000</v>
      </c>
      <c r="CJ90" s="176">
        <v>4000</v>
      </c>
      <c r="CK90" s="176">
        <v>4000</v>
      </c>
      <c r="CL90" s="176">
        <v>4000</v>
      </c>
      <c r="CM90" s="176">
        <v>4000</v>
      </c>
      <c r="CN90" s="176">
        <v>4000</v>
      </c>
      <c r="CO90" s="176">
        <v>4000</v>
      </c>
      <c r="CP90" s="176">
        <v>4000</v>
      </c>
      <c r="CQ90" s="176">
        <v>4000</v>
      </c>
      <c r="CR90" s="176">
        <v>4000</v>
      </c>
      <c r="CS90" s="176">
        <v>4000</v>
      </c>
      <c r="CT90" s="176">
        <v>4000</v>
      </c>
      <c r="CU90" s="176">
        <v>4000</v>
      </c>
      <c r="CV90" s="176">
        <v>4000</v>
      </c>
      <c r="CW90" s="176">
        <v>4000</v>
      </c>
      <c r="CX90" s="176">
        <v>4000</v>
      </c>
      <c r="CY90" s="176">
        <v>4000</v>
      </c>
      <c r="CZ90" s="176">
        <v>4000</v>
      </c>
      <c r="DA90" s="176">
        <v>4000</v>
      </c>
      <c r="DB90" s="176">
        <v>4000</v>
      </c>
      <c r="DC90" s="176">
        <v>4000</v>
      </c>
      <c r="DD90" s="176">
        <v>4000</v>
      </c>
      <c r="DE90" s="176">
        <v>4000</v>
      </c>
      <c r="DF90" s="176">
        <v>4000</v>
      </c>
      <c r="DG90" s="176">
        <v>4000</v>
      </c>
      <c r="DH90" s="176">
        <v>4000</v>
      </c>
      <c r="DI90" s="176">
        <v>4000</v>
      </c>
      <c r="DJ90" s="176">
        <v>4000</v>
      </c>
      <c r="DK90" s="176">
        <v>4000</v>
      </c>
      <c r="DL90" s="176">
        <v>4000</v>
      </c>
      <c r="DM90" s="176">
        <v>4000</v>
      </c>
      <c r="DN90" s="176">
        <v>4000</v>
      </c>
      <c r="DO90" s="176">
        <v>4000</v>
      </c>
      <c r="DP90" s="176">
        <v>4000</v>
      </c>
      <c r="DQ90" s="176">
        <v>4000</v>
      </c>
      <c r="DR90" s="176">
        <v>4000</v>
      </c>
      <c r="DS90" s="176">
        <v>4000</v>
      </c>
      <c r="DT90" s="176">
        <v>4000</v>
      </c>
      <c r="DU90" s="176">
        <v>4000</v>
      </c>
      <c r="DV90" s="176">
        <v>4000</v>
      </c>
      <c r="DW90" s="176">
        <v>4000</v>
      </c>
      <c r="DX90" s="176">
        <v>4000</v>
      </c>
      <c r="DY90" s="176">
        <v>4000</v>
      </c>
      <c r="DZ90" s="176">
        <v>4000</v>
      </c>
      <c r="EA90" s="176">
        <v>4000</v>
      </c>
      <c r="EB90" s="176">
        <v>4000</v>
      </c>
      <c r="EC90" s="176">
        <v>4000</v>
      </c>
      <c r="ED90" s="176">
        <v>4000</v>
      </c>
      <c r="EE90" s="176">
        <v>4000</v>
      </c>
      <c r="EF90" s="176">
        <v>4000</v>
      </c>
      <c r="EG90" s="176">
        <v>4000</v>
      </c>
      <c r="EH90" s="176">
        <v>4000</v>
      </c>
      <c r="EI90" s="176">
        <v>4000</v>
      </c>
      <c r="EJ90" s="176">
        <v>4000</v>
      </c>
      <c r="EK90" s="176">
        <v>4000</v>
      </c>
      <c r="EL90" s="176">
        <v>4000</v>
      </c>
      <c r="EM90" s="176">
        <v>4000</v>
      </c>
      <c r="EN90" s="176">
        <v>4000</v>
      </c>
      <c r="EO90" s="176">
        <v>4000</v>
      </c>
      <c r="EP90" t="str">
        <f t="shared" si="1"/>
        <v>1y 381d</v>
      </c>
    </row>
    <row r="91" spans="2:146" x14ac:dyDescent="0.25">
      <c r="B91" s="9">
        <v>88</v>
      </c>
      <c r="D91">
        <v>8007083.7995790252</v>
      </c>
      <c r="E91" s="12">
        <v>-9293930147.980444</v>
      </c>
      <c r="F91" s="12">
        <v>9928671481.7833691</v>
      </c>
      <c r="G91" s="12">
        <v>0</v>
      </c>
      <c r="H91" s="12">
        <v>14854189.156007754</v>
      </c>
      <c r="I91" s="12">
        <v>-516764964.43103904</v>
      </c>
      <c r="J91" s="12">
        <v>-21412631653.559288</v>
      </c>
      <c r="K91" s="12">
        <v>16372703.550101861</v>
      </c>
      <c r="L91" s="12">
        <v>5994041.7301503494</v>
      </c>
      <c r="M91" s="12">
        <v>20563142098.124809</v>
      </c>
      <c r="N91" s="12">
        <v>3455458486.0008702</v>
      </c>
      <c r="O91" s="12">
        <v>10043247.307000451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S91" s="6">
        <v>17604451.782261971</v>
      </c>
      <c r="AT91" s="176">
        <v>4000</v>
      </c>
      <c r="AU91" s="176">
        <v>4000</v>
      </c>
      <c r="AV91" s="176">
        <v>4000</v>
      </c>
      <c r="AW91" s="176">
        <v>4000</v>
      </c>
      <c r="AX91" s="176">
        <v>4000</v>
      </c>
      <c r="AY91" s="176">
        <v>4000</v>
      </c>
      <c r="AZ91" s="176">
        <v>4000</v>
      </c>
      <c r="BA91" s="176">
        <v>4000</v>
      </c>
      <c r="BB91" s="176">
        <v>4000</v>
      </c>
      <c r="BC91" s="176">
        <v>4000</v>
      </c>
      <c r="BD91" s="176">
        <v>3934.5571512724937</v>
      </c>
      <c r="BE91" s="176">
        <v>3829.3082940956283</v>
      </c>
      <c r="BF91" s="176">
        <v>3749.3322658377142</v>
      </c>
      <c r="BG91" s="176">
        <v>3693.1292950876614</v>
      </c>
      <c r="BH91" s="176">
        <v>3659.3285504955684</v>
      </c>
      <c r="BI91" s="176">
        <v>3646.6590129909519</v>
      </c>
      <c r="BJ91" s="176">
        <v>3653.9267518643001</v>
      </c>
      <c r="BK91" s="176">
        <v>3679.9994207915443</v>
      </c>
      <c r="BL91" s="176">
        <v>3723.7962867611191</v>
      </c>
      <c r="BM91" s="176">
        <v>3784.2822801585871</v>
      </c>
      <c r="BN91" s="176">
        <v>3860.4648013065544</v>
      </c>
      <c r="BO91" s="176">
        <v>3951.3922408791591</v>
      </c>
      <c r="BP91" s="176">
        <v>4000</v>
      </c>
      <c r="BQ91" s="176">
        <v>4000</v>
      </c>
      <c r="BR91" s="176">
        <v>4000</v>
      </c>
      <c r="BS91" s="176">
        <v>4000</v>
      </c>
      <c r="BT91" s="176">
        <v>4000</v>
      </c>
      <c r="BU91" s="176">
        <v>4000</v>
      </c>
      <c r="BV91" s="176">
        <v>4000</v>
      </c>
      <c r="BW91" s="176">
        <v>4000</v>
      </c>
      <c r="BX91" s="176">
        <v>4000</v>
      </c>
      <c r="BY91" s="176">
        <v>4000</v>
      </c>
      <c r="BZ91" s="176">
        <v>4000</v>
      </c>
      <c r="CA91" s="176">
        <v>4000</v>
      </c>
      <c r="CB91" s="176">
        <v>4000</v>
      </c>
      <c r="CC91" s="176">
        <v>4000</v>
      </c>
      <c r="CD91" s="176">
        <v>4000</v>
      </c>
      <c r="CE91" s="176">
        <v>4000</v>
      </c>
      <c r="CF91" s="176">
        <v>4000</v>
      </c>
      <c r="CG91" s="176">
        <v>4000</v>
      </c>
      <c r="CH91" s="176">
        <v>4000</v>
      </c>
      <c r="CI91" s="176">
        <v>4000</v>
      </c>
      <c r="CJ91" s="176">
        <v>4000</v>
      </c>
      <c r="CK91" s="176">
        <v>4000</v>
      </c>
      <c r="CL91" s="176">
        <v>4000</v>
      </c>
      <c r="CM91" s="176">
        <v>4000</v>
      </c>
      <c r="CN91" s="176">
        <v>4000</v>
      </c>
      <c r="CO91" s="176">
        <v>4000</v>
      </c>
      <c r="CP91" s="176">
        <v>4000</v>
      </c>
      <c r="CQ91" s="176">
        <v>4000</v>
      </c>
      <c r="CR91" s="176">
        <v>4000</v>
      </c>
      <c r="CS91" s="176">
        <v>4000</v>
      </c>
      <c r="CT91" s="176">
        <v>4000</v>
      </c>
      <c r="CU91" s="176">
        <v>4000</v>
      </c>
      <c r="CV91" s="176">
        <v>4000</v>
      </c>
      <c r="CW91" s="176">
        <v>4000</v>
      </c>
      <c r="CX91" s="176">
        <v>4000</v>
      </c>
      <c r="CY91" s="176">
        <v>4000</v>
      </c>
      <c r="CZ91" s="176">
        <v>4000</v>
      </c>
      <c r="DA91" s="176">
        <v>4000</v>
      </c>
      <c r="DB91" s="176">
        <v>4000</v>
      </c>
      <c r="DC91" s="176">
        <v>4000</v>
      </c>
      <c r="DD91" s="176">
        <v>4000</v>
      </c>
      <c r="DE91" s="176">
        <v>4000</v>
      </c>
      <c r="DF91" s="176">
        <v>4000</v>
      </c>
      <c r="DG91" s="176">
        <v>4000</v>
      </c>
      <c r="DH91" s="176">
        <v>4000</v>
      </c>
      <c r="DI91" s="176">
        <v>4000</v>
      </c>
      <c r="DJ91" s="176">
        <v>4000</v>
      </c>
      <c r="DK91" s="176">
        <v>4000</v>
      </c>
      <c r="DL91" s="176">
        <v>4000</v>
      </c>
      <c r="DM91" s="176">
        <v>4000</v>
      </c>
      <c r="DN91" s="176">
        <v>4000</v>
      </c>
      <c r="DO91" s="176">
        <v>4000</v>
      </c>
      <c r="DP91" s="176">
        <v>4000</v>
      </c>
      <c r="DQ91" s="176">
        <v>4000</v>
      </c>
      <c r="DR91" s="176">
        <v>4000</v>
      </c>
      <c r="DS91" s="176">
        <v>4000</v>
      </c>
      <c r="DT91" s="176">
        <v>4000</v>
      </c>
      <c r="DU91" s="176">
        <v>4000</v>
      </c>
      <c r="DV91" s="176">
        <v>4000</v>
      </c>
      <c r="DW91" s="176">
        <v>4000</v>
      </c>
      <c r="DX91" s="176">
        <v>4000</v>
      </c>
      <c r="DY91" s="176">
        <v>4000</v>
      </c>
      <c r="DZ91" s="176">
        <v>4000</v>
      </c>
      <c r="EA91" s="176">
        <v>4000</v>
      </c>
      <c r="EB91" s="176">
        <v>4000</v>
      </c>
      <c r="EC91" s="176">
        <v>4000</v>
      </c>
      <c r="ED91" s="176">
        <v>4000</v>
      </c>
      <c r="EE91" s="176">
        <v>4000</v>
      </c>
      <c r="EF91" s="176">
        <v>4000</v>
      </c>
      <c r="EG91" s="176">
        <v>4000</v>
      </c>
      <c r="EH91" s="176">
        <v>4000</v>
      </c>
      <c r="EI91" s="176">
        <v>4000</v>
      </c>
      <c r="EJ91" s="176">
        <v>4000</v>
      </c>
      <c r="EK91" s="176">
        <v>4000</v>
      </c>
      <c r="EL91" s="176">
        <v>4000</v>
      </c>
      <c r="EM91" s="176">
        <v>4000</v>
      </c>
      <c r="EN91" s="176">
        <v>4000</v>
      </c>
      <c r="EO91" s="176">
        <v>4000</v>
      </c>
      <c r="EP91" t="str">
        <f t="shared" si="1"/>
        <v>1y 389d</v>
      </c>
    </row>
    <row r="92" spans="2:146" x14ac:dyDescent="0.25">
      <c r="B92" s="9">
        <v>89</v>
      </c>
      <c r="D92">
        <v>8099119.2455511978</v>
      </c>
      <c r="E92" s="12">
        <v>-9899017140.4068565</v>
      </c>
      <c r="F92" s="12">
        <v>9325508814.142498</v>
      </c>
      <c r="G92" s="12">
        <v>0</v>
      </c>
      <c r="H92" s="12">
        <v>15039792.827693865</v>
      </c>
      <c r="I92" s="12">
        <v>830717817.3268919</v>
      </c>
      <c r="J92" s="12">
        <v>-21453257542.862801</v>
      </c>
      <c r="K92" s="12">
        <v>15414007.736357385</v>
      </c>
      <c r="L92" s="12">
        <v>6102050.502667943</v>
      </c>
      <c r="M92" s="12">
        <v>20471822568.601154</v>
      </c>
      <c r="N92" s="12">
        <v>4170489084.9726005</v>
      </c>
      <c r="O92" s="12">
        <v>7623171.2340242397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S92" s="6">
        <v>17783320.543686025</v>
      </c>
      <c r="AT92" s="176">
        <v>4000</v>
      </c>
      <c r="AU92" s="176">
        <v>4000</v>
      </c>
      <c r="AV92" s="176">
        <v>4000</v>
      </c>
      <c r="AW92" s="176">
        <v>4000</v>
      </c>
      <c r="AX92" s="176">
        <v>4000</v>
      </c>
      <c r="AY92" s="176">
        <v>4000</v>
      </c>
      <c r="AZ92" s="176">
        <v>4000</v>
      </c>
      <c r="BA92" s="176">
        <v>4000</v>
      </c>
      <c r="BB92" s="176">
        <v>4000</v>
      </c>
      <c r="BC92" s="176">
        <v>4000</v>
      </c>
      <c r="BD92" s="176">
        <v>4000</v>
      </c>
      <c r="BE92" s="176">
        <v>3909.2006590272513</v>
      </c>
      <c r="BF92" s="176">
        <v>3811.2845608803859</v>
      </c>
      <c r="BG92" s="176">
        <v>3738.6567446308995</v>
      </c>
      <c r="BH92" s="176">
        <v>3689.7548660288735</v>
      </c>
      <c r="BI92" s="176">
        <v>3663.1455585609388</v>
      </c>
      <c r="BJ92" s="176">
        <v>3657.4954581115371</v>
      </c>
      <c r="BK92" s="176">
        <v>3671.5507860260759</v>
      </c>
      <c r="BL92" s="176">
        <v>3704.123637050126</v>
      </c>
      <c r="BM92" s="176">
        <v>3754.0832317671084</v>
      </c>
      <c r="BN92" s="176">
        <v>3820.3506622436503</v>
      </c>
      <c r="BO92" s="176">
        <v>3901.8959378889926</v>
      </c>
      <c r="BP92" s="176">
        <v>3997.7363695355789</v>
      </c>
      <c r="BQ92" s="176">
        <v>4000</v>
      </c>
      <c r="BR92" s="176">
        <v>4000</v>
      </c>
      <c r="BS92" s="176">
        <v>4000</v>
      </c>
      <c r="BT92" s="176">
        <v>4000</v>
      </c>
      <c r="BU92" s="176">
        <v>4000</v>
      </c>
      <c r="BV92" s="176">
        <v>4000</v>
      </c>
      <c r="BW92" s="176">
        <v>4000</v>
      </c>
      <c r="BX92" s="176">
        <v>4000</v>
      </c>
      <c r="BY92" s="176">
        <v>4000</v>
      </c>
      <c r="BZ92" s="176">
        <v>4000</v>
      </c>
      <c r="CA92" s="176">
        <v>4000</v>
      </c>
      <c r="CB92" s="176">
        <v>4000</v>
      </c>
      <c r="CC92" s="176">
        <v>4000</v>
      </c>
      <c r="CD92" s="176">
        <v>4000</v>
      </c>
      <c r="CE92" s="176">
        <v>4000</v>
      </c>
      <c r="CF92" s="176">
        <v>4000</v>
      </c>
      <c r="CG92" s="176">
        <v>4000</v>
      </c>
      <c r="CH92" s="176">
        <v>4000</v>
      </c>
      <c r="CI92" s="176">
        <v>4000</v>
      </c>
      <c r="CJ92" s="176">
        <v>4000</v>
      </c>
      <c r="CK92" s="176">
        <v>4000</v>
      </c>
      <c r="CL92" s="176">
        <v>4000</v>
      </c>
      <c r="CM92" s="176">
        <v>4000</v>
      </c>
      <c r="CN92" s="176">
        <v>4000</v>
      </c>
      <c r="CO92" s="176">
        <v>4000</v>
      </c>
      <c r="CP92" s="176">
        <v>4000</v>
      </c>
      <c r="CQ92" s="176">
        <v>4000</v>
      </c>
      <c r="CR92" s="176">
        <v>4000</v>
      </c>
      <c r="CS92" s="176">
        <v>4000</v>
      </c>
      <c r="CT92" s="176">
        <v>4000</v>
      </c>
      <c r="CU92" s="176">
        <v>4000</v>
      </c>
      <c r="CV92" s="176">
        <v>4000</v>
      </c>
      <c r="CW92" s="176">
        <v>4000</v>
      </c>
      <c r="CX92" s="176">
        <v>4000</v>
      </c>
      <c r="CY92" s="176">
        <v>4000</v>
      </c>
      <c r="CZ92" s="176">
        <v>4000</v>
      </c>
      <c r="DA92" s="176">
        <v>4000</v>
      </c>
      <c r="DB92" s="176">
        <v>4000</v>
      </c>
      <c r="DC92" s="176">
        <v>4000</v>
      </c>
      <c r="DD92" s="176">
        <v>4000</v>
      </c>
      <c r="DE92" s="176">
        <v>4000</v>
      </c>
      <c r="DF92" s="176">
        <v>4000</v>
      </c>
      <c r="DG92" s="176">
        <v>4000</v>
      </c>
      <c r="DH92" s="176">
        <v>4000</v>
      </c>
      <c r="DI92" s="176">
        <v>4000</v>
      </c>
      <c r="DJ92" s="176">
        <v>4000</v>
      </c>
      <c r="DK92" s="176">
        <v>4000</v>
      </c>
      <c r="DL92" s="176">
        <v>4000</v>
      </c>
      <c r="DM92" s="176">
        <v>4000</v>
      </c>
      <c r="DN92" s="176">
        <v>4000</v>
      </c>
      <c r="DO92" s="176">
        <v>4000</v>
      </c>
      <c r="DP92" s="176">
        <v>4000</v>
      </c>
      <c r="DQ92" s="176">
        <v>4000</v>
      </c>
      <c r="DR92" s="176">
        <v>4000</v>
      </c>
      <c r="DS92" s="176">
        <v>4000</v>
      </c>
      <c r="DT92" s="176">
        <v>4000</v>
      </c>
      <c r="DU92" s="176">
        <v>4000</v>
      </c>
      <c r="DV92" s="176">
        <v>4000</v>
      </c>
      <c r="DW92" s="176">
        <v>4000</v>
      </c>
      <c r="DX92" s="176">
        <v>4000</v>
      </c>
      <c r="DY92" s="176">
        <v>4000</v>
      </c>
      <c r="DZ92" s="176">
        <v>4000</v>
      </c>
      <c r="EA92" s="176">
        <v>4000</v>
      </c>
      <c r="EB92" s="176">
        <v>4000</v>
      </c>
      <c r="EC92" s="176">
        <v>4000</v>
      </c>
      <c r="ED92" s="176">
        <v>4000</v>
      </c>
      <c r="EE92" s="176">
        <v>4000</v>
      </c>
      <c r="EF92" s="176">
        <v>4000</v>
      </c>
      <c r="EG92" s="176">
        <v>4000</v>
      </c>
      <c r="EH92" s="176">
        <v>4000</v>
      </c>
      <c r="EI92" s="176">
        <v>4000</v>
      </c>
      <c r="EJ92" s="176">
        <v>4000</v>
      </c>
      <c r="EK92" s="176">
        <v>4000</v>
      </c>
      <c r="EL92" s="176">
        <v>4000</v>
      </c>
      <c r="EM92" s="176">
        <v>4000</v>
      </c>
      <c r="EN92" s="176">
        <v>4000</v>
      </c>
      <c r="EO92" s="176">
        <v>4000</v>
      </c>
      <c r="EP92" t="str">
        <f t="shared" si="1"/>
        <v>1y 397d</v>
      </c>
    </row>
    <row r="93" spans="2:146" x14ac:dyDescent="0.25">
      <c r="B93" s="9">
        <v>90</v>
      </c>
      <c r="D93">
        <v>8191154.6915233703</v>
      </c>
      <c r="E93" s="12">
        <v>-10465037234.610834</v>
      </c>
      <c r="F93" s="12">
        <v>8685542623.6319275</v>
      </c>
      <c r="G93" s="12">
        <v>0</v>
      </c>
      <c r="H93" s="12">
        <v>15226245.068450943</v>
      </c>
      <c r="I93" s="12">
        <v>2180946703.2573595</v>
      </c>
      <c r="J93" s="12">
        <v>-21405944052.46513</v>
      </c>
      <c r="K93" s="12">
        <v>14387613.118855063</v>
      </c>
      <c r="L93" s="12">
        <v>6210449.0486344788</v>
      </c>
      <c r="M93" s="12">
        <v>20349306713.503014</v>
      </c>
      <c r="N93" s="12">
        <v>4881811562.5855045</v>
      </c>
      <c r="O93" s="12">
        <v>5182868.8845291324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S93" s="6">
        <v>17962189.305110078</v>
      </c>
      <c r="AT93" s="176">
        <v>4000</v>
      </c>
      <c r="AU93" s="176">
        <v>4000</v>
      </c>
      <c r="AV93" s="176">
        <v>4000</v>
      </c>
      <c r="AW93" s="176">
        <v>4000</v>
      </c>
      <c r="AX93" s="176">
        <v>4000</v>
      </c>
      <c r="AY93" s="176">
        <v>4000</v>
      </c>
      <c r="AZ93" s="176">
        <v>4000</v>
      </c>
      <c r="BA93" s="176">
        <v>4000</v>
      </c>
      <c r="BB93" s="176">
        <v>4000</v>
      </c>
      <c r="BC93" s="176">
        <v>4000</v>
      </c>
      <c r="BD93" s="176">
        <v>4000</v>
      </c>
      <c r="BE93" s="176">
        <v>4000</v>
      </c>
      <c r="BF93" s="176">
        <v>3888.3954406596381</v>
      </c>
      <c r="BG93" s="176">
        <v>3798.0824225565448</v>
      </c>
      <c r="BH93" s="176">
        <v>3732.9791292783502</v>
      </c>
      <c r="BI93" s="176">
        <v>3691.4640405820069</v>
      </c>
      <c r="BJ93" s="176">
        <v>3672.0436774706386</v>
      </c>
      <c r="BK93" s="176">
        <v>3673.3262007812627</v>
      </c>
      <c r="BL93" s="176">
        <v>3694.0030704367664</v>
      </c>
      <c r="BM93" s="176">
        <v>3732.8368059742043</v>
      </c>
      <c r="BN93" s="176">
        <v>3788.6531287601929</v>
      </c>
      <c r="BO93" s="176">
        <v>3860.3360959860838</v>
      </c>
      <c r="BP93" s="176">
        <v>3946.825124290167</v>
      </c>
      <c r="BQ93" s="176">
        <v>4000</v>
      </c>
      <c r="BR93" s="176">
        <v>4000</v>
      </c>
      <c r="BS93" s="176">
        <v>4000</v>
      </c>
      <c r="BT93" s="176">
        <v>4000</v>
      </c>
      <c r="BU93" s="176">
        <v>4000</v>
      </c>
      <c r="BV93" s="176">
        <v>4000</v>
      </c>
      <c r="BW93" s="176">
        <v>4000</v>
      </c>
      <c r="BX93" s="176">
        <v>4000</v>
      </c>
      <c r="BY93" s="176">
        <v>4000</v>
      </c>
      <c r="BZ93" s="176">
        <v>4000</v>
      </c>
      <c r="CA93" s="176">
        <v>4000</v>
      </c>
      <c r="CB93" s="176">
        <v>4000</v>
      </c>
      <c r="CC93" s="176">
        <v>4000</v>
      </c>
      <c r="CD93" s="176">
        <v>4000</v>
      </c>
      <c r="CE93" s="176">
        <v>4000</v>
      </c>
      <c r="CF93" s="176">
        <v>4000</v>
      </c>
      <c r="CG93" s="176">
        <v>4000</v>
      </c>
      <c r="CH93" s="176">
        <v>4000</v>
      </c>
      <c r="CI93" s="176">
        <v>4000</v>
      </c>
      <c r="CJ93" s="176">
        <v>4000</v>
      </c>
      <c r="CK93" s="176">
        <v>4000</v>
      </c>
      <c r="CL93" s="176">
        <v>4000</v>
      </c>
      <c r="CM93" s="176">
        <v>4000</v>
      </c>
      <c r="CN93" s="176">
        <v>4000</v>
      </c>
      <c r="CO93" s="176">
        <v>4000</v>
      </c>
      <c r="CP93" s="176">
        <v>4000</v>
      </c>
      <c r="CQ93" s="176">
        <v>4000</v>
      </c>
      <c r="CR93" s="176">
        <v>4000</v>
      </c>
      <c r="CS93" s="176">
        <v>4000</v>
      </c>
      <c r="CT93" s="176">
        <v>4000</v>
      </c>
      <c r="CU93" s="176">
        <v>4000</v>
      </c>
      <c r="CV93" s="176">
        <v>4000</v>
      </c>
      <c r="CW93" s="176">
        <v>4000</v>
      </c>
      <c r="CX93" s="176">
        <v>4000</v>
      </c>
      <c r="CY93" s="176">
        <v>4000</v>
      </c>
      <c r="CZ93" s="176">
        <v>4000</v>
      </c>
      <c r="DA93" s="176">
        <v>4000</v>
      </c>
      <c r="DB93" s="176">
        <v>4000</v>
      </c>
      <c r="DC93" s="176">
        <v>4000</v>
      </c>
      <c r="DD93" s="176">
        <v>4000</v>
      </c>
      <c r="DE93" s="176">
        <v>4000</v>
      </c>
      <c r="DF93" s="176">
        <v>4000</v>
      </c>
      <c r="DG93" s="176">
        <v>4000</v>
      </c>
      <c r="DH93" s="176">
        <v>4000</v>
      </c>
      <c r="DI93" s="176">
        <v>4000</v>
      </c>
      <c r="DJ93" s="176">
        <v>4000</v>
      </c>
      <c r="DK93" s="176">
        <v>4000</v>
      </c>
      <c r="DL93" s="176">
        <v>4000</v>
      </c>
      <c r="DM93" s="176">
        <v>4000</v>
      </c>
      <c r="DN93" s="176">
        <v>4000</v>
      </c>
      <c r="DO93" s="176">
        <v>4000</v>
      </c>
      <c r="DP93" s="176">
        <v>4000</v>
      </c>
      <c r="DQ93" s="176">
        <v>4000</v>
      </c>
      <c r="DR93" s="176">
        <v>4000</v>
      </c>
      <c r="DS93" s="176">
        <v>4000</v>
      </c>
      <c r="DT93" s="176">
        <v>4000</v>
      </c>
      <c r="DU93" s="176">
        <v>4000</v>
      </c>
      <c r="DV93" s="176">
        <v>4000</v>
      </c>
      <c r="DW93" s="176">
        <v>4000</v>
      </c>
      <c r="DX93" s="176">
        <v>4000</v>
      </c>
      <c r="DY93" s="176">
        <v>4000</v>
      </c>
      <c r="DZ93" s="176">
        <v>4000</v>
      </c>
      <c r="EA93" s="176">
        <v>4000</v>
      </c>
      <c r="EB93" s="176">
        <v>4000</v>
      </c>
      <c r="EC93" s="176">
        <v>4000</v>
      </c>
      <c r="ED93" s="176">
        <v>4000</v>
      </c>
      <c r="EE93" s="176">
        <v>4000</v>
      </c>
      <c r="EF93" s="176">
        <v>4000</v>
      </c>
      <c r="EG93" s="176">
        <v>4000</v>
      </c>
      <c r="EH93" s="176">
        <v>4000</v>
      </c>
      <c r="EI93" s="176">
        <v>4000</v>
      </c>
      <c r="EJ93" s="176">
        <v>4000</v>
      </c>
      <c r="EK93" s="176">
        <v>4000</v>
      </c>
      <c r="EL93" s="176">
        <v>4000</v>
      </c>
      <c r="EM93" s="176">
        <v>4000</v>
      </c>
      <c r="EN93" s="176">
        <v>4000</v>
      </c>
      <c r="EO93" s="176">
        <v>4000</v>
      </c>
      <c r="EP93" t="str">
        <f t="shared" si="1"/>
        <v>1y 405d</v>
      </c>
    </row>
    <row r="94" spans="2:146" x14ac:dyDescent="0.25">
      <c r="B94" s="9">
        <v>91</v>
      </c>
      <c r="D94">
        <v>8283190.1374955429</v>
      </c>
      <c r="E94" s="12">
        <v>-10989756607.870537</v>
      </c>
      <c r="F94" s="12">
        <v>8011298564.4328594</v>
      </c>
      <c r="G94" s="12">
        <v>0</v>
      </c>
      <c r="H94" s="12">
        <v>15413492.87055829</v>
      </c>
      <c r="I94" s="12">
        <v>3527957607.9800596</v>
      </c>
      <c r="J94" s="12">
        <v>-21270317624.412712</v>
      </c>
      <c r="K94" s="12">
        <v>13297618.265184235</v>
      </c>
      <c r="L94" s="12">
        <v>6319170.2850799458</v>
      </c>
      <c r="M94" s="12">
        <v>20195703328.474239</v>
      </c>
      <c r="N94" s="12">
        <v>5587880868.5465746</v>
      </c>
      <c r="O94" s="12">
        <v>2727477.9770508851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S94" s="6">
        <v>18141058.066534132</v>
      </c>
      <c r="AT94" s="176">
        <v>4000</v>
      </c>
      <c r="AU94" s="176">
        <v>4000</v>
      </c>
      <c r="AV94" s="176">
        <v>4000</v>
      </c>
      <c r="AW94" s="176">
        <v>4000</v>
      </c>
      <c r="AX94" s="176">
        <v>4000</v>
      </c>
      <c r="AY94" s="176">
        <v>4000</v>
      </c>
      <c r="AZ94" s="176">
        <v>4000</v>
      </c>
      <c r="BA94" s="176">
        <v>4000</v>
      </c>
      <c r="BB94" s="176">
        <v>4000</v>
      </c>
      <c r="BC94" s="176">
        <v>4000</v>
      </c>
      <c r="BD94" s="176">
        <v>4000</v>
      </c>
      <c r="BE94" s="176">
        <v>4000</v>
      </c>
      <c r="BF94" s="176">
        <v>3982.2637055110608</v>
      </c>
      <c r="BG94" s="176">
        <v>3872.818323410308</v>
      </c>
      <c r="BH94" s="176">
        <v>3790.25582756928</v>
      </c>
      <c r="BI94" s="176">
        <v>3732.7351509507375</v>
      </c>
      <c r="BJ94" s="176">
        <v>3698.5775174009073</v>
      </c>
      <c r="BK94" s="176">
        <v>3686.2328249748011</v>
      </c>
      <c r="BL94" s="176">
        <v>3694.2556112067605</v>
      </c>
      <c r="BM94" s="176">
        <v>3721.2884635916198</v>
      </c>
      <c r="BN94" s="176">
        <v>3766.0508951615875</v>
      </c>
      <c r="BO94" s="176">
        <v>3827.3320445009713</v>
      </c>
      <c r="BP94" s="176">
        <v>3903.9859162420089</v>
      </c>
      <c r="BQ94" s="176">
        <v>3994.9281624561454</v>
      </c>
      <c r="BR94" s="176">
        <v>4000</v>
      </c>
      <c r="BS94" s="176">
        <v>4000</v>
      </c>
      <c r="BT94" s="176">
        <v>4000</v>
      </c>
      <c r="BU94" s="176">
        <v>4000</v>
      </c>
      <c r="BV94" s="176">
        <v>4000</v>
      </c>
      <c r="BW94" s="176">
        <v>4000</v>
      </c>
      <c r="BX94" s="176">
        <v>4000</v>
      </c>
      <c r="BY94" s="176">
        <v>4000</v>
      </c>
      <c r="BZ94" s="176">
        <v>4000</v>
      </c>
      <c r="CA94" s="176">
        <v>4000</v>
      </c>
      <c r="CB94" s="176">
        <v>4000</v>
      </c>
      <c r="CC94" s="176">
        <v>4000</v>
      </c>
      <c r="CD94" s="176">
        <v>4000</v>
      </c>
      <c r="CE94" s="176">
        <v>4000</v>
      </c>
      <c r="CF94" s="176">
        <v>4000</v>
      </c>
      <c r="CG94" s="176">
        <v>4000</v>
      </c>
      <c r="CH94" s="176">
        <v>4000</v>
      </c>
      <c r="CI94" s="176">
        <v>4000</v>
      </c>
      <c r="CJ94" s="176">
        <v>4000</v>
      </c>
      <c r="CK94" s="176">
        <v>4000</v>
      </c>
      <c r="CL94" s="176">
        <v>4000</v>
      </c>
      <c r="CM94" s="176">
        <v>4000</v>
      </c>
      <c r="CN94" s="176">
        <v>4000</v>
      </c>
      <c r="CO94" s="176">
        <v>4000</v>
      </c>
      <c r="CP94" s="176">
        <v>4000</v>
      </c>
      <c r="CQ94" s="176">
        <v>4000</v>
      </c>
      <c r="CR94" s="176">
        <v>4000</v>
      </c>
      <c r="CS94" s="176">
        <v>4000</v>
      </c>
      <c r="CT94" s="176">
        <v>4000</v>
      </c>
      <c r="CU94" s="176">
        <v>4000</v>
      </c>
      <c r="CV94" s="176">
        <v>4000</v>
      </c>
      <c r="CW94" s="176">
        <v>4000</v>
      </c>
      <c r="CX94" s="176">
        <v>4000</v>
      </c>
      <c r="CY94" s="176">
        <v>4000</v>
      </c>
      <c r="CZ94" s="176">
        <v>4000</v>
      </c>
      <c r="DA94" s="176">
        <v>4000</v>
      </c>
      <c r="DB94" s="176">
        <v>4000</v>
      </c>
      <c r="DC94" s="176">
        <v>4000</v>
      </c>
      <c r="DD94" s="176">
        <v>4000</v>
      </c>
      <c r="DE94" s="176">
        <v>4000</v>
      </c>
      <c r="DF94" s="176">
        <v>4000</v>
      </c>
      <c r="DG94" s="176">
        <v>4000</v>
      </c>
      <c r="DH94" s="176">
        <v>4000</v>
      </c>
      <c r="DI94" s="176">
        <v>4000</v>
      </c>
      <c r="DJ94" s="176">
        <v>4000</v>
      </c>
      <c r="DK94" s="176">
        <v>4000</v>
      </c>
      <c r="DL94" s="176">
        <v>4000</v>
      </c>
      <c r="DM94" s="176">
        <v>4000</v>
      </c>
      <c r="DN94" s="176">
        <v>4000</v>
      </c>
      <c r="DO94" s="176">
        <v>4000</v>
      </c>
      <c r="DP94" s="176">
        <v>4000</v>
      </c>
      <c r="DQ94" s="176">
        <v>4000</v>
      </c>
      <c r="DR94" s="176">
        <v>4000</v>
      </c>
      <c r="DS94" s="176">
        <v>4000</v>
      </c>
      <c r="DT94" s="176">
        <v>4000</v>
      </c>
      <c r="DU94" s="176">
        <v>4000</v>
      </c>
      <c r="DV94" s="176">
        <v>4000</v>
      </c>
      <c r="DW94" s="176">
        <v>4000</v>
      </c>
      <c r="DX94" s="176">
        <v>4000</v>
      </c>
      <c r="DY94" s="176">
        <v>4000</v>
      </c>
      <c r="DZ94" s="176">
        <v>4000</v>
      </c>
      <c r="EA94" s="176">
        <v>4000</v>
      </c>
      <c r="EB94" s="176">
        <v>4000</v>
      </c>
      <c r="EC94" s="176">
        <v>4000</v>
      </c>
      <c r="ED94" s="176">
        <v>4000</v>
      </c>
      <c r="EE94" s="176">
        <v>4000</v>
      </c>
      <c r="EF94" s="176">
        <v>4000</v>
      </c>
      <c r="EG94" s="176">
        <v>4000</v>
      </c>
      <c r="EH94" s="176">
        <v>4000</v>
      </c>
      <c r="EI94" s="176">
        <v>4000</v>
      </c>
      <c r="EJ94" s="176">
        <v>4000</v>
      </c>
      <c r="EK94" s="176">
        <v>4000</v>
      </c>
      <c r="EL94" s="176">
        <v>4000</v>
      </c>
      <c r="EM94" s="176">
        <v>4000</v>
      </c>
      <c r="EN94" s="176">
        <v>4000</v>
      </c>
      <c r="EO94" s="176">
        <v>4000</v>
      </c>
      <c r="EP94" t="str">
        <f t="shared" si="1"/>
        <v>1y 414d</v>
      </c>
    </row>
    <row r="95" spans="2:146" x14ac:dyDescent="0.25">
      <c r="B95" s="9">
        <v>92</v>
      </c>
      <c r="D95">
        <v>8375225.5834677154</v>
      </c>
      <c r="E95" s="12">
        <v>-11471104432.541191</v>
      </c>
      <c r="F95" s="12">
        <v>7305437569.8141432</v>
      </c>
      <c r="G95" s="12">
        <v>0</v>
      </c>
      <c r="H95" s="12">
        <v>15601478.978316825</v>
      </c>
      <c r="I95" s="12">
        <v>4865728699.9859829</v>
      </c>
      <c r="J95" s="12">
        <v>-21046438644.356331</v>
      </c>
      <c r="K95" s="12">
        <v>12148488.246783076</v>
      </c>
      <c r="L95" s="12">
        <v>6428145.8293532105</v>
      </c>
      <c r="M95" s="12">
        <v>20011218984.890038</v>
      </c>
      <c r="N95" s="12">
        <v>6287156570.5057116</v>
      </c>
      <c r="O95" s="12">
        <v>262222.40350793937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S95" s="6">
        <v>18319926.827958185</v>
      </c>
      <c r="AT95" s="176">
        <v>4000</v>
      </c>
      <c r="AU95" s="176">
        <v>4000</v>
      </c>
      <c r="AV95" s="176">
        <v>4000</v>
      </c>
      <c r="AW95" s="176">
        <v>4000</v>
      </c>
      <c r="AX95" s="176">
        <v>4000</v>
      </c>
      <c r="AY95" s="176">
        <v>4000</v>
      </c>
      <c r="AZ95" s="176">
        <v>4000</v>
      </c>
      <c r="BA95" s="176">
        <v>4000</v>
      </c>
      <c r="BB95" s="176">
        <v>4000</v>
      </c>
      <c r="BC95" s="176">
        <v>4000</v>
      </c>
      <c r="BD95" s="176">
        <v>4000</v>
      </c>
      <c r="BE95" s="176">
        <v>4000</v>
      </c>
      <c r="BF95" s="176">
        <v>4000</v>
      </c>
      <c r="BG95" s="176">
        <v>3964.530497861731</v>
      </c>
      <c r="BH95" s="176">
        <v>3863.0612220446965</v>
      </c>
      <c r="BI95" s="176">
        <v>3788.2747095514133</v>
      </c>
      <c r="BJ95" s="176">
        <v>3738.2761137518114</v>
      </c>
      <c r="BK95" s="176">
        <v>3711.3323868219418</v>
      </c>
      <c r="BL95" s="176">
        <v>3705.8413068318755</v>
      </c>
      <c r="BM95" s="176">
        <v>3720.3094892374893</v>
      </c>
      <c r="BN95" s="176">
        <v>3753.3371698518577</v>
      </c>
      <c r="BO95" s="176">
        <v>3803.6078339511032</v>
      </c>
      <c r="BP95" s="176">
        <v>3869.8811672804782</v>
      </c>
      <c r="BQ95" s="176">
        <v>3950.9881625811086</v>
      </c>
      <c r="BR95" s="176">
        <v>4000</v>
      </c>
      <c r="BS95" s="176">
        <v>4000</v>
      </c>
      <c r="BT95" s="176">
        <v>4000</v>
      </c>
      <c r="BU95" s="176">
        <v>4000</v>
      </c>
      <c r="BV95" s="176">
        <v>4000</v>
      </c>
      <c r="BW95" s="176">
        <v>4000</v>
      </c>
      <c r="BX95" s="176">
        <v>4000</v>
      </c>
      <c r="BY95" s="176">
        <v>4000</v>
      </c>
      <c r="BZ95" s="176">
        <v>4000</v>
      </c>
      <c r="CA95" s="176">
        <v>4000</v>
      </c>
      <c r="CB95" s="176">
        <v>4000</v>
      </c>
      <c r="CC95" s="176">
        <v>4000</v>
      </c>
      <c r="CD95" s="176">
        <v>4000</v>
      </c>
      <c r="CE95" s="176">
        <v>4000</v>
      </c>
      <c r="CF95" s="176">
        <v>4000</v>
      </c>
      <c r="CG95" s="176">
        <v>4000</v>
      </c>
      <c r="CH95" s="176">
        <v>4000</v>
      </c>
      <c r="CI95" s="176">
        <v>4000</v>
      </c>
      <c r="CJ95" s="176">
        <v>4000</v>
      </c>
      <c r="CK95" s="176">
        <v>4000</v>
      </c>
      <c r="CL95" s="176">
        <v>4000</v>
      </c>
      <c r="CM95" s="176">
        <v>4000</v>
      </c>
      <c r="CN95" s="176">
        <v>4000</v>
      </c>
      <c r="CO95" s="176">
        <v>4000</v>
      </c>
      <c r="CP95" s="176">
        <v>4000</v>
      </c>
      <c r="CQ95" s="176">
        <v>4000</v>
      </c>
      <c r="CR95" s="176">
        <v>4000</v>
      </c>
      <c r="CS95" s="176">
        <v>4000</v>
      </c>
      <c r="CT95" s="176">
        <v>4000</v>
      </c>
      <c r="CU95" s="176">
        <v>4000</v>
      </c>
      <c r="CV95" s="176">
        <v>4000</v>
      </c>
      <c r="CW95" s="176">
        <v>4000</v>
      </c>
      <c r="CX95" s="176">
        <v>4000</v>
      </c>
      <c r="CY95" s="176">
        <v>4000</v>
      </c>
      <c r="CZ95" s="176">
        <v>4000</v>
      </c>
      <c r="DA95" s="176">
        <v>4000</v>
      </c>
      <c r="DB95" s="176">
        <v>4000</v>
      </c>
      <c r="DC95" s="176">
        <v>4000</v>
      </c>
      <c r="DD95" s="176">
        <v>4000</v>
      </c>
      <c r="DE95" s="176">
        <v>4000</v>
      </c>
      <c r="DF95" s="176">
        <v>4000</v>
      </c>
      <c r="DG95" s="176">
        <v>4000</v>
      </c>
      <c r="DH95" s="176">
        <v>4000</v>
      </c>
      <c r="DI95" s="176">
        <v>4000</v>
      </c>
      <c r="DJ95" s="176">
        <v>4000</v>
      </c>
      <c r="DK95" s="176">
        <v>4000</v>
      </c>
      <c r="DL95" s="176">
        <v>4000</v>
      </c>
      <c r="DM95" s="176">
        <v>4000</v>
      </c>
      <c r="DN95" s="176">
        <v>4000</v>
      </c>
      <c r="DO95" s="176">
        <v>4000</v>
      </c>
      <c r="DP95" s="176">
        <v>4000</v>
      </c>
      <c r="DQ95" s="176">
        <v>4000</v>
      </c>
      <c r="DR95" s="176">
        <v>4000</v>
      </c>
      <c r="DS95" s="176">
        <v>4000</v>
      </c>
      <c r="DT95" s="176">
        <v>4000</v>
      </c>
      <c r="DU95" s="176">
        <v>4000</v>
      </c>
      <c r="DV95" s="176">
        <v>4000</v>
      </c>
      <c r="DW95" s="176">
        <v>4000</v>
      </c>
      <c r="DX95" s="176">
        <v>4000</v>
      </c>
      <c r="DY95" s="176">
        <v>4000</v>
      </c>
      <c r="DZ95" s="176">
        <v>4000</v>
      </c>
      <c r="EA95" s="176">
        <v>4000</v>
      </c>
      <c r="EB95" s="176">
        <v>4000</v>
      </c>
      <c r="EC95" s="176">
        <v>4000</v>
      </c>
      <c r="ED95" s="176">
        <v>4000</v>
      </c>
      <c r="EE95" s="176">
        <v>4000</v>
      </c>
      <c r="EF95" s="176">
        <v>4000</v>
      </c>
      <c r="EG95" s="176">
        <v>4000</v>
      </c>
      <c r="EH95" s="176">
        <v>4000</v>
      </c>
      <c r="EI95" s="176">
        <v>4000</v>
      </c>
      <c r="EJ95" s="176">
        <v>4000</v>
      </c>
      <c r="EK95" s="176">
        <v>4000</v>
      </c>
      <c r="EL95" s="176">
        <v>4000</v>
      </c>
      <c r="EM95" s="176">
        <v>4000</v>
      </c>
      <c r="EN95" s="176">
        <v>4000</v>
      </c>
      <c r="EO95" s="176">
        <v>4000</v>
      </c>
      <c r="EP95" t="str">
        <f t="shared" si="1"/>
        <v>1y 422d</v>
      </c>
    </row>
    <row r="96" spans="2:146" x14ac:dyDescent="0.25">
      <c r="B96" s="9">
        <v>93</v>
      </c>
      <c r="D96">
        <v>8467261.029439887</v>
      </c>
      <c r="E96" s="12">
        <v>-11907181048.66571</v>
      </c>
      <c r="F96" s="12">
        <v>6570745350.6443472</v>
      </c>
      <c r="G96" s="12">
        <v>0</v>
      </c>
      <c r="H96" s="12">
        <v>15790142.132121745</v>
      </c>
      <c r="I96" s="12">
        <v>6188215798.5765905</v>
      </c>
      <c r="J96" s="12">
        <v>-20734810391.189671</v>
      </c>
      <c r="K96" s="12">
        <v>10945035.342527136</v>
      </c>
      <c r="L96" s="12">
        <v>6537306.2674009735</v>
      </c>
      <c r="M96" s="12">
        <v>19796157997.604321</v>
      </c>
      <c r="N96" s="12">
        <v>6978110261.5542374</v>
      </c>
      <c r="O96" s="12">
        <v>-2207611.8963225195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S96" s="6">
        <v>18498795.589382239</v>
      </c>
      <c r="AT96" s="176">
        <v>4000</v>
      </c>
      <c r="AU96" s="176">
        <v>4000</v>
      </c>
      <c r="AV96" s="176">
        <v>4000</v>
      </c>
      <c r="AW96" s="176">
        <v>4000</v>
      </c>
      <c r="AX96" s="176">
        <v>4000</v>
      </c>
      <c r="AY96" s="176">
        <v>4000</v>
      </c>
      <c r="AZ96" s="176">
        <v>4000</v>
      </c>
      <c r="BA96" s="176">
        <v>4000</v>
      </c>
      <c r="BB96" s="176">
        <v>4000</v>
      </c>
      <c r="BC96" s="176">
        <v>4000</v>
      </c>
      <c r="BD96" s="176">
        <v>4000</v>
      </c>
      <c r="BE96" s="176">
        <v>4000</v>
      </c>
      <c r="BF96" s="176">
        <v>4000</v>
      </c>
      <c r="BG96" s="176">
        <v>4000</v>
      </c>
      <c r="BH96" s="176">
        <v>3953.1401141688775</v>
      </c>
      <c r="BI96" s="176">
        <v>3859.6336416407789</v>
      </c>
      <c r="BJ96" s="176">
        <v>3792.526051824666</v>
      </c>
      <c r="BK96" s="176">
        <v>3749.8710558178582</v>
      </c>
      <c r="BL96" s="176">
        <v>3729.8853562420481</v>
      </c>
      <c r="BM96" s="176">
        <v>3730.9200114279665</v>
      </c>
      <c r="BN96" s="176">
        <v>3751.4401003488715</v>
      </c>
      <c r="BO96" s="176">
        <v>3790.0104850154057</v>
      </c>
      <c r="BP96" s="176">
        <v>3845.2858551066111</v>
      </c>
      <c r="BQ96" s="176">
        <v>3916.0036652131976</v>
      </c>
      <c r="BR96" s="176">
        <v>4000</v>
      </c>
      <c r="BS96" s="176">
        <v>4000</v>
      </c>
      <c r="BT96" s="176">
        <v>4000</v>
      </c>
      <c r="BU96" s="176">
        <v>4000</v>
      </c>
      <c r="BV96" s="176">
        <v>4000</v>
      </c>
      <c r="BW96" s="176">
        <v>4000</v>
      </c>
      <c r="BX96" s="176">
        <v>4000</v>
      </c>
      <c r="BY96" s="176">
        <v>4000</v>
      </c>
      <c r="BZ96" s="176">
        <v>4000</v>
      </c>
      <c r="CA96" s="176">
        <v>4000</v>
      </c>
      <c r="CB96" s="176">
        <v>4000</v>
      </c>
      <c r="CC96" s="176">
        <v>4000</v>
      </c>
      <c r="CD96" s="176">
        <v>4000</v>
      </c>
      <c r="CE96" s="176">
        <v>4000</v>
      </c>
      <c r="CF96" s="176">
        <v>4000</v>
      </c>
      <c r="CG96" s="176">
        <v>4000</v>
      </c>
      <c r="CH96" s="176">
        <v>4000</v>
      </c>
      <c r="CI96" s="176">
        <v>4000</v>
      </c>
      <c r="CJ96" s="176">
        <v>4000</v>
      </c>
      <c r="CK96" s="176">
        <v>4000</v>
      </c>
      <c r="CL96" s="176">
        <v>4000</v>
      </c>
      <c r="CM96" s="176">
        <v>4000</v>
      </c>
      <c r="CN96" s="176">
        <v>4000</v>
      </c>
      <c r="CO96" s="176">
        <v>4000</v>
      </c>
      <c r="CP96" s="176">
        <v>4000</v>
      </c>
      <c r="CQ96" s="176">
        <v>4000</v>
      </c>
      <c r="CR96" s="176">
        <v>4000</v>
      </c>
      <c r="CS96" s="176">
        <v>4000</v>
      </c>
      <c r="CT96" s="176">
        <v>4000</v>
      </c>
      <c r="CU96" s="176">
        <v>4000</v>
      </c>
      <c r="CV96" s="176">
        <v>4000</v>
      </c>
      <c r="CW96" s="176">
        <v>4000</v>
      </c>
      <c r="CX96" s="176">
        <v>4000</v>
      </c>
      <c r="CY96" s="176">
        <v>4000</v>
      </c>
      <c r="CZ96" s="176">
        <v>4000</v>
      </c>
      <c r="DA96" s="176">
        <v>4000</v>
      </c>
      <c r="DB96" s="176">
        <v>4000</v>
      </c>
      <c r="DC96" s="176">
        <v>4000</v>
      </c>
      <c r="DD96" s="176">
        <v>4000</v>
      </c>
      <c r="DE96" s="176">
        <v>4000</v>
      </c>
      <c r="DF96" s="176">
        <v>4000</v>
      </c>
      <c r="DG96" s="176">
        <v>4000</v>
      </c>
      <c r="DH96" s="176">
        <v>4000</v>
      </c>
      <c r="DI96" s="176">
        <v>4000</v>
      </c>
      <c r="DJ96" s="176">
        <v>4000</v>
      </c>
      <c r="DK96" s="176">
        <v>4000</v>
      </c>
      <c r="DL96" s="176">
        <v>4000</v>
      </c>
      <c r="DM96" s="176">
        <v>4000</v>
      </c>
      <c r="DN96" s="176">
        <v>4000</v>
      </c>
      <c r="DO96" s="176">
        <v>4000</v>
      </c>
      <c r="DP96" s="176">
        <v>4000</v>
      </c>
      <c r="DQ96" s="176">
        <v>4000</v>
      </c>
      <c r="DR96" s="176">
        <v>4000</v>
      </c>
      <c r="DS96" s="176">
        <v>4000</v>
      </c>
      <c r="DT96" s="176">
        <v>4000</v>
      </c>
      <c r="DU96" s="176">
        <v>4000</v>
      </c>
      <c r="DV96" s="176">
        <v>4000</v>
      </c>
      <c r="DW96" s="176">
        <v>4000</v>
      </c>
      <c r="DX96" s="176">
        <v>4000</v>
      </c>
      <c r="DY96" s="176">
        <v>4000</v>
      </c>
      <c r="DZ96" s="176">
        <v>4000</v>
      </c>
      <c r="EA96" s="176">
        <v>4000</v>
      </c>
      <c r="EB96" s="176">
        <v>4000</v>
      </c>
      <c r="EC96" s="176">
        <v>4000</v>
      </c>
      <c r="ED96" s="176">
        <v>4000</v>
      </c>
      <c r="EE96" s="176">
        <v>4000</v>
      </c>
      <c r="EF96" s="176">
        <v>4000</v>
      </c>
      <c r="EG96" s="176">
        <v>4000</v>
      </c>
      <c r="EH96" s="176">
        <v>4000</v>
      </c>
      <c r="EI96" s="176">
        <v>4000</v>
      </c>
      <c r="EJ96" s="176">
        <v>4000</v>
      </c>
      <c r="EK96" s="176">
        <v>4000</v>
      </c>
      <c r="EL96" s="176">
        <v>4000</v>
      </c>
      <c r="EM96" s="176">
        <v>4000</v>
      </c>
      <c r="EN96" s="176">
        <v>4000</v>
      </c>
      <c r="EO96" s="176">
        <v>4000</v>
      </c>
      <c r="EP96" t="str">
        <f t="shared" si="1"/>
        <v>2y 4d</v>
      </c>
    </row>
    <row r="97" spans="2:146" x14ac:dyDescent="0.25">
      <c r="B97" s="9">
        <v>94</v>
      </c>
      <c r="D97">
        <v>8559296.4754120596</v>
      </c>
      <c r="E97" s="12">
        <v>-12296265461.064732</v>
      </c>
      <c r="F97" s="12">
        <v>5810121401.4635439</v>
      </c>
      <c r="G97" s="12">
        <v>0</v>
      </c>
      <c r="H97" s="12">
        <v>15979417.34836131</v>
      </c>
      <c r="I97" s="12">
        <v>7489389113.0106964</v>
      </c>
      <c r="J97" s="12">
        <v>-20336384626.260082</v>
      </c>
      <c r="K97" s="12">
        <v>9692396.2471979503</v>
      </c>
      <c r="L97" s="12">
        <v>6646581.4313346874</v>
      </c>
      <c r="M97" s="12">
        <v>19550921692.702271</v>
      </c>
      <c r="N97" s="12">
        <v>7659232960.5275412</v>
      </c>
      <c r="O97" s="12">
        <v>-4676701.7613826478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S97" s="6">
        <v>18677664.350806292</v>
      </c>
      <c r="AT97" s="176">
        <v>4000</v>
      </c>
      <c r="AU97" s="176">
        <v>4000</v>
      </c>
      <c r="AV97" s="176">
        <v>4000</v>
      </c>
      <c r="AW97" s="176">
        <v>4000</v>
      </c>
      <c r="AX97" s="176">
        <v>4000</v>
      </c>
      <c r="AY97" s="176">
        <v>4000</v>
      </c>
      <c r="AZ97" s="176">
        <v>4000</v>
      </c>
      <c r="BA97" s="176">
        <v>4000</v>
      </c>
      <c r="BB97" s="176">
        <v>4000</v>
      </c>
      <c r="BC97" s="176">
        <v>4000</v>
      </c>
      <c r="BD97" s="176">
        <v>4000</v>
      </c>
      <c r="BE97" s="176">
        <v>4000</v>
      </c>
      <c r="BF97" s="176">
        <v>4000</v>
      </c>
      <c r="BG97" s="176">
        <v>4000</v>
      </c>
      <c r="BH97" s="176">
        <v>4000</v>
      </c>
      <c r="BI97" s="176">
        <v>3948.6480324517643</v>
      </c>
      <c r="BJ97" s="176">
        <v>3862.9642351776638</v>
      </c>
      <c r="BK97" s="176">
        <v>3803.3164300089566</v>
      </c>
      <c r="BL97" s="176">
        <v>3767.7102741736353</v>
      </c>
      <c r="BM97" s="176">
        <v>3754.3171842627025</v>
      </c>
      <c r="BN97" s="176">
        <v>3761.4476397426556</v>
      </c>
      <c r="BO97" s="176">
        <v>3787.5320792826851</v>
      </c>
      <c r="BP97" s="176">
        <v>3831.1072678784049</v>
      </c>
      <c r="BQ97" s="176">
        <v>3890.8064616412994</v>
      </c>
      <c r="BR97" s="176">
        <v>3965.3521187365459</v>
      </c>
      <c r="BS97" s="176">
        <v>4000</v>
      </c>
      <c r="BT97" s="176">
        <v>4000</v>
      </c>
      <c r="BU97" s="176">
        <v>4000</v>
      </c>
      <c r="BV97" s="176">
        <v>4000</v>
      </c>
      <c r="BW97" s="176">
        <v>4000</v>
      </c>
      <c r="BX97" s="176">
        <v>4000</v>
      </c>
      <c r="BY97" s="176">
        <v>4000</v>
      </c>
      <c r="BZ97" s="176">
        <v>4000</v>
      </c>
      <c r="CA97" s="176">
        <v>4000</v>
      </c>
      <c r="CB97" s="176">
        <v>4000</v>
      </c>
      <c r="CC97" s="176">
        <v>4000</v>
      </c>
      <c r="CD97" s="176">
        <v>4000</v>
      </c>
      <c r="CE97" s="176">
        <v>4000</v>
      </c>
      <c r="CF97" s="176">
        <v>4000</v>
      </c>
      <c r="CG97" s="176">
        <v>4000</v>
      </c>
      <c r="CH97" s="176">
        <v>4000</v>
      </c>
      <c r="CI97" s="176">
        <v>4000</v>
      </c>
      <c r="CJ97" s="176">
        <v>4000</v>
      </c>
      <c r="CK97" s="176">
        <v>4000</v>
      </c>
      <c r="CL97" s="176">
        <v>4000</v>
      </c>
      <c r="CM97" s="176">
        <v>4000</v>
      </c>
      <c r="CN97" s="176">
        <v>4000</v>
      </c>
      <c r="CO97" s="176">
        <v>4000</v>
      </c>
      <c r="CP97" s="176">
        <v>4000</v>
      </c>
      <c r="CQ97" s="176">
        <v>4000</v>
      </c>
      <c r="CR97" s="176">
        <v>4000</v>
      </c>
      <c r="CS97" s="176">
        <v>4000</v>
      </c>
      <c r="CT97" s="176">
        <v>4000</v>
      </c>
      <c r="CU97" s="176">
        <v>4000</v>
      </c>
      <c r="CV97" s="176">
        <v>4000</v>
      </c>
      <c r="CW97" s="176">
        <v>4000</v>
      </c>
      <c r="CX97" s="176">
        <v>4000</v>
      </c>
      <c r="CY97" s="176">
        <v>4000</v>
      </c>
      <c r="CZ97" s="176">
        <v>4000</v>
      </c>
      <c r="DA97" s="176">
        <v>4000</v>
      </c>
      <c r="DB97" s="176">
        <v>4000</v>
      </c>
      <c r="DC97" s="176">
        <v>4000</v>
      </c>
      <c r="DD97" s="176">
        <v>4000</v>
      </c>
      <c r="DE97" s="176">
        <v>4000</v>
      </c>
      <c r="DF97" s="176">
        <v>4000</v>
      </c>
      <c r="DG97" s="176">
        <v>4000</v>
      </c>
      <c r="DH97" s="176">
        <v>4000</v>
      </c>
      <c r="DI97" s="176">
        <v>4000</v>
      </c>
      <c r="DJ97" s="176">
        <v>4000</v>
      </c>
      <c r="DK97" s="176">
        <v>4000</v>
      </c>
      <c r="DL97" s="176">
        <v>4000</v>
      </c>
      <c r="DM97" s="176">
        <v>4000</v>
      </c>
      <c r="DN97" s="176">
        <v>4000</v>
      </c>
      <c r="DO97" s="176">
        <v>4000</v>
      </c>
      <c r="DP97" s="176">
        <v>4000</v>
      </c>
      <c r="DQ97" s="176">
        <v>4000</v>
      </c>
      <c r="DR97" s="176">
        <v>4000</v>
      </c>
      <c r="DS97" s="176">
        <v>4000</v>
      </c>
      <c r="DT97" s="176">
        <v>4000</v>
      </c>
      <c r="DU97" s="176">
        <v>4000</v>
      </c>
      <c r="DV97" s="176">
        <v>4000</v>
      </c>
      <c r="DW97" s="176">
        <v>4000</v>
      </c>
      <c r="DX97" s="176">
        <v>4000</v>
      </c>
      <c r="DY97" s="176">
        <v>4000</v>
      </c>
      <c r="DZ97" s="176">
        <v>4000</v>
      </c>
      <c r="EA97" s="176">
        <v>4000</v>
      </c>
      <c r="EB97" s="176">
        <v>4000</v>
      </c>
      <c r="EC97" s="176">
        <v>4000</v>
      </c>
      <c r="ED97" s="176">
        <v>4000</v>
      </c>
      <c r="EE97" s="176">
        <v>4000</v>
      </c>
      <c r="EF97" s="176">
        <v>4000</v>
      </c>
      <c r="EG97" s="176">
        <v>4000</v>
      </c>
      <c r="EH97" s="176">
        <v>4000</v>
      </c>
      <c r="EI97" s="176">
        <v>4000</v>
      </c>
      <c r="EJ97" s="176">
        <v>4000</v>
      </c>
      <c r="EK97" s="176">
        <v>4000</v>
      </c>
      <c r="EL97" s="176">
        <v>4000</v>
      </c>
      <c r="EM97" s="176">
        <v>4000</v>
      </c>
      <c r="EN97" s="176">
        <v>4000</v>
      </c>
      <c r="EO97" s="176">
        <v>4000</v>
      </c>
      <c r="EP97" t="str">
        <f t="shared" si="1"/>
        <v>2y 13d</v>
      </c>
    </row>
    <row r="98" spans="2:146" x14ac:dyDescent="0.25">
      <c r="B98" s="9">
        <v>95</v>
      </c>
      <c r="D98">
        <v>8651331.921384234</v>
      </c>
      <c r="E98" s="12">
        <v>-12636822131.318272</v>
      </c>
      <c r="F98" s="12">
        <v>5026567557.5031204</v>
      </c>
      <c r="G98" s="12">
        <v>0</v>
      </c>
      <c r="H98" s="12">
        <v>16169236.233658846</v>
      </c>
      <c r="I98" s="12">
        <v>8763270947.4603348</v>
      </c>
      <c r="J98" s="12">
        <v>-19852563617.048054</v>
      </c>
      <c r="K98" s="12">
        <v>8396005.9079101682</v>
      </c>
      <c r="L98" s="12">
        <v>6755900.6838373384</v>
      </c>
      <c r="M98" s="12">
        <v>19276006975.233063</v>
      </c>
      <c r="N98" s="12">
        <v>8329042430.3132458</v>
      </c>
      <c r="O98" s="12">
        <v>-7139712.0937173124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S98" s="6">
        <v>18856533.112230346</v>
      </c>
      <c r="AT98" s="176">
        <v>4000</v>
      </c>
      <c r="AU98" s="176">
        <v>4000</v>
      </c>
      <c r="AV98" s="176">
        <v>4000</v>
      </c>
      <c r="AW98" s="176">
        <v>4000</v>
      </c>
      <c r="AX98" s="176">
        <v>4000</v>
      </c>
      <c r="AY98" s="176">
        <v>4000</v>
      </c>
      <c r="AZ98" s="176">
        <v>4000</v>
      </c>
      <c r="BA98" s="176">
        <v>4000</v>
      </c>
      <c r="BB98" s="176">
        <v>4000</v>
      </c>
      <c r="BC98" s="176">
        <v>4000</v>
      </c>
      <c r="BD98" s="176">
        <v>4000</v>
      </c>
      <c r="BE98" s="176">
        <v>4000</v>
      </c>
      <c r="BF98" s="176">
        <v>4000</v>
      </c>
      <c r="BG98" s="176">
        <v>4000</v>
      </c>
      <c r="BH98" s="176">
        <v>4000</v>
      </c>
      <c r="BI98" s="176">
        <v>4000</v>
      </c>
      <c r="BJ98" s="176">
        <v>3951.5316588798887</v>
      </c>
      <c r="BK98" s="176">
        <v>3873.4036563494838</v>
      </c>
      <c r="BL98" s="176">
        <v>3820.8757433356277</v>
      </c>
      <c r="BM98" s="176">
        <v>3791.9098883204401</v>
      </c>
      <c r="BN98" s="176">
        <v>3784.6379817691704</v>
      </c>
      <c r="BO98" s="176">
        <v>3797.3366341809924</v>
      </c>
      <c r="BP98" s="176">
        <v>3828.4088902442063</v>
      </c>
      <c r="BQ98" s="176">
        <v>3876.3708672781213</v>
      </c>
      <c r="BR98" s="176">
        <v>3939.8417980614131</v>
      </c>
      <c r="BS98" s="176">
        <v>4000</v>
      </c>
      <c r="BT98" s="176">
        <v>4000</v>
      </c>
      <c r="BU98" s="176">
        <v>4000</v>
      </c>
      <c r="BV98" s="176">
        <v>4000</v>
      </c>
      <c r="BW98" s="176">
        <v>4000</v>
      </c>
      <c r="BX98" s="176">
        <v>4000</v>
      </c>
      <c r="BY98" s="176">
        <v>4000</v>
      </c>
      <c r="BZ98" s="176">
        <v>4000</v>
      </c>
      <c r="CA98" s="176">
        <v>4000</v>
      </c>
      <c r="CB98" s="176">
        <v>4000</v>
      </c>
      <c r="CC98" s="176">
        <v>4000</v>
      </c>
      <c r="CD98" s="176">
        <v>4000</v>
      </c>
      <c r="CE98" s="176">
        <v>4000</v>
      </c>
      <c r="CF98" s="176">
        <v>4000</v>
      </c>
      <c r="CG98" s="176">
        <v>4000</v>
      </c>
      <c r="CH98" s="176">
        <v>4000</v>
      </c>
      <c r="CI98" s="176">
        <v>4000</v>
      </c>
      <c r="CJ98" s="176">
        <v>4000</v>
      </c>
      <c r="CK98" s="176">
        <v>4000</v>
      </c>
      <c r="CL98" s="176">
        <v>4000</v>
      </c>
      <c r="CM98" s="176">
        <v>4000</v>
      </c>
      <c r="CN98" s="176">
        <v>4000</v>
      </c>
      <c r="CO98" s="176">
        <v>4000</v>
      </c>
      <c r="CP98" s="176">
        <v>4000</v>
      </c>
      <c r="CQ98" s="176">
        <v>4000</v>
      </c>
      <c r="CR98" s="176">
        <v>4000</v>
      </c>
      <c r="CS98" s="176">
        <v>4000</v>
      </c>
      <c r="CT98" s="176">
        <v>4000</v>
      </c>
      <c r="CU98" s="176">
        <v>4000</v>
      </c>
      <c r="CV98" s="176">
        <v>4000</v>
      </c>
      <c r="CW98" s="176">
        <v>4000</v>
      </c>
      <c r="CX98" s="176">
        <v>4000</v>
      </c>
      <c r="CY98" s="176">
        <v>4000</v>
      </c>
      <c r="CZ98" s="176">
        <v>4000</v>
      </c>
      <c r="DA98" s="176">
        <v>4000</v>
      </c>
      <c r="DB98" s="176">
        <v>4000</v>
      </c>
      <c r="DC98" s="176">
        <v>4000</v>
      </c>
      <c r="DD98" s="176">
        <v>4000</v>
      </c>
      <c r="DE98" s="176">
        <v>4000</v>
      </c>
      <c r="DF98" s="176">
        <v>4000</v>
      </c>
      <c r="DG98" s="176">
        <v>4000</v>
      </c>
      <c r="DH98" s="176">
        <v>4000</v>
      </c>
      <c r="DI98" s="176">
        <v>4000</v>
      </c>
      <c r="DJ98" s="176">
        <v>4000</v>
      </c>
      <c r="DK98" s="176">
        <v>4000</v>
      </c>
      <c r="DL98" s="176">
        <v>4000</v>
      </c>
      <c r="DM98" s="176">
        <v>4000</v>
      </c>
      <c r="DN98" s="176">
        <v>4000</v>
      </c>
      <c r="DO98" s="176">
        <v>4000</v>
      </c>
      <c r="DP98" s="176">
        <v>4000</v>
      </c>
      <c r="DQ98" s="176">
        <v>4000</v>
      </c>
      <c r="DR98" s="176">
        <v>4000</v>
      </c>
      <c r="DS98" s="176">
        <v>4000</v>
      </c>
      <c r="DT98" s="176">
        <v>4000</v>
      </c>
      <c r="DU98" s="176">
        <v>4000</v>
      </c>
      <c r="DV98" s="176">
        <v>4000</v>
      </c>
      <c r="DW98" s="176">
        <v>4000</v>
      </c>
      <c r="DX98" s="176">
        <v>4000</v>
      </c>
      <c r="DY98" s="176">
        <v>4000</v>
      </c>
      <c r="DZ98" s="176">
        <v>4000</v>
      </c>
      <c r="EA98" s="176">
        <v>4000</v>
      </c>
      <c r="EB98" s="176">
        <v>4000</v>
      </c>
      <c r="EC98" s="176">
        <v>4000</v>
      </c>
      <c r="ED98" s="176">
        <v>4000</v>
      </c>
      <c r="EE98" s="176">
        <v>4000</v>
      </c>
      <c r="EF98" s="176">
        <v>4000</v>
      </c>
      <c r="EG98" s="176">
        <v>4000</v>
      </c>
      <c r="EH98" s="176">
        <v>4000</v>
      </c>
      <c r="EI98" s="176">
        <v>4000</v>
      </c>
      <c r="EJ98" s="176">
        <v>4000</v>
      </c>
      <c r="EK98" s="176">
        <v>4000</v>
      </c>
      <c r="EL98" s="176">
        <v>4000</v>
      </c>
      <c r="EM98" s="176">
        <v>4000</v>
      </c>
      <c r="EN98" s="176">
        <v>4000</v>
      </c>
      <c r="EO98" s="176">
        <v>4000</v>
      </c>
      <c r="EP98" t="str">
        <f t="shared" si="1"/>
        <v>2y 21d</v>
      </c>
    </row>
    <row r="99" spans="2:146" x14ac:dyDescent="0.25">
      <c r="B99" s="9">
        <v>96</v>
      </c>
      <c r="D99">
        <v>8743367.3673564065</v>
      </c>
      <c r="E99" s="12">
        <v>-12927507037.834364</v>
      </c>
      <c r="F99" s="12">
        <v>4223176147.8135314</v>
      </c>
      <c r="G99" s="12">
        <v>0</v>
      </c>
      <c r="H99" s="12">
        <v>16359527.331410486</v>
      </c>
      <c r="I99" s="12">
        <v>10003973962.843672</v>
      </c>
      <c r="J99" s="12">
        <v>-19285198439.042198</v>
      </c>
      <c r="K99" s="12">
        <v>7061568.1719267229</v>
      </c>
      <c r="L99" s="12">
        <v>6865193.2068512151</v>
      </c>
      <c r="M99" s="12">
        <v>18972004206.335987</v>
      </c>
      <c r="N99" s="12">
        <v>8986090339.7177334</v>
      </c>
      <c r="O99" s="12">
        <v>-9591321.3487884309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S99" s="6">
        <v>19035401.873654399</v>
      </c>
      <c r="AT99" s="176">
        <v>4000</v>
      </c>
      <c r="AU99" s="176">
        <v>4000</v>
      </c>
      <c r="AV99" s="176">
        <v>4000</v>
      </c>
      <c r="AW99" s="176">
        <v>4000</v>
      </c>
      <c r="AX99" s="176">
        <v>4000</v>
      </c>
      <c r="AY99" s="176">
        <v>4000</v>
      </c>
      <c r="AZ99" s="176">
        <v>4000</v>
      </c>
      <c r="BA99" s="176">
        <v>4000</v>
      </c>
      <c r="BB99" s="176">
        <v>4000</v>
      </c>
      <c r="BC99" s="176">
        <v>4000</v>
      </c>
      <c r="BD99" s="176">
        <v>4000</v>
      </c>
      <c r="BE99" s="176">
        <v>4000</v>
      </c>
      <c r="BF99" s="176">
        <v>4000</v>
      </c>
      <c r="BG99" s="176">
        <v>4000</v>
      </c>
      <c r="BH99" s="176">
        <v>4000</v>
      </c>
      <c r="BI99" s="176">
        <v>4000</v>
      </c>
      <c r="BJ99" s="176">
        <v>4000</v>
      </c>
      <c r="BK99" s="176">
        <v>3962.1933692947018</v>
      </c>
      <c r="BL99" s="176">
        <v>3891.2283501798138</v>
      </c>
      <c r="BM99" s="176">
        <v>3845.3617398733286</v>
      </c>
      <c r="BN99" s="176">
        <v>3822.5170292225343</v>
      </c>
      <c r="BO99" s="176">
        <v>3820.7929714496995</v>
      </c>
      <c r="BP99" s="176">
        <v>3838.4394241956443</v>
      </c>
      <c r="BQ99" s="176">
        <v>3873.8395040542905</v>
      </c>
      <c r="BR99" s="176">
        <v>3925.4962166346504</v>
      </c>
      <c r="BS99" s="176">
        <v>3992.022191174653</v>
      </c>
      <c r="BT99" s="176">
        <v>4000</v>
      </c>
      <c r="BU99" s="176">
        <v>4000</v>
      </c>
      <c r="BV99" s="176">
        <v>4000</v>
      </c>
      <c r="BW99" s="176">
        <v>4000</v>
      </c>
      <c r="BX99" s="176">
        <v>4000</v>
      </c>
      <c r="BY99" s="176">
        <v>4000</v>
      </c>
      <c r="BZ99" s="176">
        <v>4000</v>
      </c>
      <c r="CA99" s="176">
        <v>4000</v>
      </c>
      <c r="CB99" s="176">
        <v>4000</v>
      </c>
      <c r="CC99" s="176">
        <v>4000</v>
      </c>
      <c r="CD99" s="176">
        <v>4000</v>
      </c>
      <c r="CE99" s="176">
        <v>4000</v>
      </c>
      <c r="CF99" s="176">
        <v>4000</v>
      </c>
      <c r="CG99" s="176">
        <v>4000</v>
      </c>
      <c r="CH99" s="176">
        <v>4000</v>
      </c>
      <c r="CI99" s="176">
        <v>4000</v>
      </c>
      <c r="CJ99" s="176">
        <v>4000</v>
      </c>
      <c r="CK99" s="176">
        <v>4000</v>
      </c>
      <c r="CL99" s="176">
        <v>4000</v>
      </c>
      <c r="CM99" s="176">
        <v>4000</v>
      </c>
      <c r="CN99" s="176">
        <v>4000</v>
      </c>
      <c r="CO99" s="176">
        <v>4000</v>
      </c>
      <c r="CP99" s="176">
        <v>4000</v>
      </c>
      <c r="CQ99" s="176">
        <v>4000</v>
      </c>
      <c r="CR99" s="176">
        <v>4000</v>
      </c>
      <c r="CS99" s="176">
        <v>4000</v>
      </c>
      <c r="CT99" s="176">
        <v>4000</v>
      </c>
      <c r="CU99" s="176">
        <v>4000</v>
      </c>
      <c r="CV99" s="176">
        <v>4000</v>
      </c>
      <c r="CW99" s="176">
        <v>4000</v>
      </c>
      <c r="CX99" s="176">
        <v>4000</v>
      </c>
      <c r="CY99" s="176">
        <v>4000</v>
      </c>
      <c r="CZ99" s="176">
        <v>4000</v>
      </c>
      <c r="DA99" s="176">
        <v>4000</v>
      </c>
      <c r="DB99" s="176">
        <v>4000</v>
      </c>
      <c r="DC99" s="176">
        <v>4000</v>
      </c>
      <c r="DD99" s="176">
        <v>4000</v>
      </c>
      <c r="DE99" s="176">
        <v>4000</v>
      </c>
      <c r="DF99" s="176">
        <v>4000</v>
      </c>
      <c r="DG99" s="176">
        <v>4000</v>
      </c>
      <c r="DH99" s="176">
        <v>4000</v>
      </c>
      <c r="DI99" s="176">
        <v>4000</v>
      </c>
      <c r="DJ99" s="176">
        <v>4000</v>
      </c>
      <c r="DK99" s="176">
        <v>4000</v>
      </c>
      <c r="DL99" s="176">
        <v>4000</v>
      </c>
      <c r="DM99" s="176">
        <v>4000</v>
      </c>
      <c r="DN99" s="176">
        <v>4000</v>
      </c>
      <c r="DO99" s="176">
        <v>4000</v>
      </c>
      <c r="DP99" s="176">
        <v>4000</v>
      </c>
      <c r="DQ99" s="176">
        <v>4000</v>
      </c>
      <c r="DR99" s="176">
        <v>4000</v>
      </c>
      <c r="DS99" s="176">
        <v>4000</v>
      </c>
      <c r="DT99" s="176">
        <v>4000</v>
      </c>
      <c r="DU99" s="176">
        <v>4000</v>
      </c>
      <c r="DV99" s="176">
        <v>4000</v>
      </c>
      <c r="DW99" s="176">
        <v>4000</v>
      </c>
      <c r="DX99" s="176">
        <v>4000</v>
      </c>
      <c r="DY99" s="176">
        <v>4000</v>
      </c>
      <c r="DZ99" s="176">
        <v>4000</v>
      </c>
      <c r="EA99" s="176">
        <v>4000</v>
      </c>
      <c r="EB99" s="176">
        <v>4000</v>
      </c>
      <c r="EC99" s="176">
        <v>4000</v>
      </c>
      <c r="ED99" s="176">
        <v>4000</v>
      </c>
      <c r="EE99" s="176">
        <v>4000</v>
      </c>
      <c r="EF99" s="176">
        <v>4000</v>
      </c>
      <c r="EG99" s="176">
        <v>4000</v>
      </c>
      <c r="EH99" s="176">
        <v>4000</v>
      </c>
      <c r="EI99" s="176">
        <v>4000</v>
      </c>
      <c r="EJ99" s="176">
        <v>4000</v>
      </c>
      <c r="EK99" s="176">
        <v>4000</v>
      </c>
      <c r="EL99" s="176">
        <v>4000</v>
      </c>
      <c r="EM99" s="176">
        <v>4000</v>
      </c>
      <c r="EN99" s="176">
        <v>4000</v>
      </c>
      <c r="EO99" s="176">
        <v>4000</v>
      </c>
      <c r="EP99" t="str">
        <f t="shared" si="1"/>
        <v>2y 29d</v>
      </c>
    </row>
    <row r="100" spans="2:146" x14ac:dyDescent="0.25">
      <c r="B100" s="9">
        <v>97</v>
      </c>
      <c r="D100">
        <v>8835402.8133285791</v>
      </c>
      <c r="E100" s="12">
        <v>-13167172980.088301</v>
      </c>
      <c r="F100" s="12">
        <v>3403117791.2541795</v>
      </c>
      <c r="G100" s="12">
        <v>0</v>
      </c>
      <c r="H100" s="12">
        <v>16550216.498019559</v>
      </c>
      <c r="I100" s="12">
        <v>11205739561.259283</v>
      </c>
      <c r="J100" s="12">
        <v>-18636583453.885395</v>
      </c>
      <c r="K100" s="12">
        <v>5695023.4884876199</v>
      </c>
      <c r="L100" s="12">
        <v>6974388.2919185637</v>
      </c>
      <c r="M100" s="12">
        <v>18639594408.535793</v>
      </c>
      <c r="N100" s="12">
        <v>9628969196.087244</v>
      </c>
      <c r="O100" s="12">
        <v>-12026246.975501489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S100" s="6">
        <v>19214270.635078453</v>
      </c>
      <c r="AT100" s="176">
        <v>4000</v>
      </c>
      <c r="AU100" s="176">
        <v>4000</v>
      </c>
      <c r="AV100" s="176">
        <v>4000</v>
      </c>
      <c r="AW100" s="176">
        <v>4000</v>
      </c>
      <c r="AX100" s="176">
        <v>4000</v>
      </c>
      <c r="AY100" s="176">
        <v>4000</v>
      </c>
      <c r="AZ100" s="176">
        <v>4000</v>
      </c>
      <c r="BA100" s="176">
        <v>4000</v>
      </c>
      <c r="BB100" s="176">
        <v>4000</v>
      </c>
      <c r="BC100" s="176">
        <v>4000</v>
      </c>
      <c r="BD100" s="176">
        <v>4000</v>
      </c>
      <c r="BE100" s="176">
        <v>4000</v>
      </c>
      <c r="BF100" s="176">
        <v>4000</v>
      </c>
      <c r="BG100" s="176">
        <v>4000</v>
      </c>
      <c r="BH100" s="176">
        <v>4000</v>
      </c>
      <c r="BI100" s="176">
        <v>4000</v>
      </c>
      <c r="BJ100" s="176">
        <v>4000</v>
      </c>
      <c r="BK100" s="176">
        <v>4000</v>
      </c>
      <c r="BL100" s="176">
        <v>3980.9641356039647</v>
      </c>
      <c r="BM100" s="176">
        <v>3916.6447921690451</v>
      </c>
      <c r="BN100" s="176">
        <v>3876.8648277439024</v>
      </c>
      <c r="BO100" s="176">
        <v>3859.5151514979179</v>
      </c>
      <c r="BP100" s="176">
        <v>3862.6682325396951</v>
      </c>
      <c r="BQ100" s="176">
        <v>3884.5545617341959</v>
      </c>
      <c r="BR100" s="176">
        <v>3923.5449209261592</v>
      </c>
      <c r="BS100" s="176">
        <v>3978.1367813729976</v>
      </c>
      <c r="BT100" s="176">
        <v>4000</v>
      </c>
      <c r="BU100" s="176">
        <v>4000</v>
      </c>
      <c r="BV100" s="176">
        <v>4000</v>
      </c>
      <c r="BW100" s="176">
        <v>4000</v>
      </c>
      <c r="BX100" s="176">
        <v>4000</v>
      </c>
      <c r="BY100" s="176">
        <v>4000</v>
      </c>
      <c r="BZ100" s="176">
        <v>4000</v>
      </c>
      <c r="CA100" s="176">
        <v>4000</v>
      </c>
      <c r="CB100" s="176">
        <v>4000</v>
      </c>
      <c r="CC100" s="176">
        <v>4000</v>
      </c>
      <c r="CD100" s="176">
        <v>4000</v>
      </c>
      <c r="CE100" s="176">
        <v>4000</v>
      </c>
      <c r="CF100" s="176">
        <v>4000</v>
      </c>
      <c r="CG100" s="176">
        <v>4000</v>
      </c>
      <c r="CH100" s="176">
        <v>4000</v>
      </c>
      <c r="CI100" s="176">
        <v>4000</v>
      </c>
      <c r="CJ100" s="176">
        <v>4000</v>
      </c>
      <c r="CK100" s="176">
        <v>4000</v>
      </c>
      <c r="CL100" s="176">
        <v>4000</v>
      </c>
      <c r="CM100" s="176">
        <v>4000</v>
      </c>
      <c r="CN100" s="176">
        <v>4000</v>
      </c>
      <c r="CO100" s="176">
        <v>4000</v>
      </c>
      <c r="CP100" s="176">
        <v>4000</v>
      </c>
      <c r="CQ100" s="176">
        <v>4000</v>
      </c>
      <c r="CR100" s="176">
        <v>4000</v>
      </c>
      <c r="CS100" s="176">
        <v>4000</v>
      </c>
      <c r="CT100" s="176">
        <v>4000</v>
      </c>
      <c r="CU100" s="176">
        <v>4000</v>
      </c>
      <c r="CV100" s="176">
        <v>4000</v>
      </c>
      <c r="CW100" s="176">
        <v>4000</v>
      </c>
      <c r="CX100" s="176">
        <v>4000</v>
      </c>
      <c r="CY100" s="176">
        <v>4000</v>
      </c>
      <c r="CZ100" s="176">
        <v>4000</v>
      </c>
      <c r="DA100" s="176">
        <v>4000</v>
      </c>
      <c r="DB100" s="176">
        <v>4000</v>
      </c>
      <c r="DC100" s="176">
        <v>4000</v>
      </c>
      <c r="DD100" s="176">
        <v>4000</v>
      </c>
      <c r="DE100" s="176">
        <v>4000</v>
      </c>
      <c r="DF100" s="176">
        <v>4000</v>
      </c>
      <c r="DG100" s="176">
        <v>4000</v>
      </c>
      <c r="DH100" s="176">
        <v>4000</v>
      </c>
      <c r="DI100" s="176">
        <v>4000</v>
      </c>
      <c r="DJ100" s="176">
        <v>4000</v>
      </c>
      <c r="DK100" s="176">
        <v>4000</v>
      </c>
      <c r="DL100" s="176">
        <v>4000</v>
      </c>
      <c r="DM100" s="176">
        <v>4000</v>
      </c>
      <c r="DN100" s="176">
        <v>4000</v>
      </c>
      <c r="DO100" s="176">
        <v>4000</v>
      </c>
      <c r="DP100" s="176">
        <v>4000</v>
      </c>
      <c r="DQ100" s="176">
        <v>4000</v>
      </c>
      <c r="DR100" s="176">
        <v>4000</v>
      </c>
      <c r="DS100" s="176">
        <v>4000</v>
      </c>
      <c r="DT100" s="176">
        <v>4000</v>
      </c>
      <c r="DU100" s="176">
        <v>4000</v>
      </c>
      <c r="DV100" s="176">
        <v>4000</v>
      </c>
      <c r="DW100" s="176">
        <v>4000</v>
      </c>
      <c r="DX100" s="176">
        <v>4000</v>
      </c>
      <c r="DY100" s="176">
        <v>4000</v>
      </c>
      <c r="DZ100" s="176">
        <v>4000</v>
      </c>
      <c r="EA100" s="176">
        <v>4000</v>
      </c>
      <c r="EB100" s="176">
        <v>4000</v>
      </c>
      <c r="EC100" s="176">
        <v>4000</v>
      </c>
      <c r="ED100" s="176">
        <v>4000</v>
      </c>
      <c r="EE100" s="176">
        <v>4000</v>
      </c>
      <c r="EF100" s="176">
        <v>4000</v>
      </c>
      <c r="EG100" s="176">
        <v>4000</v>
      </c>
      <c r="EH100" s="176">
        <v>4000</v>
      </c>
      <c r="EI100" s="176">
        <v>4000</v>
      </c>
      <c r="EJ100" s="176">
        <v>4000</v>
      </c>
      <c r="EK100" s="176">
        <v>4000</v>
      </c>
      <c r="EL100" s="176">
        <v>4000</v>
      </c>
      <c r="EM100" s="176">
        <v>4000</v>
      </c>
      <c r="EN100" s="176">
        <v>4000</v>
      </c>
      <c r="EO100" s="176">
        <v>4000</v>
      </c>
      <c r="EP100" t="str">
        <f t="shared" si="1"/>
        <v>2y 37d</v>
      </c>
    </row>
    <row r="101" spans="2:146" x14ac:dyDescent="0.25">
      <c r="B101" s="9">
        <v>98</v>
      </c>
      <c r="D101">
        <v>8927438.2593007516</v>
      </c>
      <c r="E101" s="12">
        <v>-13354874106.098961</v>
      </c>
      <c r="F101" s="12">
        <v>2569628883.5093775</v>
      </c>
      <c r="G101" s="12">
        <v>0</v>
      </c>
      <c r="H101" s="12">
        <v>16741227.305706339</v>
      </c>
      <c r="I101" s="12">
        <v>12362975941.602037</v>
      </c>
      <c r="J101" s="12">
        <v>-17909446920.5527</v>
      </c>
      <c r="K101" s="12">
        <v>4302513.9636941338</v>
      </c>
      <c r="L101" s="12">
        <v>7083415.6295196256</v>
      </c>
      <c r="M101" s="12">
        <v>18279545827.065701</v>
      </c>
      <c r="N101" s="12">
        <v>10256318978.789991</v>
      </c>
      <c r="O101" s="12">
        <v>-14439270.549790293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S101" s="6">
        <v>19393139.396502506</v>
      </c>
      <c r="AT101" s="176">
        <v>4000</v>
      </c>
      <c r="AU101" s="176">
        <v>4000</v>
      </c>
      <c r="AV101" s="176">
        <v>4000</v>
      </c>
      <c r="AW101" s="176">
        <v>4000</v>
      </c>
      <c r="AX101" s="176">
        <v>4000</v>
      </c>
      <c r="AY101" s="176">
        <v>4000</v>
      </c>
      <c r="AZ101" s="176">
        <v>4000</v>
      </c>
      <c r="BA101" s="176">
        <v>4000</v>
      </c>
      <c r="BB101" s="176">
        <v>4000</v>
      </c>
      <c r="BC101" s="176">
        <v>4000</v>
      </c>
      <c r="BD101" s="176">
        <v>4000</v>
      </c>
      <c r="BE101" s="176">
        <v>4000</v>
      </c>
      <c r="BF101" s="176">
        <v>4000</v>
      </c>
      <c r="BG101" s="176">
        <v>4000</v>
      </c>
      <c r="BH101" s="176">
        <v>4000</v>
      </c>
      <c r="BI101" s="176">
        <v>4000</v>
      </c>
      <c r="BJ101" s="176">
        <v>4000</v>
      </c>
      <c r="BK101" s="176">
        <v>4000</v>
      </c>
      <c r="BL101" s="176">
        <v>4000</v>
      </c>
      <c r="BM101" s="176">
        <v>4000</v>
      </c>
      <c r="BN101" s="176">
        <v>3949.7935440297042</v>
      </c>
      <c r="BO101" s="176">
        <v>3915.4125497481323</v>
      </c>
      <c r="BP101" s="176">
        <v>3902.8288804843214</v>
      </c>
      <c r="BQ101" s="176">
        <v>3910.0958955286642</v>
      </c>
      <c r="BR101" s="176">
        <v>3935.4322743249986</v>
      </c>
      <c r="BS101" s="176">
        <v>3977.20413057417</v>
      </c>
      <c r="BT101" s="176">
        <v>4000</v>
      </c>
      <c r="BU101" s="176">
        <v>4000</v>
      </c>
      <c r="BV101" s="176">
        <v>4000</v>
      </c>
      <c r="BW101" s="176">
        <v>4000</v>
      </c>
      <c r="BX101" s="176">
        <v>4000</v>
      </c>
      <c r="BY101" s="176">
        <v>4000</v>
      </c>
      <c r="BZ101" s="176">
        <v>4000</v>
      </c>
      <c r="CA101" s="176">
        <v>4000</v>
      </c>
      <c r="CB101" s="176">
        <v>4000</v>
      </c>
      <c r="CC101" s="176">
        <v>4000</v>
      </c>
      <c r="CD101" s="176">
        <v>4000</v>
      </c>
      <c r="CE101" s="176">
        <v>4000</v>
      </c>
      <c r="CF101" s="176">
        <v>4000</v>
      </c>
      <c r="CG101" s="176">
        <v>4000</v>
      </c>
      <c r="CH101" s="176">
        <v>4000</v>
      </c>
      <c r="CI101" s="176">
        <v>4000</v>
      </c>
      <c r="CJ101" s="176">
        <v>4000</v>
      </c>
      <c r="CK101" s="176">
        <v>4000</v>
      </c>
      <c r="CL101" s="176">
        <v>4000</v>
      </c>
      <c r="CM101" s="176">
        <v>4000</v>
      </c>
      <c r="CN101" s="176">
        <v>4000</v>
      </c>
      <c r="CO101" s="176">
        <v>4000</v>
      </c>
      <c r="CP101" s="176">
        <v>4000</v>
      </c>
      <c r="CQ101" s="176">
        <v>4000</v>
      </c>
      <c r="CR101" s="176">
        <v>4000</v>
      </c>
      <c r="CS101" s="176">
        <v>4000</v>
      </c>
      <c r="CT101" s="176">
        <v>4000</v>
      </c>
      <c r="CU101" s="176">
        <v>4000</v>
      </c>
      <c r="CV101" s="176">
        <v>4000</v>
      </c>
      <c r="CW101" s="176">
        <v>4000</v>
      </c>
      <c r="CX101" s="176">
        <v>4000</v>
      </c>
      <c r="CY101" s="176">
        <v>4000</v>
      </c>
      <c r="CZ101" s="176">
        <v>4000</v>
      </c>
      <c r="DA101" s="176">
        <v>4000</v>
      </c>
      <c r="DB101" s="176">
        <v>4000</v>
      </c>
      <c r="DC101" s="176">
        <v>4000</v>
      </c>
      <c r="DD101" s="176">
        <v>4000</v>
      </c>
      <c r="DE101" s="176">
        <v>4000</v>
      </c>
      <c r="DF101" s="176">
        <v>4000</v>
      </c>
      <c r="DG101" s="176">
        <v>4000</v>
      </c>
      <c r="DH101" s="176">
        <v>4000</v>
      </c>
      <c r="DI101" s="176">
        <v>4000</v>
      </c>
      <c r="DJ101" s="176">
        <v>4000</v>
      </c>
      <c r="DK101" s="176">
        <v>4000</v>
      </c>
      <c r="DL101" s="176">
        <v>4000</v>
      </c>
      <c r="DM101" s="176">
        <v>4000</v>
      </c>
      <c r="DN101" s="176">
        <v>4000</v>
      </c>
      <c r="DO101" s="176">
        <v>4000</v>
      </c>
      <c r="DP101" s="176">
        <v>4000</v>
      </c>
      <c r="DQ101" s="176">
        <v>4000</v>
      </c>
      <c r="DR101" s="176">
        <v>4000</v>
      </c>
      <c r="DS101" s="176">
        <v>4000</v>
      </c>
      <c r="DT101" s="176">
        <v>4000</v>
      </c>
      <c r="DU101" s="176">
        <v>4000</v>
      </c>
      <c r="DV101" s="176">
        <v>4000</v>
      </c>
      <c r="DW101" s="176">
        <v>4000</v>
      </c>
      <c r="DX101" s="176">
        <v>4000</v>
      </c>
      <c r="DY101" s="176">
        <v>4000</v>
      </c>
      <c r="DZ101" s="176">
        <v>4000</v>
      </c>
      <c r="EA101" s="176">
        <v>4000</v>
      </c>
      <c r="EB101" s="176">
        <v>4000</v>
      </c>
      <c r="EC101" s="176">
        <v>4000</v>
      </c>
      <c r="ED101" s="176">
        <v>4000</v>
      </c>
      <c r="EE101" s="176">
        <v>4000</v>
      </c>
      <c r="EF101" s="176">
        <v>4000</v>
      </c>
      <c r="EG101" s="176">
        <v>4000</v>
      </c>
      <c r="EH101" s="176">
        <v>4000</v>
      </c>
      <c r="EI101" s="176">
        <v>4000</v>
      </c>
      <c r="EJ101" s="176">
        <v>4000</v>
      </c>
      <c r="EK101" s="176">
        <v>4000</v>
      </c>
      <c r="EL101" s="176">
        <v>4000</v>
      </c>
      <c r="EM101" s="176">
        <v>4000</v>
      </c>
      <c r="EN101" s="176">
        <v>4000</v>
      </c>
      <c r="EO101" s="176">
        <v>4000</v>
      </c>
      <c r="EP101" t="str">
        <f t="shared" si="1"/>
        <v>2y 46d</v>
      </c>
    </row>
    <row r="102" spans="2:146" x14ac:dyDescent="0.25">
      <c r="B102" s="9">
        <v>99</v>
      </c>
      <c r="D102">
        <v>9019473.7052729242</v>
      </c>
      <c r="E102" s="12">
        <v>-13489869645.274466</v>
      </c>
      <c r="F102" s="12">
        <v>1725998824.5131323</v>
      </c>
      <c r="G102" s="12">
        <v>0</v>
      </c>
      <c r="H102" s="12">
        <v>16932481.468291786</v>
      </c>
      <c r="I102" s="12">
        <v>13470295366.780109</v>
      </c>
      <c r="J102" s="12">
        <v>-17106937757.963875</v>
      </c>
      <c r="K102" s="12">
        <v>2890346.1195215755</v>
      </c>
      <c r="L102" s="12">
        <v>7192205.5947692711</v>
      </c>
      <c r="M102" s="12">
        <v>17892709883.684116</v>
      </c>
      <c r="N102" s="12">
        <v>10866833407.782858</v>
      </c>
      <c r="O102" s="12">
        <v>-16825262.350088272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S102" s="6">
        <v>19572008.157926559</v>
      </c>
      <c r="AT102" s="176">
        <v>4000</v>
      </c>
      <c r="AU102" s="176">
        <v>4000</v>
      </c>
      <c r="AV102" s="176">
        <v>4000</v>
      </c>
      <c r="AW102" s="176">
        <v>4000</v>
      </c>
      <c r="AX102" s="176">
        <v>4000</v>
      </c>
      <c r="AY102" s="176">
        <v>4000</v>
      </c>
      <c r="AZ102" s="176">
        <v>4000</v>
      </c>
      <c r="BA102" s="176">
        <v>4000</v>
      </c>
      <c r="BB102" s="176">
        <v>4000</v>
      </c>
      <c r="BC102" s="176">
        <v>4000</v>
      </c>
      <c r="BD102" s="176">
        <v>4000</v>
      </c>
      <c r="BE102" s="176">
        <v>4000</v>
      </c>
      <c r="BF102" s="176">
        <v>4000</v>
      </c>
      <c r="BG102" s="176">
        <v>4000</v>
      </c>
      <c r="BH102" s="176">
        <v>4000</v>
      </c>
      <c r="BI102" s="176">
        <v>4000</v>
      </c>
      <c r="BJ102" s="176">
        <v>4000</v>
      </c>
      <c r="BK102" s="176">
        <v>4000</v>
      </c>
      <c r="BL102" s="176">
        <v>4000</v>
      </c>
      <c r="BM102" s="176">
        <v>4000</v>
      </c>
      <c r="BN102" s="176">
        <v>4000</v>
      </c>
      <c r="BO102" s="176">
        <v>3990.7523511402806</v>
      </c>
      <c r="BP102" s="176">
        <v>3960.972990633154</v>
      </c>
      <c r="BQ102" s="176">
        <v>3952.3277280199854</v>
      </c>
      <c r="BR102" s="176">
        <v>3962.8581962548592</v>
      </c>
      <c r="BS102" s="176">
        <v>3990.7789215886401</v>
      </c>
      <c r="BT102" s="176">
        <v>4000</v>
      </c>
      <c r="BU102" s="176">
        <v>4000</v>
      </c>
      <c r="BV102" s="176">
        <v>4000</v>
      </c>
      <c r="BW102" s="176">
        <v>4000</v>
      </c>
      <c r="BX102" s="176">
        <v>4000</v>
      </c>
      <c r="BY102" s="176">
        <v>4000</v>
      </c>
      <c r="BZ102" s="176">
        <v>4000</v>
      </c>
      <c r="CA102" s="176">
        <v>4000</v>
      </c>
      <c r="CB102" s="176">
        <v>4000</v>
      </c>
      <c r="CC102" s="176">
        <v>4000</v>
      </c>
      <c r="CD102" s="176">
        <v>4000</v>
      </c>
      <c r="CE102" s="176">
        <v>4000</v>
      </c>
      <c r="CF102" s="176">
        <v>4000</v>
      </c>
      <c r="CG102" s="176">
        <v>4000</v>
      </c>
      <c r="CH102" s="176">
        <v>4000</v>
      </c>
      <c r="CI102" s="176">
        <v>4000</v>
      </c>
      <c r="CJ102" s="176">
        <v>4000</v>
      </c>
      <c r="CK102" s="176">
        <v>4000</v>
      </c>
      <c r="CL102" s="176">
        <v>4000</v>
      </c>
      <c r="CM102" s="176">
        <v>4000</v>
      </c>
      <c r="CN102" s="176">
        <v>4000</v>
      </c>
      <c r="CO102" s="176">
        <v>4000</v>
      </c>
      <c r="CP102" s="176">
        <v>4000</v>
      </c>
      <c r="CQ102" s="176">
        <v>4000</v>
      </c>
      <c r="CR102" s="176">
        <v>4000</v>
      </c>
      <c r="CS102" s="176">
        <v>4000</v>
      </c>
      <c r="CT102" s="176">
        <v>4000</v>
      </c>
      <c r="CU102" s="176">
        <v>4000</v>
      </c>
      <c r="CV102" s="176">
        <v>4000</v>
      </c>
      <c r="CW102" s="176">
        <v>4000</v>
      </c>
      <c r="CX102" s="176">
        <v>4000</v>
      </c>
      <c r="CY102" s="176">
        <v>4000</v>
      </c>
      <c r="CZ102" s="176">
        <v>4000</v>
      </c>
      <c r="DA102" s="176">
        <v>4000</v>
      </c>
      <c r="DB102" s="176">
        <v>4000</v>
      </c>
      <c r="DC102" s="176">
        <v>4000</v>
      </c>
      <c r="DD102" s="176">
        <v>4000</v>
      </c>
      <c r="DE102" s="176">
        <v>4000</v>
      </c>
      <c r="DF102" s="176">
        <v>4000</v>
      </c>
      <c r="DG102" s="176">
        <v>4000</v>
      </c>
      <c r="DH102" s="176">
        <v>4000</v>
      </c>
      <c r="DI102" s="176">
        <v>4000</v>
      </c>
      <c r="DJ102" s="176">
        <v>4000</v>
      </c>
      <c r="DK102" s="176">
        <v>4000</v>
      </c>
      <c r="DL102" s="176">
        <v>4000</v>
      </c>
      <c r="DM102" s="176">
        <v>4000</v>
      </c>
      <c r="DN102" s="176">
        <v>4000</v>
      </c>
      <c r="DO102" s="176">
        <v>4000</v>
      </c>
      <c r="DP102" s="176">
        <v>4000</v>
      </c>
      <c r="DQ102" s="176">
        <v>4000</v>
      </c>
      <c r="DR102" s="176">
        <v>4000</v>
      </c>
      <c r="DS102" s="176">
        <v>4000</v>
      </c>
      <c r="DT102" s="176">
        <v>4000</v>
      </c>
      <c r="DU102" s="176">
        <v>4000</v>
      </c>
      <c r="DV102" s="176">
        <v>4000</v>
      </c>
      <c r="DW102" s="176">
        <v>4000</v>
      </c>
      <c r="DX102" s="176">
        <v>4000</v>
      </c>
      <c r="DY102" s="176">
        <v>4000</v>
      </c>
      <c r="DZ102" s="176">
        <v>4000</v>
      </c>
      <c r="EA102" s="176">
        <v>4000</v>
      </c>
      <c r="EB102" s="176">
        <v>4000</v>
      </c>
      <c r="EC102" s="176">
        <v>4000</v>
      </c>
      <c r="ED102" s="176">
        <v>4000</v>
      </c>
      <c r="EE102" s="176">
        <v>4000</v>
      </c>
      <c r="EF102" s="176">
        <v>4000</v>
      </c>
      <c r="EG102" s="176">
        <v>4000</v>
      </c>
      <c r="EH102" s="176">
        <v>4000</v>
      </c>
      <c r="EI102" s="176">
        <v>4000</v>
      </c>
      <c r="EJ102" s="176">
        <v>4000</v>
      </c>
      <c r="EK102" s="176">
        <v>4000</v>
      </c>
      <c r="EL102" s="176">
        <v>4000</v>
      </c>
      <c r="EM102" s="176">
        <v>4000</v>
      </c>
      <c r="EN102" s="176">
        <v>4000</v>
      </c>
      <c r="EO102" s="176">
        <v>4000</v>
      </c>
      <c r="EP102" t="str">
        <f t="shared" si="1"/>
        <v>2y 54d</v>
      </c>
    </row>
    <row r="103" spans="2:146" x14ac:dyDescent="0.25">
      <c r="B103" s="9">
        <v>100</v>
      </c>
      <c r="D103">
        <v>9111509.1512450967</v>
      </c>
      <c r="E103" s="12">
        <v>-13571626831.895287</v>
      </c>
      <c r="F103" s="12">
        <v>875557036.69039083</v>
      </c>
      <c r="G103" s="12">
        <v>0</v>
      </c>
      <c r="H103" s="12">
        <v>17123899.285929907</v>
      </c>
      <c r="I103" s="12">
        <v>14522550184.303152</v>
      </c>
      <c r="J103" s="12">
        <v>-16232608540.502998</v>
      </c>
      <c r="K103" s="12">
        <v>1464951.754150159</v>
      </c>
      <c r="L103" s="12">
        <v>7300689.5268925354</v>
      </c>
      <c r="M103" s="12">
        <v>17480016567.397057</v>
      </c>
      <c r="N103" s="12">
        <v>11459265786.72237</v>
      </c>
      <c r="O103" s="12">
        <v>-19179205.131821144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T103" t="str">
        <f xml:space="preserve"> "y" &amp; ROUNDDOWN(AT2/$EX$4, 0)+1 &amp; " d" &amp; ROUND(MOD(AT2, $EX$4-0.0001)/$EX$5, 0)+1</f>
        <v>y8 d220</v>
      </c>
      <c r="AU103" t="str">
        <f t="shared" ref="AU103:DF103" si="2" xml:space="preserve"> "y" &amp; ROUNDDOWN(AU2/$EX$4, 0)+1 &amp; " d" &amp; ROUND(MOD(AU2, $EX$4-0.0001)/$EX$5, 0)+1</f>
        <v>y8 d229</v>
      </c>
      <c r="AV103" t="str">
        <f t="shared" si="2"/>
        <v>y8 d237</v>
      </c>
      <c r="AW103" t="str">
        <f t="shared" si="2"/>
        <v>y8 d246</v>
      </c>
      <c r="AX103" t="str">
        <f t="shared" si="2"/>
        <v>y8 d254</v>
      </c>
      <c r="AY103" t="str">
        <f t="shared" si="2"/>
        <v>y8 d263</v>
      </c>
      <c r="AZ103" t="str">
        <f t="shared" si="2"/>
        <v>y8 d272</v>
      </c>
      <c r="BA103" t="str">
        <f t="shared" si="2"/>
        <v>y8 d280</v>
      </c>
      <c r="BB103" t="str">
        <f t="shared" si="2"/>
        <v>y8 d289</v>
      </c>
      <c r="BC103" t="str">
        <f t="shared" si="2"/>
        <v>y8 d297</v>
      </c>
      <c r="BD103" t="str">
        <f t="shared" si="2"/>
        <v>y8 d306</v>
      </c>
      <c r="BE103" t="str">
        <f t="shared" si="2"/>
        <v>y8 d315</v>
      </c>
      <c r="BF103" t="str">
        <f t="shared" si="2"/>
        <v>y8 d323</v>
      </c>
      <c r="BG103" t="str">
        <f t="shared" si="2"/>
        <v>y8 d332</v>
      </c>
      <c r="BH103" t="str">
        <f t="shared" si="2"/>
        <v>y8 d341</v>
      </c>
      <c r="BI103" t="str">
        <f t="shared" si="2"/>
        <v>y8 d349</v>
      </c>
      <c r="BJ103" t="str">
        <f t="shared" si="2"/>
        <v>y8 d358</v>
      </c>
      <c r="BK103" t="str">
        <f t="shared" si="2"/>
        <v>y8 d366</v>
      </c>
      <c r="BL103" t="str">
        <f t="shared" si="2"/>
        <v>y8 d375</v>
      </c>
      <c r="BM103" t="str">
        <f t="shared" si="2"/>
        <v>y8 d384</v>
      </c>
      <c r="BN103" t="str">
        <f t="shared" si="2"/>
        <v>y8 d392</v>
      </c>
      <c r="BO103" t="str">
        <f t="shared" si="2"/>
        <v>y8 d401</v>
      </c>
      <c r="BP103" t="str">
        <f t="shared" si="2"/>
        <v>y8 d409</v>
      </c>
      <c r="BQ103" t="str">
        <f t="shared" si="2"/>
        <v>y8 d418</v>
      </c>
      <c r="BR103" t="str">
        <f t="shared" si="2"/>
        <v>y8 d427</v>
      </c>
      <c r="BS103" t="str">
        <f t="shared" si="2"/>
        <v>y9 d9</v>
      </c>
      <c r="BT103" t="str">
        <f t="shared" si="2"/>
        <v>y9 d18</v>
      </c>
      <c r="BU103" t="str">
        <f t="shared" si="2"/>
        <v>y9 d26</v>
      </c>
      <c r="BV103" t="str">
        <f t="shared" si="2"/>
        <v>y9 d35</v>
      </c>
      <c r="BW103" t="str">
        <f t="shared" si="2"/>
        <v>y9 d44</v>
      </c>
      <c r="BX103" t="str">
        <f t="shared" si="2"/>
        <v>y9 d52</v>
      </c>
      <c r="BY103" t="str">
        <f t="shared" si="2"/>
        <v>y9 d61</v>
      </c>
      <c r="BZ103" t="str">
        <f t="shared" si="2"/>
        <v>y9 d69</v>
      </c>
      <c r="CA103" t="str">
        <f t="shared" si="2"/>
        <v>y9 d78</v>
      </c>
      <c r="CB103" t="str">
        <f t="shared" si="2"/>
        <v>y9 d87</v>
      </c>
      <c r="CC103" t="str">
        <f t="shared" si="2"/>
        <v>y9 d95</v>
      </c>
      <c r="CD103" t="str">
        <f t="shared" si="2"/>
        <v>y9 d104</v>
      </c>
      <c r="CE103" t="str">
        <f t="shared" si="2"/>
        <v>y9 d112</v>
      </c>
      <c r="CF103" t="str">
        <f t="shared" si="2"/>
        <v>y9 d121</v>
      </c>
      <c r="CG103" t="str">
        <f t="shared" si="2"/>
        <v>y9 d130</v>
      </c>
      <c r="CH103" t="str">
        <f t="shared" si="2"/>
        <v>y9 d138</v>
      </c>
      <c r="CI103" t="str">
        <f t="shared" si="2"/>
        <v>y9 d147</v>
      </c>
      <c r="CJ103" t="str">
        <f t="shared" si="2"/>
        <v>y9 d155</v>
      </c>
      <c r="CK103" t="str">
        <f t="shared" si="2"/>
        <v>y9 d164</v>
      </c>
      <c r="CL103" t="str">
        <f t="shared" si="2"/>
        <v>y9 d173</v>
      </c>
      <c r="CM103" t="str">
        <f t="shared" si="2"/>
        <v>y9 d181</v>
      </c>
      <c r="CN103" t="str">
        <f t="shared" si="2"/>
        <v>y9 d190</v>
      </c>
      <c r="CO103" t="str">
        <f t="shared" si="2"/>
        <v>y9 d198</v>
      </c>
      <c r="CP103" t="str">
        <f t="shared" si="2"/>
        <v>y9 d207</v>
      </c>
      <c r="CQ103" t="str">
        <f t="shared" si="2"/>
        <v>y9 d216</v>
      </c>
      <c r="CR103" t="str">
        <f t="shared" si="2"/>
        <v>y9 d224</v>
      </c>
      <c r="CS103" t="str">
        <f t="shared" si="2"/>
        <v>y9 d233</v>
      </c>
      <c r="CT103" t="str">
        <f t="shared" si="2"/>
        <v>y9 d242</v>
      </c>
      <c r="CU103" t="str">
        <f t="shared" si="2"/>
        <v>y9 d250</v>
      </c>
      <c r="CV103" t="str">
        <f t="shared" si="2"/>
        <v>y9 d259</v>
      </c>
      <c r="CW103" t="str">
        <f t="shared" si="2"/>
        <v>y9 d267</v>
      </c>
      <c r="CX103" t="str">
        <f t="shared" si="2"/>
        <v>y9 d276</v>
      </c>
      <c r="CY103" t="str">
        <f t="shared" si="2"/>
        <v>y9 d285</v>
      </c>
      <c r="CZ103" t="str">
        <f t="shared" si="2"/>
        <v>y9 d293</v>
      </c>
      <c r="DA103" t="str">
        <f t="shared" si="2"/>
        <v>y9 d302</v>
      </c>
      <c r="DB103" t="str">
        <f t="shared" si="2"/>
        <v>y9 d310</v>
      </c>
      <c r="DC103" t="str">
        <f t="shared" si="2"/>
        <v>y9 d319</v>
      </c>
      <c r="DD103" t="str">
        <f t="shared" si="2"/>
        <v>y9 d328</v>
      </c>
      <c r="DE103" t="str">
        <f t="shared" si="2"/>
        <v>y9 d336</v>
      </c>
      <c r="DF103" t="str">
        <f t="shared" si="2"/>
        <v>y9 d345</v>
      </c>
      <c r="DG103" t="str">
        <f t="shared" ref="DG103:EO103" si="3" xml:space="preserve"> "y" &amp; ROUNDDOWN(DG2/$EX$4, 0)+1 &amp; " d" &amp; ROUND(MOD(DG2, $EX$4-0.0001)/$EX$5, 0)+1</f>
        <v>y9 d353</v>
      </c>
      <c r="DH103" t="str">
        <f t="shared" si="3"/>
        <v>y9 d362</v>
      </c>
      <c r="DI103" t="str">
        <f t="shared" si="3"/>
        <v>y9 d371</v>
      </c>
      <c r="DJ103" t="str">
        <f t="shared" si="3"/>
        <v>y9 d379</v>
      </c>
      <c r="DK103" t="str">
        <f t="shared" si="3"/>
        <v>y9 d388</v>
      </c>
      <c r="DL103" t="str">
        <f t="shared" si="3"/>
        <v>y9 d396</v>
      </c>
      <c r="DM103" t="str">
        <f t="shared" si="3"/>
        <v>y9 d405</v>
      </c>
      <c r="DN103" t="str">
        <f t="shared" si="3"/>
        <v>y9 d414</v>
      </c>
      <c r="DO103" t="str">
        <f t="shared" si="3"/>
        <v>y9 d422</v>
      </c>
      <c r="DP103" t="str">
        <f t="shared" si="3"/>
        <v>y10 d5</v>
      </c>
      <c r="DQ103" t="str">
        <f t="shared" si="3"/>
        <v>y10 d13</v>
      </c>
      <c r="DR103" t="str">
        <f t="shared" si="3"/>
        <v>y10 d22</v>
      </c>
      <c r="DS103" t="str">
        <f t="shared" si="3"/>
        <v>y10 d31</v>
      </c>
      <c r="DT103" t="str">
        <f t="shared" si="3"/>
        <v>y10 d39</v>
      </c>
      <c r="DU103" t="str">
        <f t="shared" si="3"/>
        <v>y10 d48</v>
      </c>
      <c r="DV103" t="str">
        <f t="shared" si="3"/>
        <v>y10 d56</v>
      </c>
      <c r="DW103" t="str">
        <f t="shared" si="3"/>
        <v>y10 d65</v>
      </c>
      <c r="DX103" t="str">
        <f t="shared" si="3"/>
        <v>y10 d74</v>
      </c>
      <c r="DY103" t="str">
        <f t="shared" si="3"/>
        <v>y10 d82</v>
      </c>
      <c r="DZ103" t="str">
        <f t="shared" si="3"/>
        <v>y10 d91</v>
      </c>
      <c r="EA103" t="str">
        <f t="shared" si="3"/>
        <v>y10 d99</v>
      </c>
      <c r="EB103" t="str">
        <f t="shared" si="3"/>
        <v>y10 d108</v>
      </c>
      <c r="EC103" t="str">
        <f t="shared" si="3"/>
        <v>y10 d117</v>
      </c>
      <c r="ED103" t="str">
        <f t="shared" si="3"/>
        <v>y10 d125</v>
      </c>
      <c r="EE103" t="str">
        <f t="shared" si="3"/>
        <v>y10 d134</v>
      </c>
      <c r="EF103" t="str">
        <f t="shared" si="3"/>
        <v>y10 d143</v>
      </c>
      <c r="EG103" t="str">
        <f t="shared" si="3"/>
        <v>y10 d151</v>
      </c>
      <c r="EH103" t="str">
        <f t="shared" si="3"/>
        <v>y10 d160</v>
      </c>
      <c r="EI103" t="str">
        <f t="shared" si="3"/>
        <v>y10 d168</v>
      </c>
      <c r="EJ103" t="str">
        <f t="shared" si="3"/>
        <v>y10 d177</v>
      </c>
      <c r="EK103" t="str">
        <f t="shared" si="3"/>
        <v>y10 d186</v>
      </c>
      <c r="EL103" t="str">
        <f t="shared" si="3"/>
        <v>y10 d194</v>
      </c>
      <c r="EM103" t="str">
        <f t="shared" si="3"/>
        <v>y10 d203</v>
      </c>
      <c r="EN103" t="str">
        <f t="shared" si="3"/>
        <v>y10 d211</v>
      </c>
      <c r="EO103" t="str">
        <f t="shared" si="3"/>
        <v>y10 d220</v>
      </c>
    </row>
    <row r="104" spans="2:146" x14ac:dyDescent="0.25">
      <c r="D104">
        <v>9203544.5972172692</v>
      </c>
      <c r="E104" s="14">
        <v>-13599823007.697136</v>
      </c>
      <c r="F104" s="14">
        <v>21659825.24779347</v>
      </c>
      <c r="G104" s="14">
        <v>0</v>
      </c>
      <c r="H104" s="14">
        <v>17315400.104407486</v>
      </c>
      <c r="I104" s="14">
        <v>15514867153.113949</v>
      </c>
      <c r="J104" s="14">
        <v>-15290394870.784441</v>
      </c>
      <c r="K104" s="14">
        <v>32847.339610586336</v>
      </c>
      <c r="L104" s="14">
        <v>7408800.0000001127</v>
      </c>
      <c r="M104" s="14">
        <v>17042469313.619226</v>
      </c>
      <c r="N104" s="14">
        <v>12032434366.310421</v>
      </c>
      <c r="O104" s="14">
        <v>-21496216.870950483</v>
      </c>
    </row>
  </sheetData>
  <sheetProtection selectLockedCells="1"/>
  <mergeCells count="33">
    <mergeCell ref="ES41:EX56"/>
    <mergeCell ref="ES31:EU33"/>
    <mergeCell ref="ES28:EU30"/>
    <mergeCell ref="ES37:EU39"/>
    <mergeCell ref="EV37:EX39"/>
    <mergeCell ref="ES34:EX36"/>
    <mergeCell ref="EV28:EX30"/>
    <mergeCell ref="EV31:EX33"/>
    <mergeCell ref="AG52:AI52"/>
    <mergeCell ref="AG56:AI56"/>
    <mergeCell ref="AG26:AL26"/>
    <mergeCell ref="AJ28:AL28"/>
    <mergeCell ref="AG28:AI28"/>
    <mergeCell ref="AG32:AI32"/>
    <mergeCell ref="AG36:AI36"/>
    <mergeCell ref="AG40:AI40"/>
    <mergeCell ref="AJ32:AL32"/>
    <mergeCell ref="AJ36:AL36"/>
    <mergeCell ref="AG7:AI7"/>
    <mergeCell ref="AG12:AI12"/>
    <mergeCell ref="AT1:CK1"/>
    <mergeCell ref="AG44:AI44"/>
    <mergeCell ref="AG48:AI48"/>
    <mergeCell ref="AG17:AI17"/>
    <mergeCell ref="ES3:EX3"/>
    <mergeCell ref="E2:G2"/>
    <mergeCell ref="I2:K2"/>
    <mergeCell ref="M2:O2"/>
    <mergeCell ref="U2:W2"/>
    <mergeCell ref="Q2:S2"/>
    <mergeCell ref="Y2:AA2"/>
    <mergeCell ref="AC2:AE2"/>
    <mergeCell ref="AG2:AI2"/>
  </mergeCells>
  <conditionalFormatting sqref="AT3:EO102">
    <cfRule type="cellIs" dxfId="0" priority="1" operator="between">
      <formula>$ES$37</formula>
      <formula>$EV$37</formula>
    </cfRule>
    <cfRule type="colorScale" priority="2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PLWKerb">
                <anchor moveWithCells="1" sizeWithCells="1">
                  <from>
                    <xdr:col>147</xdr:col>
                    <xdr:colOff>542925</xdr:colOff>
                    <xdr:row>12</xdr:row>
                    <xdr:rowOff>95250</xdr:rowOff>
                  </from>
                  <to>
                    <xdr:col>154</xdr:col>
                    <xdr:colOff>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E2D6-CA93-4968-822D-C8F111D4BF1C}">
  <sheetPr codeName="Sheet3"/>
  <dimension ref="A1:O19"/>
  <sheetViews>
    <sheetView workbookViewId="0">
      <selection activeCell="B20" sqref="B20"/>
    </sheetView>
  </sheetViews>
  <sheetFormatPr defaultRowHeight="15" x14ac:dyDescent="0.25"/>
  <cols>
    <col min="1" max="12" width="9.140625" style="69"/>
  </cols>
  <sheetData>
    <row r="1" spans="1:15" ht="15.75" thickBot="1" x14ac:dyDescent="0.3"/>
    <row r="2" spans="1:15" ht="18" x14ac:dyDescent="0.35">
      <c r="A2" s="74" t="s">
        <v>120</v>
      </c>
      <c r="B2" s="75" t="s">
        <v>121</v>
      </c>
      <c r="C2" s="76" t="s">
        <v>25</v>
      </c>
      <c r="D2" s="75" t="s">
        <v>126</v>
      </c>
      <c r="E2" s="75" t="s">
        <v>18</v>
      </c>
      <c r="F2" s="75" t="s">
        <v>125</v>
      </c>
      <c r="G2" s="76" t="s">
        <v>123</v>
      </c>
      <c r="H2" s="76" t="s">
        <v>124</v>
      </c>
      <c r="I2" s="76" t="s">
        <v>74</v>
      </c>
      <c r="J2" s="76" t="s">
        <v>127</v>
      </c>
      <c r="K2" s="76" t="s">
        <v>86</v>
      </c>
      <c r="L2" s="77" t="s">
        <v>128</v>
      </c>
      <c r="N2" s="307" t="s">
        <v>122</v>
      </c>
      <c r="O2" s="308"/>
    </row>
    <row r="3" spans="1:15" x14ac:dyDescent="0.25">
      <c r="A3" s="4">
        <v>0</v>
      </c>
      <c r="B3" s="78" t="s">
        <v>0</v>
      </c>
      <c r="C3" s="79">
        <v>1.1723328E+18</v>
      </c>
      <c r="D3" s="102"/>
      <c r="E3" s="103"/>
      <c r="F3" s="103"/>
      <c r="G3" s="103"/>
      <c r="H3" s="103"/>
      <c r="I3" s="103"/>
      <c r="J3" s="79"/>
      <c r="K3" s="79">
        <v>261600000</v>
      </c>
      <c r="L3" s="83"/>
      <c r="N3" s="90" t="s">
        <v>14</v>
      </c>
      <c r="O3" s="93">
        <v>15</v>
      </c>
    </row>
    <row r="4" spans="1:15" x14ac:dyDescent="0.25">
      <c r="A4" s="4">
        <v>1</v>
      </c>
      <c r="B4" s="78" t="s">
        <v>1</v>
      </c>
      <c r="C4" s="79">
        <v>168554557309.73999</v>
      </c>
      <c r="D4" s="79">
        <v>5263138304</v>
      </c>
      <c r="E4" s="82">
        <v>0.2</v>
      </c>
      <c r="F4" s="82">
        <v>0.12217304763960307</v>
      </c>
      <c r="G4" s="82">
        <v>0.26179938779914941</v>
      </c>
      <c r="H4" s="82">
        <v>1.2217304763960306</v>
      </c>
      <c r="I4" s="82">
        <v>3.1400001049041699</v>
      </c>
      <c r="J4" s="79">
        <v>9646663</v>
      </c>
      <c r="K4" s="79">
        <v>250000</v>
      </c>
      <c r="L4" s="105">
        <v>0</v>
      </c>
      <c r="N4" s="4" t="s">
        <v>9</v>
      </c>
      <c r="O4" s="80">
        <v>5</v>
      </c>
    </row>
    <row r="5" spans="1:15" x14ac:dyDescent="0.25">
      <c r="A5" s="4">
        <v>2</v>
      </c>
      <c r="B5" s="78" t="s">
        <v>2</v>
      </c>
      <c r="C5" s="79">
        <v>8169073260180</v>
      </c>
      <c r="D5" s="79">
        <v>9832684544</v>
      </c>
      <c r="E5" s="82">
        <v>0.01</v>
      </c>
      <c r="F5" s="82">
        <v>3.6651914291880923E-2</v>
      </c>
      <c r="G5" s="82">
        <v>0</v>
      </c>
      <c r="H5" s="82">
        <v>0.26179938779914941</v>
      </c>
      <c r="I5" s="82">
        <v>3.14</v>
      </c>
      <c r="J5" s="79">
        <v>85109365</v>
      </c>
      <c r="K5" s="79">
        <v>700000</v>
      </c>
      <c r="L5" s="105">
        <v>0</v>
      </c>
      <c r="N5" s="4" t="s">
        <v>7</v>
      </c>
      <c r="O5" s="80">
        <v>4</v>
      </c>
    </row>
    <row r="6" spans="1:15" x14ac:dyDescent="0.25">
      <c r="A6" s="4">
        <v>3</v>
      </c>
      <c r="B6" s="78" t="s">
        <v>4</v>
      </c>
      <c r="C6" s="79">
        <v>3530451718117.8003</v>
      </c>
      <c r="D6" s="79">
        <v>13599840256</v>
      </c>
      <c r="E6" s="82">
        <v>0</v>
      </c>
      <c r="F6" s="82">
        <v>0</v>
      </c>
      <c r="G6" s="82">
        <v>0</v>
      </c>
      <c r="H6" s="82">
        <v>0</v>
      </c>
      <c r="I6" s="82">
        <v>3.14</v>
      </c>
      <c r="J6" s="79">
        <v>84159286</v>
      </c>
      <c r="K6" s="79">
        <v>600000</v>
      </c>
      <c r="L6" s="105">
        <v>0</v>
      </c>
      <c r="N6" s="4" t="s">
        <v>16</v>
      </c>
      <c r="O6" s="80">
        <v>7</v>
      </c>
    </row>
    <row r="7" spans="1:15" x14ac:dyDescent="0.25">
      <c r="A7" s="4">
        <v>4</v>
      </c>
      <c r="B7" s="78" t="s">
        <v>7</v>
      </c>
      <c r="C7" s="79">
        <v>301265225555.70001</v>
      </c>
      <c r="D7" s="79">
        <v>20726155264</v>
      </c>
      <c r="E7" s="82">
        <v>5.0999999999999997E-2</v>
      </c>
      <c r="F7" s="82">
        <v>1.0471975511965976E-3</v>
      </c>
      <c r="G7" s="82">
        <v>0</v>
      </c>
      <c r="H7" s="82">
        <v>2.3649211364523164</v>
      </c>
      <c r="I7" s="82">
        <v>3.14</v>
      </c>
      <c r="J7" s="79">
        <v>47921949</v>
      </c>
      <c r="K7" s="79">
        <v>320000</v>
      </c>
      <c r="L7" s="105">
        <v>0</v>
      </c>
      <c r="N7" s="4" t="s">
        <v>2</v>
      </c>
      <c r="O7" s="80">
        <v>2</v>
      </c>
    </row>
    <row r="8" spans="1:15" x14ac:dyDescent="0.25">
      <c r="A8" s="4">
        <v>5</v>
      </c>
      <c r="B8" s="78" t="s">
        <v>9</v>
      </c>
      <c r="C8" s="79">
        <v>21477503447.967003</v>
      </c>
      <c r="D8" s="79">
        <v>40839348203</v>
      </c>
      <c r="E8" s="82">
        <v>0.14499999999999999</v>
      </c>
      <c r="F8" s="82">
        <v>8.7266462599716474E-2</v>
      </c>
      <c r="G8" s="82">
        <v>1.5707963267948966</v>
      </c>
      <c r="H8" s="82">
        <v>4.8869219055841224</v>
      </c>
      <c r="I8" s="82">
        <v>3.14</v>
      </c>
      <c r="J8" s="79">
        <v>32832840</v>
      </c>
      <c r="K8" s="79">
        <v>138000</v>
      </c>
      <c r="L8" s="105">
        <v>0</v>
      </c>
      <c r="N8" s="4" t="s">
        <v>10</v>
      </c>
      <c r="O8" s="80">
        <v>6</v>
      </c>
    </row>
    <row r="9" spans="1:15" x14ac:dyDescent="0.25">
      <c r="A9" s="4">
        <v>6</v>
      </c>
      <c r="B9" s="78" t="s">
        <v>10</v>
      </c>
      <c r="C9" s="79">
        <v>282436141452570</v>
      </c>
      <c r="D9" s="79">
        <v>68773560320</v>
      </c>
      <c r="E9" s="82">
        <v>0.05</v>
      </c>
      <c r="F9" s="82">
        <v>2.2759093446006056E-2</v>
      </c>
      <c r="G9" s="82">
        <v>0</v>
      </c>
      <c r="H9" s="82">
        <v>0.90757121103705141</v>
      </c>
      <c r="I9" s="82">
        <v>0.1</v>
      </c>
      <c r="J9" s="79">
        <v>2455985200</v>
      </c>
      <c r="K9" s="79">
        <v>6000000</v>
      </c>
      <c r="L9" s="105">
        <v>0</v>
      </c>
      <c r="N9" s="4" t="s">
        <v>4</v>
      </c>
      <c r="O9" s="80">
        <v>3</v>
      </c>
    </row>
    <row r="10" spans="1:15" x14ac:dyDescent="0.25">
      <c r="A10" s="4">
        <v>7</v>
      </c>
      <c r="B10" s="78" t="s">
        <v>16</v>
      </c>
      <c r="C10" s="79">
        <v>74386619097.839996</v>
      </c>
      <c r="D10" s="79">
        <v>90118820000</v>
      </c>
      <c r="E10" s="82">
        <v>0.26</v>
      </c>
      <c r="F10" s="82">
        <v>0.10733774899765128</v>
      </c>
      <c r="G10" s="82">
        <v>4.5378560551852569</v>
      </c>
      <c r="H10" s="82">
        <v>0.87266462599716477</v>
      </c>
      <c r="I10" s="82">
        <v>3.14</v>
      </c>
      <c r="J10" s="79">
        <v>119082940</v>
      </c>
      <c r="K10" s="79">
        <v>210000</v>
      </c>
      <c r="L10" s="105">
        <v>0</v>
      </c>
      <c r="N10" s="4" t="s">
        <v>11</v>
      </c>
      <c r="O10" s="80">
        <v>12</v>
      </c>
    </row>
    <row r="11" spans="1:15" x14ac:dyDescent="0.25">
      <c r="A11" s="4">
        <v>8</v>
      </c>
      <c r="B11" s="78" t="s">
        <v>3</v>
      </c>
      <c r="C11" s="79">
        <v>8286754.4103330001</v>
      </c>
      <c r="D11" s="79">
        <v>31500000</v>
      </c>
      <c r="E11" s="82">
        <v>0.55000000000000004</v>
      </c>
      <c r="F11" s="82">
        <v>0.20943951023931953</v>
      </c>
      <c r="G11" s="82">
        <v>0.17453292519943295</v>
      </c>
      <c r="H11" s="82">
        <v>1.3962634015954636</v>
      </c>
      <c r="I11" s="82">
        <v>0.9</v>
      </c>
      <c r="J11" s="79">
        <v>126123.27</v>
      </c>
      <c r="K11" s="79">
        <v>13000</v>
      </c>
      <c r="L11" s="105">
        <v>2</v>
      </c>
      <c r="N11" s="4" t="s">
        <v>6</v>
      </c>
      <c r="O11" s="80">
        <v>10</v>
      </c>
    </row>
    <row r="12" spans="1:15" x14ac:dyDescent="0.25">
      <c r="A12" s="4">
        <v>9</v>
      </c>
      <c r="B12" s="78" t="s">
        <v>5</v>
      </c>
      <c r="C12" s="79">
        <v>65117218443.606003</v>
      </c>
      <c r="D12" s="79">
        <v>12000000</v>
      </c>
      <c r="E12" s="82">
        <v>0</v>
      </c>
      <c r="F12" s="82">
        <v>0</v>
      </c>
      <c r="G12" s="82">
        <v>0</v>
      </c>
      <c r="H12" s="82">
        <v>0</v>
      </c>
      <c r="I12" s="82">
        <v>1.7</v>
      </c>
      <c r="J12" s="79">
        <v>2429559.1</v>
      </c>
      <c r="K12" s="79">
        <v>200000</v>
      </c>
      <c r="L12" s="105">
        <v>3</v>
      </c>
      <c r="N12" s="4" t="s">
        <v>1</v>
      </c>
      <c r="O12" s="80">
        <v>1</v>
      </c>
    </row>
    <row r="13" spans="1:15" x14ac:dyDescent="0.25">
      <c r="A13" s="4">
        <v>10</v>
      </c>
      <c r="B13" s="78" t="s">
        <v>6</v>
      </c>
      <c r="C13" s="79">
        <v>1765225925.7780001</v>
      </c>
      <c r="D13" s="79">
        <v>47000000</v>
      </c>
      <c r="E13" s="82">
        <v>0</v>
      </c>
      <c r="F13" s="82">
        <v>0.10471975511965977</v>
      </c>
      <c r="G13" s="82">
        <v>0.66322511575784515</v>
      </c>
      <c r="H13" s="82">
        <v>1.3613568165555769</v>
      </c>
      <c r="I13" s="82">
        <v>0.9</v>
      </c>
      <c r="J13" s="79">
        <v>2247428.4</v>
      </c>
      <c r="K13" s="79">
        <v>60000</v>
      </c>
      <c r="L13" s="105">
        <v>3</v>
      </c>
      <c r="N13" s="4" t="s">
        <v>5</v>
      </c>
      <c r="O13" s="80">
        <v>9</v>
      </c>
    </row>
    <row r="14" spans="1:15" x14ac:dyDescent="0.25">
      <c r="A14" s="4">
        <v>11</v>
      </c>
      <c r="B14" s="78" t="s">
        <v>8</v>
      </c>
      <c r="C14" s="79">
        <v>18562331133.465</v>
      </c>
      <c r="D14" s="79">
        <v>3200000</v>
      </c>
      <c r="E14" s="82">
        <v>0.03</v>
      </c>
      <c r="F14" s="82">
        <v>3.4906585039886592E-3</v>
      </c>
      <c r="G14" s="82">
        <v>0</v>
      </c>
      <c r="H14" s="82">
        <v>0</v>
      </c>
      <c r="I14" s="82">
        <v>1.7</v>
      </c>
      <c r="J14" s="79">
        <v>1049598.8999999999</v>
      </c>
      <c r="K14" s="79">
        <v>130000</v>
      </c>
      <c r="L14" s="105">
        <v>4</v>
      </c>
      <c r="N14" s="4" t="s">
        <v>15</v>
      </c>
      <c r="O14" s="80">
        <v>16</v>
      </c>
    </row>
    <row r="15" spans="1:15" x14ac:dyDescent="0.25">
      <c r="A15" s="4">
        <v>12</v>
      </c>
      <c r="B15" s="78" t="s">
        <v>11</v>
      </c>
      <c r="C15" s="79">
        <v>1961362132340.0999</v>
      </c>
      <c r="D15" s="79">
        <v>27184000</v>
      </c>
      <c r="E15" s="82">
        <v>0</v>
      </c>
      <c r="F15" s="82">
        <v>0</v>
      </c>
      <c r="G15" s="82">
        <v>0</v>
      </c>
      <c r="H15" s="82">
        <v>0</v>
      </c>
      <c r="I15" s="82">
        <v>3.14</v>
      </c>
      <c r="J15" s="79">
        <v>3723645.8</v>
      </c>
      <c r="K15" s="79">
        <v>500000</v>
      </c>
      <c r="L15" s="105">
        <v>6</v>
      </c>
      <c r="N15" s="4" t="s">
        <v>13</v>
      </c>
      <c r="O15" s="80">
        <v>14</v>
      </c>
    </row>
    <row r="16" spans="1:15" x14ac:dyDescent="0.25">
      <c r="A16" s="4">
        <v>13</v>
      </c>
      <c r="B16" s="78" t="s">
        <v>12</v>
      </c>
      <c r="C16" s="79">
        <v>207414036271.05002</v>
      </c>
      <c r="D16" s="79">
        <v>43152000</v>
      </c>
      <c r="E16" s="82">
        <v>0</v>
      </c>
      <c r="F16" s="82">
        <v>0</v>
      </c>
      <c r="G16" s="82">
        <v>0</v>
      </c>
      <c r="H16" s="82">
        <v>0</v>
      </c>
      <c r="I16" s="82">
        <v>0.9</v>
      </c>
      <c r="J16" s="79">
        <v>2406401.4</v>
      </c>
      <c r="K16" s="79">
        <v>300000</v>
      </c>
      <c r="L16" s="105">
        <v>6</v>
      </c>
      <c r="N16" s="4" t="s">
        <v>12</v>
      </c>
      <c r="O16" s="80">
        <v>13</v>
      </c>
    </row>
    <row r="17" spans="1:15" x14ac:dyDescent="0.25">
      <c r="A17" s="4">
        <v>14</v>
      </c>
      <c r="B17" s="78" t="s">
        <v>13</v>
      </c>
      <c r="C17" s="79">
        <v>2824361414525.7002</v>
      </c>
      <c r="D17" s="79">
        <v>68500000</v>
      </c>
      <c r="E17" s="82">
        <v>0</v>
      </c>
      <c r="F17" s="82">
        <v>4.363323129985824E-4</v>
      </c>
      <c r="G17" s="82">
        <v>0</v>
      </c>
      <c r="H17" s="82">
        <v>0</v>
      </c>
      <c r="I17" s="82">
        <v>3.14</v>
      </c>
      <c r="J17" s="79">
        <v>10856518</v>
      </c>
      <c r="K17" s="79">
        <v>600000</v>
      </c>
      <c r="L17" s="105">
        <v>6</v>
      </c>
      <c r="N17" s="4"/>
      <c r="O17" s="80"/>
    </row>
    <row r="18" spans="1:15" x14ac:dyDescent="0.25">
      <c r="A18" s="4">
        <v>15</v>
      </c>
      <c r="B18" s="78" t="s">
        <v>14</v>
      </c>
      <c r="C18" s="79">
        <v>2486026389.8190002</v>
      </c>
      <c r="D18" s="79">
        <v>128500000</v>
      </c>
      <c r="E18" s="82">
        <v>0.23499999999999999</v>
      </c>
      <c r="F18" s="82">
        <v>0.26179938779914941</v>
      </c>
      <c r="G18" s="82">
        <v>0.43633231299858238</v>
      </c>
      <c r="H18" s="82">
        <v>0.17453292519943295</v>
      </c>
      <c r="I18" s="82">
        <v>0.9</v>
      </c>
      <c r="J18" s="79">
        <v>1221060.8999999999</v>
      </c>
      <c r="K18" s="79">
        <v>65000</v>
      </c>
      <c r="L18" s="105">
        <v>6</v>
      </c>
      <c r="N18" s="4"/>
      <c r="O18" s="80"/>
    </row>
    <row r="19" spans="1:15" ht="15.75" thickBot="1" x14ac:dyDescent="0.3">
      <c r="A19" s="84">
        <v>16</v>
      </c>
      <c r="B19" s="85" t="s">
        <v>15</v>
      </c>
      <c r="C19" s="86">
        <v>721467454.88370001</v>
      </c>
      <c r="D19" s="86">
        <v>179890000</v>
      </c>
      <c r="E19" s="88">
        <v>0.17100000000000001</v>
      </c>
      <c r="F19" s="88">
        <v>7.4176493209759012E-2</v>
      </c>
      <c r="G19" s="88">
        <v>0.26179938779914941</v>
      </c>
      <c r="H19" s="88">
        <v>3.4906585039886591E-2</v>
      </c>
      <c r="I19" s="88">
        <v>0.9</v>
      </c>
      <c r="J19" s="86">
        <v>1042138.9</v>
      </c>
      <c r="K19" s="86">
        <v>44000</v>
      </c>
      <c r="L19" s="106">
        <v>6</v>
      </c>
      <c r="N19" s="84"/>
      <c r="O19" s="101"/>
    </row>
  </sheetData>
  <sortState ref="N3:O16">
    <sortCondition ref="N2"/>
  </sortState>
  <mergeCells count="1">
    <mergeCell ref="N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Real</vt:lpstr>
      <vt:lpstr>RPlot</vt:lpstr>
      <vt:lpstr>RData</vt:lpstr>
      <vt:lpstr>Kerbal</vt:lpstr>
      <vt:lpstr>KPlot</vt:lpstr>
      <vt:lpstr>KData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</cp:lastModifiedBy>
  <dcterms:created xsi:type="dcterms:W3CDTF">2018-08-12T11:47:45Z</dcterms:created>
  <dcterms:modified xsi:type="dcterms:W3CDTF">2018-12-26T08:17:12Z</dcterms:modified>
</cp:coreProperties>
</file>